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7784" windowHeight="7512"/>
  </bookViews>
  <sheets>
    <sheet name="Upload Format" sheetId="1" r:id="rId1"/>
    <sheet name="web survey" sheetId="2" r:id="rId2"/>
    <sheet name="ref" sheetId="3" r:id="rId3"/>
    <sheet name="Z1,Z2,ZY" sheetId="4" state="hidden" r:id="rId4"/>
    <sheet name="Z0" sheetId="5" state="hidden" r:id="rId5"/>
  </sheets>
  <definedNames>
    <definedName name="_xlnm._FilterDatabase" localSheetId="0" hidden="1">'Upload Format'!$A$3:$K$203</definedName>
    <definedName name="_xlnm._FilterDatabase" localSheetId="1" hidden="1">'web survey'!$A$1:$AD$1524</definedName>
    <definedName name="_xlnm.Print_Area" localSheetId="0">'Upload Format'!$A$3:$K$203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3" i="1" l="1"/>
  <c r="I203" i="1"/>
  <c r="G203" i="1"/>
  <c r="E203" i="1"/>
  <c r="C203" i="1"/>
  <c r="B203" i="1"/>
  <c r="J203" i="1" s="1"/>
  <c r="K202" i="1"/>
  <c r="I202" i="1"/>
  <c r="G202" i="1"/>
  <c r="E202" i="1"/>
  <c r="C202" i="1"/>
  <c r="B202" i="1"/>
  <c r="D202" i="1" s="1"/>
  <c r="K201" i="1"/>
  <c r="I201" i="1"/>
  <c r="G201" i="1"/>
  <c r="E201" i="1"/>
  <c r="C201" i="1"/>
  <c r="B201" i="1"/>
  <c r="F201" i="1" s="1"/>
  <c r="K200" i="1"/>
  <c r="I200" i="1"/>
  <c r="G200" i="1"/>
  <c r="E200" i="1"/>
  <c r="C200" i="1"/>
  <c r="B200" i="1"/>
  <c r="H200" i="1" s="1"/>
  <c r="K199" i="1"/>
  <c r="I199" i="1"/>
  <c r="G199" i="1"/>
  <c r="E199" i="1"/>
  <c r="C199" i="1"/>
  <c r="B199" i="1"/>
  <c r="J199" i="1" s="1"/>
  <c r="K198" i="1"/>
  <c r="I198" i="1"/>
  <c r="G198" i="1"/>
  <c r="E198" i="1"/>
  <c r="C198" i="1"/>
  <c r="B198" i="1"/>
  <c r="K197" i="1"/>
  <c r="I197" i="1"/>
  <c r="G197" i="1"/>
  <c r="E197" i="1"/>
  <c r="C197" i="1"/>
  <c r="B197" i="1"/>
  <c r="F197" i="1" s="1"/>
  <c r="K196" i="1"/>
  <c r="I196" i="1"/>
  <c r="G196" i="1"/>
  <c r="E196" i="1"/>
  <c r="C196" i="1"/>
  <c r="B196" i="1"/>
  <c r="H196" i="1" s="1"/>
  <c r="K195" i="1"/>
  <c r="I195" i="1"/>
  <c r="G195" i="1"/>
  <c r="E195" i="1"/>
  <c r="C195" i="1"/>
  <c r="B195" i="1"/>
  <c r="J195" i="1" s="1"/>
  <c r="K194" i="1"/>
  <c r="I194" i="1"/>
  <c r="G194" i="1"/>
  <c r="E194" i="1"/>
  <c r="C194" i="1"/>
  <c r="B194" i="1"/>
  <c r="D194" i="1" s="1"/>
  <c r="K193" i="1"/>
  <c r="I193" i="1"/>
  <c r="G193" i="1"/>
  <c r="E193" i="1"/>
  <c r="C193" i="1"/>
  <c r="B193" i="1"/>
  <c r="F193" i="1" s="1"/>
  <c r="K192" i="1"/>
  <c r="I192" i="1"/>
  <c r="G192" i="1"/>
  <c r="E192" i="1"/>
  <c r="C192" i="1"/>
  <c r="B192" i="1"/>
  <c r="H192" i="1" s="1"/>
  <c r="K191" i="1"/>
  <c r="I191" i="1"/>
  <c r="G191" i="1"/>
  <c r="E191" i="1"/>
  <c r="C191" i="1"/>
  <c r="B191" i="1"/>
  <c r="J191" i="1" s="1"/>
  <c r="K190" i="1"/>
  <c r="I190" i="1"/>
  <c r="G190" i="1"/>
  <c r="E190" i="1"/>
  <c r="C190" i="1"/>
  <c r="B190" i="1"/>
  <c r="K189" i="1"/>
  <c r="I189" i="1"/>
  <c r="G189" i="1"/>
  <c r="E189" i="1"/>
  <c r="C189" i="1"/>
  <c r="B189" i="1"/>
  <c r="F189" i="1" s="1"/>
  <c r="K188" i="1"/>
  <c r="I188" i="1"/>
  <c r="G188" i="1"/>
  <c r="E188" i="1"/>
  <c r="C188" i="1"/>
  <c r="B188" i="1"/>
  <c r="H188" i="1" s="1"/>
  <c r="K187" i="1"/>
  <c r="I187" i="1"/>
  <c r="G187" i="1"/>
  <c r="E187" i="1"/>
  <c r="C187" i="1"/>
  <c r="B187" i="1"/>
  <c r="J187" i="1" s="1"/>
  <c r="K186" i="1"/>
  <c r="I186" i="1"/>
  <c r="G186" i="1"/>
  <c r="E186" i="1"/>
  <c r="C186" i="1"/>
  <c r="B186" i="1"/>
  <c r="D186" i="1" s="1"/>
  <c r="K185" i="1"/>
  <c r="I185" i="1"/>
  <c r="G185" i="1"/>
  <c r="E185" i="1"/>
  <c r="C185" i="1"/>
  <c r="B185" i="1"/>
  <c r="F185" i="1" s="1"/>
  <c r="K184" i="1"/>
  <c r="I184" i="1"/>
  <c r="G184" i="1"/>
  <c r="E184" i="1"/>
  <c r="C184" i="1"/>
  <c r="B184" i="1"/>
  <c r="H184" i="1" s="1"/>
  <c r="K183" i="1"/>
  <c r="I183" i="1"/>
  <c r="G183" i="1"/>
  <c r="E183" i="1"/>
  <c r="C183" i="1"/>
  <c r="B183" i="1"/>
  <c r="J183" i="1" s="1"/>
  <c r="K182" i="1"/>
  <c r="I182" i="1"/>
  <c r="G182" i="1"/>
  <c r="E182" i="1"/>
  <c r="C182" i="1"/>
  <c r="B182" i="1"/>
  <c r="K181" i="1"/>
  <c r="I181" i="1"/>
  <c r="G181" i="1"/>
  <c r="E181" i="1"/>
  <c r="C181" i="1"/>
  <c r="B181" i="1"/>
  <c r="F181" i="1" s="1"/>
  <c r="K180" i="1"/>
  <c r="I180" i="1"/>
  <c r="G180" i="1"/>
  <c r="E180" i="1"/>
  <c r="C180" i="1"/>
  <c r="B180" i="1"/>
  <c r="H180" i="1" s="1"/>
  <c r="K179" i="1"/>
  <c r="I179" i="1"/>
  <c r="G179" i="1"/>
  <c r="E179" i="1"/>
  <c r="C179" i="1"/>
  <c r="B179" i="1"/>
  <c r="J179" i="1" s="1"/>
  <c r="K178" i="1"/>
  <c r="I178" i="1"/>
  <c r="G178" i="1"/>
  <c r="E178" i="1"/>
  <c r="C178" i="1"/>
  <c r="B178" i="1"/>
  <c r="D178" i="1" s="1"/>
  <c r="K177" i="1"/>
  <c r="I177" i="1"/>
  <c r="G177" i="1"/>
  <c r="E177" i="1"/>
  <c r="C177" i="1"/>
  <c r="B177" i="1"/>
  <c r="F177" i="1" s="1"/>
  <c r="K176" i="1"/>
  <c r="I176" i="1"/>
  <c r="G176" i="1"/>
  <c r="E176" i="1"/>
  <c r="C176" i="1"/>
  <c r="B176" i="1"/>
  <c r="H176" i="1" s="1"/>
  <c r="K175" i="1"/>
  <c r="I175" i="1"/>
  <c r="G175" i="1"/>
  <c r="E175" i="1"/>
  <c r="C175" i="1"/>
  <c r="B175" i="1"/>
  <c r="J175" i="1" s="1"/>
  <c r="K174" i="1"/>
  <c r="I174" i="1"/>
  <c r="G174" i="1"/>
  <c r="E174" i="1"/>
  <c r="C174" i="1"/>
  <c r="B174" i="1"/>
  <c r="K173" i="1"/>
  <c r="I173" i="1"/>
  <c r="G173" i="1"/>
  <c r="E173" i="1"/>
  <c r="C173" i="1"/>
  <c r="B173" i="1"/>
  <c r="F173" i="1" s="1"/>
  <c r="K172" i="1"/>
  <c r="I172" i="1"/>
  <c r="G172" i="1"/>
  <c r="E172" i="1"/>
  <c r="C172" i="1"/>
  <c r="B172" i="1"/>
  <c r="H172" i="1" s="1"/>
  <c r="K171" i="1"/>
  <c r="I171" i="1"/>
  <c r="G171" i="1"/>
  <c r="E171" i="1"/>
  <c r="C171" i="1"/>
  <c r="B171" i="1"/>
  <c r="J171" i="1" s="1"/>
  <c r="K170" i="1"/>
  <c r="J170" i="1"/>
  <c r="I170" i="1"/>
  <c r="G170" i="1"/>
  <c r="E170" i="1"/>
  <c r="C170" i="1"/>
  <c r="B170" i="1"/>
  <c r="D170" i="1" s="1"/>
  <c r="K169" i="1"/>
  <c r="I169" i="1"/>
  <c r="G169" i="1"/>
  <c r="E169" i="1"/>
  <c r="C169" i="1"/>
  <c r="B169" i="1"/>
  <c r="F169" i="1" s="1"/>
  <c r="K168" i="1"/>
  <c r="I168" i="1"/>
  <c r="G168" i="1"/>
  <c r="E168" i="1"/>
  <c r="C168" i="1"/>
  <c r="B168" i="1"/>
  <c r="H168" i="1" s="1"/>
  <c r="K167" i="1"/>
  <c r="I167" i="1"/>
  <c r="G167" i="1"/>
  <c r="E167" i="1"/>
  <c r="C167" i="1"/>
  <c r="B167" i="1"/>
  <c r="J167" i="1" s="1"/>
  <c r="K166" i="1"/>
  <c r="I166" i="1"/>
  <c r="G166" i="1"/>
  <c r="E166" i="1"/>
  <c r="C166" i="1"/>
  <c r="B166" i="1"/>
  <c r="K165" i="1"/>
  <c r="I165" i="1"/>
  <c r="G165" i="1"/>
  <c r="E165" i="1"/>
  <c r="C165" i="1"/>
  <c r="B165" i="1"/>
  <c r="F165" i="1" s="1"/>
  <c r="K164" i="1"/>
  <c r="I164" i="1"/>
  <c r="G164" i="1"/>
  <c r="E164" i="1"/>
  <c r="C164" i="1"/>
  <c r="B164" i="1"/>
  <c r="J164" i="1" s="1"/>
  <c r="K163" i="1"/>
  <c r="I163" i="1"/>
  <c r="G163" i="1"/>
  <c r="E163" i="1"/>
  <c r="C163" i="1"/>
  <c r="B163" i="1"/>
  <c r="F163" i="1" s="1"/>
  <c r="K162" i="1"/>
  <c r="I162" i="1"/>
  <c r="G162" i="1"/>
  <c r="E162" i="1"/>
  <c r="C162" i="1"/>
  <c r="B162" i="1"/>
  <c r="J162" i="1" s="1"/>
  <c r="K161" i="1"/>
  <c r="I161" i="1"/>
  <c r="G161" i="1"/>
  <c r="E161" i="1"/>
  <c r="C161" i="1"/>
  <c r="B161" i="1"/>
  <c r="J161" i="1" s="1"/>
  <c r="K160" i="1"/>
  <c r="I160" i="1"/>
  <c r="G160" i="1"/>
  <c r="E160" i="1"/>
  <c r="C160" i="1"/>
  <c r="B160" i="1"/>
  <c r="J160" i="1" s="1"/>
  <c r="K159" i="1"/>
  <c r="I159" i="1"/>
  <c r="G159" i="1"/>
  <c r="E159" i="1"/>
  <c r="C159" i="1"/>
  <c r="B159" i="1"/>
  <c r="F159" i="1" s="1"/>
  <c r="K158" i="1"/>
  <c r="I158" i="1"/>
  <c r="G158" i="1"/>
  <c r="E158" i="1"/>
  <c r="C158" i="1"/>
  <c r="B158" i="1"/>
  <c r="K157" i="1"/>
  <c r="I157" i="1"/>
  <c r="G157" i="1"/>
  <c r="E157" i="1"/>
  <c r="C157" i="1"/>
  <c r="B157" i="1"/>
  <c r="J157" i="1" s="1"/>
  <c r="K156" i="1"/>
  <c r="I156" i="1"/>
  <c r="G156" i="1"/>
  <c r="E156" i="1"/>
  <c r="C156" i="1"/>
  <c r="B156" i="1"/>
  <c r="J156" i="1" s="1"/>
  <c r="K155" i="1"/>
  <c r="I155" i="1"/>
  <c r="G155" i="1"/>
  <c r="E155" i="1"/>
  <c r="C155" i="1"/>
  <c r="B155" i="1"/>
  <c r="F155" i="1" s="1"/>
  <c r="K154" i="1"/>
  <c r="I154" i="1"/>
  <c r="G154" i="1"/>
  <c r="E154" i="1"/>
  <c r="C154" i="1"/>
  <c r="B154" i="1"/>
  <c r="K153" i="1"/>
  <c r="I153" i="1"/>
  <c r="G153" i="1"/>
  <c r="E153" i="1"/>
  <c r="C153" i="1"/>
  <c r="B153" i="1"/>
  <c r="J153" i="1" s="1"/>
  <c r="K152" i="1"/>
  <c r="I152" i="1"/>
  <c r="G152" i="1"/>
  <c r="E152" i="1"/>
  <c r="C152" i="1"/>
  <c r="B152" i="1"/>
  <c r="J152" i="1" s="1"/>
  <c r="K151" i="1"/>
  <c r="I151" i="1"/>
  <c r="G151" i="1"/>
  <c r="E151" i="1"/>
  <c r="C151" i="1"/>
  <c r="B151" i="1"/>
  <c r="F151" i="1" s="1"/>
  <c r="K150" i="1"/>
  <c r="I150" i="1"/>
  <c r="G150" i="1"/>
  <c r="E150" i="1"/>
  <c r="C150" i="1"/>
  <c r="B150" i="1"/>
  <c r="J150" i="1" s="1"/>
  <c r="K149" i="1"/>
  <c r="I149" i="1"/>
  <c r="G149" i="1"/>
  <c r="E149" i="1"/>
  <c r="C149" i="1"/>
  <c r="B149" i="1"/>
  <c r="J149" i="1" s="1"/>
  <c r="K148" i="1"/>
  <c r="I148" i="1"/>
  <c r="G148" i="1"/>
  <c r="E148" i="1"/>
  <c r="C148" i="1"/>
  <c r="B148" i="1"/>
  <c r="J148" i="1" s="1"/>
  <c r="K147" i="1"/>
  <c r="I147" i="1"/>
  <c r="G147" i="1"/>
  <c r="E147" i="1"/>
  <c r="C147" i="1"/>
  <c r="B147" i="1"/>
  <c r="F147" i="1" s="1"/>
  <c r="K146" i="1"/>
  <c r="I146" i="1"/>
  <c r="G146" i="1"/>
  <c r="E146" i="1"/>
  <c r="C146" i="1"/>
  <c r="B146" i="1"/>
  <c r="J146" i="1" s="1"/>
  <c r="K145" i="1"/>
  <c r="I145" i="1"/>
  <c r="G145" i="1"/>
  <c r="E145" i="1"/>
  <c r="C145" i="1"/>
  <c r="B145" i="1"/>
  <c r="J145" i="1" s="1"/>
  <c r="K144" i="1"/>
  <c r="I144" i="1"/>
  <c r="G144" i="1"/>
  <c r="E144" i="1"/>
  <c r="C144" i="1"/>
  <c r="B144" i="1"/>
  <c r="J144" i="1" s="1"/>
  <c r="K143" i="1"/>
  <c r="I143" i="1"/>
  <c r="G143" i="1"/>
  <c r="E143" i="1"/>
  <c r="C143" i="1"/>
  <c r="B143" i="1"/>
  <c r="F143" i="1" s="1"/>
  <c r="K142" i="1"/>
  <c r="I142" i="1"/>
  <c r="G142" i="1"/>
  <c r="E142" i="1"/>
  <c r="C142" i="1"/>
  <c r="B142" i="1"/>
  <c r="J142" i="1" s="1"/>
  <c r="K141" i="1"/>
  <c r="I141" i="1"/>
  <c r="G141" i="1"/>
  <c r="E141" i="1"/>
  <c r="C141" i="1"/>
  <c r="B141" i="1"/>
  <c r="J141" i="1" s="1"/>
  <c r="K140" i="1"/>
  <c r="I140" i="1"/>
  <c r="G140" i="1"/>
  <c r="E140" i="1"/>
  <c r="C140" i="1"/>
  <c r="B140" i="1"/>
  <c r="J140" i="1" s="1"/>
  <c r="K139" i="1"/>
  <c r="I139" i="1"/>
  <c r="G139" i="1"/>
  <c r="E139" i="1"/>
  <c r="C139" i="1"/>
  <c r="B139" i="1"/>
  <c r="F139" i="1" s="1"/>
  <c r="K138" i="1"/>
  <c r="I138" i="1"/>
  <c r="G138" i="1"/>
  <c r="E138" i="1"/>
  <c r="C138" i="1"/>
  <c r="B138" i="1"/>
  <c r="J138" i="1" s="1"/>
  <c r="K137" i="1"/>
  <c r="I137" i="1"/>
  <c r="G137" i="1"/>
  <c r="E137" i="1"/>
  <c r="C137" i="1"/>
  <c r="B137" i="1"/>
  <c r="J137" i="1" s="1"/>
  <c r="K136" i="1"/>
  <c r="I136" i="1"/>
  <c r="G136" i="1"/>
  <c r="F136" i="1"/>
  <c r="E136" i="1"/>
  <c r="C136" i="1"/>
  <c r="B136" i="1"/>
  <c r="J136" i="1" s="1"/>
  <c r="K135" i="1"/>
  <c r="I135" i="1"/>
  <c r="G135" i="1"/>
  <c r="E135" i="1"/>
  <c r="C135" i="1"/>
  <c r="B135" i="1"/>
  <c r="F135" i="1" s="1"/>
  <c r="K134" i="1"/>
  <c r="I134" i="1"/>
  <c r="G134" i="1"/>
  <c r="E134" i="1"/>
  <c r="C134" i="1"/>
  <c r="B134" i="1"/>
  <c r="J134" i="1" s="1"/>
  <c r="K133" i="1"/>
  <c r="I133" i="1"/>
  <c r="G133" i="1"/>
  <c r="E133" i="1"/>
  <c r="C133" i="1"/>
  <c r="B133" i="1"/>
  <c r="J133" i="1" s="1"/>
  <c r="K132" i="1"/>
  <c r="I132" i="1"/>
  <c r="G132" i="1"/>
  <c r="E132" i="1"/>
  <c r="C132" i="1"/>
  <c r="B132" i="1"/>
  <c r="J132" i="1" s="1"/>
  <c r="K131" i="1"/>
  <c r="I131" i="1"/>
  <c r="G131" i="1"/>
  <c r="E131" i="1"/>
  <c r="C131" i="1"/>
  <c r="B131" i="1"/>
  <c r="F131" i="1" s="1"/>
  <c r="K130" i="1"/>
  <c r="J130" i="1"/>
  <c r="I130" i="1"/>
  <c r="G130" i="1"/>
  <c r="E130" i="1"/>
  <c r="C130" i="1"/>
  <c r="B130" i="1"/>
  <c r="K129" i="1"/>
  <c r="I129" i="1"/>
  <c r="G129" i="1"/>
  <c r="E129" i="1"/>
  <c r="C129" i="1"/>
  <c r="B129" i="1"/>
  <c r="J129" i="1" s="1"/>
  <c r="K128" i="1"/>
  <c r="I128" i="1"/>
  <c r="G128" i="1"/>
  <c r="E128" i="1"/>
  <c r="C128" i="1"/>
  <c r="B128" i="1"/>
  <c r="J128" i="1" s="1"/>
  <c r="K127" i="1"/>
  <c r="I127" i="1"/>
  <c r="G127" i="1"/>
  <c r="E127" i="1"/>
  <c r="C127" i="1"/>
  <c r="B127" i="1"/>
  <c r="F127" i="1" s="1"/>
  <c r="K126" i="1"/>
  <c r="I126" i="1"/>
  <c r="G126" i="1"/>
  <c r="E126" i="1"/>
  <c r="C126" i="1"/>
  <c r="B126" i="1"/>
  <c r="K125" i="1"/>
  <c r="I125" i="1"/>
  <c r="G125" i="1"/>
  <c r="E125" i="1"/>
  <c r="C125" i="1"/>
  <c r="B125" i="1"/>
  <c r="J125" i="1" s="1"/>
  <c r="K124" i="1"/>
  <c r="I124" i="1"/>
  <c r="G124" i="1"/>
  <c r="E124" i="1"/>
  <c r="C124" i="1"/>
  <c r="B124" i="1"/>
  <c r="J124" i="1" s="1"/>
  <c r="K123" i="1"/>
  <c r="I123" i="1"/>
  <c r="G123" i="1"/>
  <c r="E123" i="1"/>
  <c r="C123" i="1"/>
  <c r="B123" i="1"/>
  <c r="F123" i="1" s="1"/>
  <c r="K122" i="1"/>
  <c r="I122" i="1"/>
  <c r="G122" i="1"/>
  <c r="E122" i="1"/>
  <c r="C122" i="1"/>
  <c r="B122" i="1"/>
  <c r="K121" i="1"/>
  <c r="I121" i="1"/>
  <c r="G121" i="1"/>
  <c r="E121" i="1"/>
  <c r="C121" i="1"/>
  <c r="B121" i="1"/>
  <c r="J121" i="1" s="1"/>
  <c r="K120" i="1"/>
  <c r="I120" i="1"/>
  <c r="G120" i="1"/>
  <c r="E120" i="1"/>
  <c r="C120" i="1"/>
  <c r="B120" i="1"/>
  <c r="J120" i="1" s="1"/>
  <c r="K119" i="1"/>
  <c r="I119" i="1"/>
  <c r="G119" i="1"/>
  <c r="E119" i="1"/>
  <c r="C119" i="1"/>
  <c r="B119" i="1"/>
  <c r="F119" i="1" s="1"/>
  <c r="K118" i="1"/>
  <c r="I118" i="1"/>
  <c r="G118" i="1"/>
  <c r="E118" i="1"/>
  <c r="C118" i="1"/>
  <c r="B118" i="1"/>
  <c r="J118" i="1" s="1"/>
  <c r="K117" i="1"/>
  <c r="I117" i="1"/>
  <c r="G117" i="1"/>
  <c r="E117" i="1"/>
  <c r="C117" i="1"/>
  <c r="B117" i="1"/>
  <c r="J117" i="1" s="1"/>
  <c r="K116" i="1"/>
  <c r="I116" i="1"/>
  <c r="G116" i="1"/>
  <c r="E116" i="1"/>
  <c r="C116" i="1"/>
  <c r="B116" i="1"/>
  <c r="J116" i="1" s="1"/>
  <c r="K115" i="1"/>
  <c r="I115" i="1"/>
  <c r="G115" i="1"/>
  <c r="E115" i="1"/>
  <c r="C115" i="1"/>
  <c r="B115" i="1"/>
  <c r="F115" i="1" s="1"/>
  <c r="K114" i="1"/>
  <c r="I114" i="1"/>
  <c r="G114" i="1"/>
  <c r="E114" i="1"/>
  <c r="C114" i="1"/>
  <c r="B114" i="1"/>
  <c r="J114" i="1" s="1"/>
  <c r="K113" i="1"/>
  <c r="I113" i="1"/>
  <c r="G113" i="1"/>
  <c r="E113" i="1"/>
  <c r="C113" i="1"/>
  <c r="B113" i="1"/>
  <c r="J113" i="1" s="1"/>
  <c r="K112" i="1"/>
  <c r="I112" i="1"/>
  <c r="G112" i="1"/>
  <c r="E112" i="1"/>
  <c r="C112" i="1"/>
  <c r="B112" i="1"/>
  <c r="J112" i="1" s="1"/>
  <c r="K111" i="1"/>
  <c r="I111" i="1"/>
  <c r="G111" i="1"/>
  <c r="E111" i="1"/>
  <c r="C111" i="1"/>
  <c r="B111" i="1"/>
  <c r="F111" i="1" s="1"/>
  <c r="K110" i="1"/>
  <c r="I110" i="1"/>
  <c r="G110" i="1"/>
  <c r="E110" i="1"/>
  <c r="C110" i="1"/>
  <c r="B110" i="1"/>
  <c r="J110" i="1" s="1"/>
  <c r="K109" i="1"/>
  <c r="I109" i="1"/>
  <c r="G109" i="1"/>
  <c r="E109" i="1"/>
  <c r="C109" i="1"/>
  <c r="B109" i="1"/>
  <c r="J109" i="1" s="1"/>
  <c r="K108" i="1"/>
  <c r="I108" i="1"/>
  <c r="G108" i="1"/>
  <c r="E108" i="1"/>
  <c r="C108" i="1"/>
  <c r="B108" i="1"/>
  <c r="J108" i="1" s="1"/>
  <c r="K107" i="1"/>
  <c r="I107" i="1"/>
  <c r="G107" i="1"/>
  <c r="E107" i="1"/>
  <c r="C107" i="1"/>
  <c r="B107" i="1"/>
  <c r="F107" i="1" s="1"/>
  <c r="K106" i="1"/>
  <c r="I106" i="1"/>
  <c r="G106" i="1"/>
  <c r="E106" i="1"/>
  <c r="C106" i="1"/>
  <c r="B106" i="1"/>
  <c r="J106" i="1" s="1"/>
  <c r="K105" i="1"/>
  <c r="I105" i="1"/>
  <c r="G105" i="1"/>
  <c r="E105" i="1"/>
  <c r="C105" i="1"/>
  <c r="B105" i="1"/>
  <c r="J105" i="1" s="1"/>
  <c r="K104" i="1"/>
  <c r="I104" i="1"/>
  <c r="G104" i="1"/>
  <c r="E104" i="1"/>
  <c r="C104" i="1"/>
  <c r="B104" i="1"/>
  <c r="J104" i="1" s="1"/>
  <c r="K103" i="1"/>
  <c r="I103" i="1"/>
  <c r="G103" i="1"/>
  <c r="E103" i="1"/>
  <c r="C103" i="1"/>
  <c r="B103" i="1"/>
  <c r="F103" i="1" s="1"/>
  <c r="K102" i="1"/>
  <c r="I102" i="1"/>
  <c r="G102" i="1"/>
  <c r="E102" i="1"/>
  <c r="C102" i="1"/>
  <c r="B102" i="1"/>
  <c r="J102" i="1" s="1"/>
  <c r="K101" i="1"/>
  <c r="I101" i="1"/>
  <c r="G101" i="1"/>
  <c r="E101" i="1"/>
  <c r="C101" i="1"/>
  <c r="B101" i="1"/>
  <c r="J101" i="1" s="1"/>
  <c r="K100" i="1"/>
  <c r="I100" i="1"/>
  <c r="G100" i="1"/>
  <c r="E100" i="1"/>
  <c r="C100" i="1"/>
  <c r="B100" i="1"/>
  <c r="J100" i="1" s="1"/>
  <c r="K99" i="1"/>
  <c r="I99" i="1"/>
  <c r="G99" i="1"/>
  <c r="E99" i="1"/>
  <c r="C99" i="1"/>
  <c r="B99" i="1"/>
  <c r="F99" i="1" s="1"/>
  <c r="K98" i="1"/>
  <c r="I98" i="1"/>
  <c r="G98" i="1"/>
  <c r="E98" i="1"/>
  <c r="C98" i="1"/>
  <c r="B98" i="1"/>
  <c r="J98" i="1" s="1"/>
  <c r="K97" i="1"/>
  <c r="I97" i="1"/>
  <c r="G97" i="1"/>
  <c r="E97" i="1"/>
  <c r="C97" i="1"/>
  <c r="B97" i="1"/>
  <c r="J97" i="1" s="1"/>
  <c r="K96" i="1"/>
  <c r="I96" i="1"/>
  <c r="G96" i="1"/>
  <c r="E96" i="1"/>
  <c r="C96" i="1"/>
  <c r="B96" i="1"/>
  <c r="J96" i="1" s="1"/>
  <c r="K95" i="1"/>
  <c r="I95" i="1"/>
  <c r="H95" i="1"/>
  <c r="G95" i="1"/>
  <c r="E95" i="1"/>
  <c r="C95" i="1"/>
  <c r="B95" i="1"/>
  <c r="F95" i="1" s="1"/>
  <c r="K94" i="1"/>
  <c r="I94" i="1"/>
  <c r="G94" i="1"/>
  <c r="E94" i="1"/>
  <c r="C94" i="1"/>
  <c r="B94" i="1"/>
  <c r="K93" i="1"/>
  <c r="I93" i="1"/>
  <c r="G93" i="1"/>
  <c r="F93" i="1"/>
  <c r="E93" i="1"/>
  <c r="C93" i="1"/>
  <c r="B93" i="1"/>
  <c r="J93" i="1" s="1"/>
  <c r="K92" i="1"/>
  <c r="I92" i="1"/>
  <c r="G92" i="1"/>
  <c r="E92" i="1"/>
  <c r="C92" i="1"/>
  <c r="B92" i="1"/>
  <c r="J92" i="1" s="1"/>
  <c r="K91" i="1"/>
  <c r="I91" i="1"/>
  <c r="G91" i="1"/>
  <c r="E91" i="1"/>
  <c r="C91" i="1"/>
  <c r="B91" i="1"/>
  <c r="F91" i="1" s="1"/>
  <c r="K90" i="1"/>
  <c r="I90" i="1"/>
  <c r="G90" i="1"/>
  <c r="E90" i="1"/>
  <c r="C90" i="1"/>
  <c r="B90" i="1"/>
  <c r="K89" i="1"/>
  <c r="I89" i="1"/>
  <c r="G89" i="1"/>
  <c r="E89" i="1"/>
  <c r="C89" i="1"/>
  <c r="B89" i="1"/>
  <c r="J89" i="1" s="1"/>
  <c r="K88" i="1"/>
  <c r="I88" i="1"/>
  <c r="G88" i="1"/>
  <c r="E88" i="1"/>
  <c r="C88" i="1"/>
  <c r="B88" i="1"/>
  <c r="J88" i="1" s="1"/>
  <c r="K87" i="1"/>
  <c r="I87" i="1"/>
  <c r="G87" i="1"/>
  <c r="E87" i="1"/>
  <c r="C87" i="1"/>
  <c r="B87" i="1"/>
  <c r="F87" i="1" s="1"/>
  <c r="K86" i="1"/>
  <c r="I86" i="1"/>
  <c r="G86" i="1"/>
  <c r="E86" i="1"/>
  <c r="C86" i="1"/>
  <c r="B86" i="1"/>
  <c r="J86" i="1" s="1"/>
  <c r="K85" i="1"/>
  <c r="I85" i="1"/>
  <c r="G85" i="1"/>
  <c r="E85" i="1"/>
  <c r="C85" i="1"/>
  <c r="B85" i="1"/>
  <c r="J85" i="1" s="1"/>
  <c r="K84" i="1"/>
  <c r="I84" i="1"/>
  <c r="G84" i="1"/>
  <c r="E84" i="1"/>
  <c r="C84" i="1"/>
  <c r="B84" i="1"/>
  <c r="J84" i="1" s="1"/>
  <c r="K83" i="1"/>
  <c r="I83" i="1"/>
  <c r="G83" i="1"/>
  <c r="E83" i="1"/>
  <c r="C83" i="1"/>
  <c r="B83" i="1"/>
  <c r="F83" i="1" s="1"/>
  <c r="K82" i="1"/>
  <c r="I82" i="1"/>
  <c r="G82" i="1"/>
  <c r="E82" i="1"/>
  <c r="C82" i="1"/>
  <c r="B82" i="1"/>
  <c r="J82" i="1" s="1"/>
  <c r="K81" i="1"/>
  <c r="I81" i="1"/>
  <c r="G81" i="1"/>
  <c r="E81" i="1"/>
  <c r="C81" i="1"/>
  <c r="B81" i="1"/>
  <c r="J81" i="1" s="1"/>
  <c r="K80" i="1"/>
  <c r="I80" i="1"/>
  <c r="G80" i="1"/>
  <c r="E80" i="1"/>
  <c r="C80" i="1"/>
  <c r="B80" i="1"/>
  <c r="J80" i="1" s="1"/>
  <c r="K79" i="1"/>
  <c r="I79" i="1"/>
  <c r="G79" i="1"/>
  <c r="E79" i="1"/>
  <c r="C79" i="1"/>
  <c r="B79" i="1"/>
  <c r="F79" i="1" s="1"/>
  <c r="K78" i="1"/>
  <c r="I78" i="1"/>
  <c r="G78" i="1"/>
  <c r="E78" i="1"/>
  <c r="C78" i="1"/>
  <c r="B78" i="1"/>
  <c r="J78" i="1" s="1"/>
  <c r="K77" i="1"/>
  <c r="I77" i="1"/>
  <c r="G77" i="1"/>
  <c r="E77" i="1"/>
  <c r="C77" i="1"/>
  <c r="B77" i="1"/>
  <c r="J77" i="1" s="1"/>
  <c r="K76" i="1"/>
  <c r="I76" i="1"/>
  <c r="G76" i="1"/>
  <c r="E76" i="1"/>
  <c r="C76" i="1"/>
  <c r="B76" i="1"/>
  <c r="J76" i="1" s="1"/>
  <c r="K75" i="1"/>
  <c r="I75" i="1"/>
  <c r="G75" i="1"/>
  <c r="E75" i="1"/>
  <c r="C75" i="1"/>
  <c r="B75" i="1"/>
  <c r="F75" i="1" s="1"/>
  <c r="K74" i="1"/>
  <c r="I74" i="1"/>
  <c r="G74" i="1"/>
  <c r="E74" i="1"/>
  <c r="C74" i="1"/>
  <c r="B74" i="1"/>
  <c r="J74" i="1" s="1"/>
  <c r="K73" i="1"/>
  <c r="I73" i="1"/>
  <c r="G73" i="1"/>
  <c r="E73" i="1"/>
  <c r="C73" i="1"/>
  <c r="B73" i="1"/>
  <c r="J73" i="1" s="1"/>
  <c r="K72" i="1"/>
  <c r="I72" i="1"/>
  <c r="G72" i="1"/>
  <c r="E72" i="1"/>
  <c r="C72" i="1"/>
  <c r="B72" i="1"/>
  <c r="J72" i="1" s="1"/>
  <c r="K71" i="1"/>
  <c r="I71" i="1"/>
  <c r="G71" i="1"/>
  <c r="E71" i="1"/>
  <c r="C71" i="1"/>
  <c r="B71" i="1"/>
  <c r="F71" i="1" s="1"/>
  <c r="K70" i="1"/>
  <c r="I70" i="1"/>
  <c r="G70" i="1"/>
  <c r="E70" i="1"/>
  <c r="C70" i="1"/>
  <c r="B70" i="1"/>
  <c r="J70" i="1" s="1"/>
  <c r="K69" i="1"/>
  <c r="I69" i="1"/>
  <c r="G69" i="1"/>
  <c r="E69" i="1"/>
  <c r="C69" i="1"/>
  <c r="B69" i="1"/>
  <c r="J69" i="1" s="1"/>
  <c r="K68" i="1"/>
  <c r="I68" i="1"/>
  <c r="G68" i="1"/>
  <c r="E68" i="1"/>
  <c r="C68" i="1"/>
  <c r="B68" i="1"/>
  <c r="J68" i="1" s="1"/>
  <c r="K67" i="1"/>
  <c r="I67" i="1"/>
  <c r="G67" i="1"/>
  <c r="E67" i="1"/>
  <c r="C67" i="1"/>
  <c r="B67" i="1"/>
  <c r="F67" i="1" s="1"/>
  <c r="K66" i="1"/>
  <c r="I66" i="1"/>
  <c r="G66" i="1"/>
  <c r="E66" i="1"/>
  <c r="C66" i="1"/>
  <c r="B66" i="1"/>
  <c r="J66" i="1" s="1"/>
  <c r="K65" i="1"/>
  <c r="I65" i="1"/>
  <c r="G65" i="1"/>
  <c r="E65" i="1"/>
  <c r="C65" i="1"/>
  <c r="B65" i="1"/>
  <c r="J65" i="1" s="1"/>
  <c r="K64" i="1"/>
  <c r="I64" i="1"/>
  <c r="G64" i="1"/>
  <c r="E64" i="1"/>
  <c r="C64" i="1"/>
  <c r="B64" i="1"/>
  <c r="J64" i="1" s="1"/>
  <c r="K63" i="1"/>
  <c r="I63" i="1"/>
  <c r="G63" i="1"/>
  <c r="E63" i="1"/>
  <c r="C63" i="1"/>
  <c r="B63" i="1"/>
  <c r="J63" i="1" s="1"/>
  <c r="K62" i="1"/>
  <c r="I62" i="1"/>
  <c r="G62" i="1"/>
  <c r="E62" i="1"/>
  <c r="C62" i="1"/>
  <c r="B62" i="1"/>
  <c r="J62" i="1" s="1"/>
  <c r="K61" i="1"/>
  <c r="I61" i="1"/>
  <c r="G61" i="1"/>
  <c r="E61" i="1"/>
  <c r="C61" i="1"/>
  <c r="B61" i="1"/>
  <c r="J61" i="1" s="1"/>
  <c r="K60" i="1"/>
  <c r="I60" i="1"/>
  <c r="G60" i="1"/>
  <c r="E60" i="1"/>
  <c r="C60" i="1"/>
  <c r="B60" i="1"/>
  <c r="J60" i="1" s="1"/>
  <c r="K59" i="1"/>
  <c r="I59" i="1"/>
  <c r="G59" i="1"/>
  <c r="E59" i="1"/>
  <c r="C59" i="1"/>
  <c r="B59" i="1"/>
  <c r="J59" i="1" s="1"/>
  <c r="K58" i="1"/>
  <c r="I58" i="1"/>
  <c r="G58" i="1"/>
  <c r="E58" i="1"/>
  <c r="C58" i="1"/>
  <c r="B58" i="1"/>
  <c r="J58" i="1" s="1"/>
  <c r="K57" i="1"/>
  <c r="I57" i="1"/>
  <c r="G57" i="1"/>
  <c r="E57" i="1"/>
  <c r="C57" i="1"/>
  <c r="B57" i="1"/>
  <c r="J57" i="1" s="1"/>
  <c r="K56" i="1"/>
  <c r="I56" i="1"/>
  <c r="G56" i="1"/>
  <c r="E56" i="1"/>
  <c r="C56" i="1"/>
  <c r="B56" i="1"/>
  <c r="J56" i="1" s="1"/>
  <c r="K55" i="1"/>
  <c r="I55" i="1"/>
  <c r="G55" i="1"/>
  <c r="E55" i="1"/>
  <c r="C55" i="1"/>
  <c r="B55" i="1"/>
  <c r="J55" i="1" s="1"/>
  <c r="K54" i="1"/>
  <c r="I54" i="1"/>
  <c r="G54" i="1"/>
  <c r="E54" i="1"/>
  <c r="C54" i="1"/>
  <c r="B54" i="1"/>
  <c r="J54" i="1" s="1"/>
  <c r="K53" i="1"/>
  <c r="I53" i="1"/>
  <c r="G53" i="1"/>
  <c r="E53" i="1"/>
  <c r="C53" i="1"/>
  <c r="B53" i="1"/>
  <c r="J53" i="1" s="1"/>
  <c r="K52" i="1"/>
  <c r="I52" i="1"/>
  <c r="G52" i="1"/>
  <c r="E52" i="1"/>
  <c r="C52" i="1"/>
  <c r="B52" i="1"/>
  <c r="J52" i="1" s="1"/>
  <c r="K51" i="1"/>
  <c r="I51" i="1"/>
  <c r="G51" i="1"/>
  <c r="E51" i="1"/>
  <c r="C51" i="1"/>
  <c r="B51" i="1"/>
  <c r="H51" i="1" s="1"/>
  <c r="K50" i="1"/>
  <c r="I50" i="1"/>
  <c r="G50" i="1"/>
  <c r="E50" i="1"/>
  <c r="C50" i="1"/>
  <c r="B50" i="1"/>
  <c r="D50" i="1" s="1"/>
  <c r="K49" i="1"/>
  <c r="I49" i="1"/>
  <c r="G49" i="1"/>
  <c r="E49" i="1"/>
  <c r="C49" i="1"/>
  <c r="B49" i="1"/>
  <c r="J49" i="1" s="1"/>
  <c r="K48" i="1"/>
  <c r="I48" i="1"/>
  <c r="G48" i="1"/>
  <c r="E48" i="1"/>
  <c r="C48" i="1"/>
  <c r="B48" i="1"/>
  <c r="J48" i="1" s="1"/>
  <c r="K47" i="1"/>
  <c r="I47" i="1"/>
  <c r="G47" i="1"/>
  <c r="E47" i="1"/>
  <c r="C47" i="1"/>
  <c r="B47" i="1"/>
  <c r="J47" i="1" s="1"/>
  <c r="K46" i="1"/>
  <c r="I46" i="1"/>
  <c r="G46" i="1"/>
  <c r="E46" i="1"/>
  <c r="C46" i="1"/>
  <c r="B46" i="1"/>
  <c r="J46" i="1" s="1"/>
  <c r="K45" i="1"/>
  <c r="I45" i="1"/>
  <c r="G45" i="1"/>
  <c r="E45" i="1"/>
  <c r="C45" i="1"/>
  <c r="B45" i="1"/>
  <c r="J45" i="1" s="1"/>
  <c r="K44" i="1"/>
  <c r="I44" i="1"/>
  <c r="G44" i="1"/>
  <c r="E44" i="1"/>
  <c r="C44" i="1"/>
  <c r="B44" i="1"/>
  <c r="J44" i="1" s="1"/>
  <c r="K43" i="1"/>
  <c r="I43" i="1"/>
  <c r="G43" i="1"/>
  <c r="E43" i="1"/>
  <c r="C43" i="1"/>
  <c r="B43" i="1"/>
  <c r="J43" i="1" s="1"/>
  <c r="K42" i="1"/>
  <c r="I42" i="1"/>
  <c r="G42" i="1"/>
  <c r="E42" i="1"/>
  <c r="C42" i="1"/>
  <c r="B42" i="1"/>
  <c r="J42" i="1" s="1"/>
  <c r="K41" i="1"/>
  <c r="I41" i="1"/>
  <c r="G41" i="1"/>
  <c r="E41" i="1"/>
  <c r="C41" i="1"/>
  <c r="B41" i="1"/>
  <c r="J41" i="1" s="1"/>
  <c r="K40" i="1"/>
  <c r="I40" i="1"/>
  <c r="G40" i="1"/>
  <c r="E40" i="1"/>
  <c r="C40" i="1"/>
  <c r="B40" i="1"/>
  <c r="J40" i="1" s="1"/>
  <c r="K39" i="1"/>
  <c r="I39" i="1"/>
  <c r="G39" i="1"/>
  <c r="E39" i="1"/>
  <c r="C39" i="1"/>
  <c r="B39" i="1"/>
  <c r="H39" i="1" s="1"/>
  <c r="K38" i="1"/>
  <c r="I38" i="1"/>
  <c r="G38" i="1"/>
  <c r="E38" i="1"/>
  <c r="C38" i="1"/>
  <c r="B38" i="1"/>
  <c r="D38" i="1" s="1"/>
  <c r="K37" i="1"/>
  <c r="I37" i="1"/>
  <c r="G37" i="1"/>
  <c r="E37" i="1"/>
  <c r="D37" i="1"/>
  <c r="C37" i="1"/>
  <c r="B37" i="1"/>
  <c r="J37" i="1" s="1"/>
  <c r="K36" i="1"/>
  <c r="I36" i="1"/>
  <c r="G36" i="1"/>
  <c r="E36" i="1"/>
  <c r="C36" i="1"/>
  <c r="B36" i="1"/>
  <c r="J36" i="1" s="1"/>
  <c r="K35" i="1"/>
  <c r="I35" i="1"/>
  <c r="G35" i="1"/>
  <c r="E35" i="1"/>
  <c r="C35" i="1"/>
  <c r="B35" i="1"/>
  <c r="K34" i="1"/>
  <c r="I34" i="1"/>
  <c r="G34" i="1"/>
  <c r="E34" i="1"/>
  <c r="C34" i="1"/>
  <c r="B34" i="1"/>
  <c r="K33" i="1"/>
  <c r="I33" i="1"/>
  <c r="G33" i="1"/>
  <c r="E33" i="1"/>
  <c r="C33" i="1"/>
  <c r="B33" i="1"/>
  <c r="J33" i="1" s="1"/>
  <c r="K32" i="1"/>
  <c r="I32" i="1"/>
  <c r="G32" i="1"/>
  <c r="E32" i="1"/>
  <c r="C32" i="1"/>
  <c r="B32" i="1"/>
  <c r="J32" i="1" s="1"/>
  <c r="K31" i="1"/>
  <c r="I31" i="1"/>
  <c r="G31" i="1"/>
  <c r="E31" i="1"/>
  <c r="C31" i="1"/>
  <c r="B31" i="1"/>
  <c r="J31" i="1" s="1"/>
  <c r="K30" i="1"/>
  <c r="I30" i="1"/>
  <c r="G30" i="1"/>
  <c r="E30" i="1"/>
  <c r="C30" i="1"/>
  <c r="B30" i="1"/>
  <c r="J30" i="1" s="1"/>
  <c r="K29" i="1"/>
  <c r="I29" i="1"/>
  <c r="G29" i="1"/>
  <c r="E29" i="1"/>
  <c r="C29" i="1"/>
  <c r="B29" i="1"/>
  <c r="J29" i="1" s="1"/>
  <c r="K28" i="1"/>
  <c r="I28" i="1"/>
  <c r="G28" i="1"/>
  <c r="E28" i="1"/>
  <c r="C28" i="1"/>
  <c r="B28" i="1"/>
  <c r="J28" i="1" s="1"/>
  <c r="K27" i="1"/>
  <c r="I27" i="1"/>
  <c r="G27" i="1"/>
  <c r="E27" i="1"/>
  <c r="C27" i="1"/>
  <c r="B27" i="1"/>
  <c r="J27" i="1" s="1"/>
  <c r="K26" i="1"/>
  <c r="I26" i="1"/>
  <c r="G26" i="1"/>
  <c r="E26" i="1"/>
  <c r="D26" i="1"/>
  <c r="C26" i="1"/>
  <c r="B26" i="1"/>
  <c r="J26" i="1" s="1"/>
  <c r="K25" i="1"/>
  <c r="I25" i="1"/>
  <c r="G25" i="1"/>
  <c r="E25" i="1"/>
  <c r="C25" i="1"/>
  <c r="B25" i="1"/>
  <c r="J25" i="1" s="1"/>
  <c r="K24" i="1"/>
  <c r="I24" i="1"/>
  <c r="G24" i="1"/>
  <c r="E24" i="1"/>
  <c r="C24" i="1"/>
  <c r="B24" i="1"/>
  <c r="J24" i="1" s="1"/>
  <c r="K23" i="1"/>
  <c r="I23" i="1"/>
  <c r="G23" i="1"/>
  <c r="E23" i="1"/>
  <c r="C23" i="1"/>
  <c r="B23" i="1"/>
  <c r="J23" i="1" s="1"/>
  <c r="K22" i="1"/>
  <c r="I22" i="1"/>
  <c r="G22" i="1"/>
  <c r="E22" i="1"/>
  <c r="C22" i="1"/>
  <c r="B22" i="1"/>
  <c r="J22" i="1" s="1"/>
  <c r="K21" i="1"/>
  <c r="I21" i="1"/>
  <c r="G21" i="1"/>
  <c r="F21" i="1"/>
  <c r="E21" i="1"/>
  <c r="C21" i="1"/>
  <c r="B21" i="1"/>
  <c r="J21" i="1" s="1"/>
  <c r="K20" i="1"/>
  <c r="I20" i="1"/>
  <c r="G20" i="1"/>
  <c r="E20" i="1"/>
  <c r="C20" i="1"/>
  <c r="B20" i="1"/>
  <c r="J20" i="1" s="1"/>
  <c r="K19" i="1"/>
  <c r="I19" i="1"/>
  <c r="G19" i="1"/>
  <c r="E19" i="1"/>
  <c r="C19" i="1"/>
  <c r="B19" i="1"/>
  <c r="J19" i="1" s="1"/>
  <c r="K18" i="1"/>
  <c r="I18" i="1"/>
  <c r="G18" i="1"/>
  <c r="E18" i="1"/>
  <c r="C18" i="1"/>
  <c r="B18" i="1"/>
  <c r="D18" i="1" s="1"/>
  <c r="K17" i="1"/>
  <c r="I17" i="1"/>
  <c r="G17" i="1"/>
  <c r="E17" i="1"/>
  <c r="C17" i="1"/>
  <c r="B17" i="1"/>
  <c r="J17" i="1" s="1"/>
  <c r="K16" i="1"/>
  <c r="I16" i="1"/>
  <c r="H16" i="1"/>
  <c r="G16" i="1"/>
  <c r="E16" i="1"/>
  <c r="C16" i="1"/>
  <c r="B16" i="1"/>
  <c r="J16" i="1" s="1"/>
  <c r="K15" i="1"/>
  <c r="I15" i="1"/>
  <c r="G15" i="1"/>
  <c r="E15" i="1"/>
  <c r="C15" i="1"/>
  <c r="B15" i="1"/>
  <c r="J15" i="1" s="1"/>
  <c r="K14" i="1"/>
  <c r="I14" i="1"/>
  <c r="G14" i="1"/>
  <c r="E14" i="1"/>
  <c r="C14" i="1"/>
  <c r="B14" i="1"/>
  <c r="J14" i="1" s="1"/>
  <c r="K13" i="1"/>
  <c r="I13" i="1"/>
  <c r="G13" i="1"/>
  <c r="E13" i="1"/>
  <c r="C13" i="1"/>
  <c r="B13" i="1"/>
  <c r="J13" i="1" s="1"/>
  <c r="K12" i="1"/>
  <c r="I12" i="1"/>
  <c r="G12" i="1"/>
  <c r="E12" i="1"/>
  <c r="C12" i="1"/>
  <c r="B12" i="1"/>
  <c r="J12" i="1" s="1"/>
  <c r="K11" i="1"/>
  <c r="I11" i="1"/>
  <c r="G11" i="1"/>
  <c r="E11" i="1"/>
  <c r="C11" i="1"/>
  <c r="B11" i="1"/>
  <c r="J11" i="1" s="1"/>
  <c r="K10" i="1"/>
  <c r="I10" i="1"/>
  <c r="G10" i="1"/>
  <c r="E10" i="1"/>
  <c r="C10" i="1"/>
  <c r="B10" i="1"/>
  <c r="J10" i="1" s="1"/>
  <c r="K9" i="1"/>
  <c r="I9" i="1"/>
  <c r="G9" i="1"/>
  <c r="E9" i="1"/>
  <c r="C9" i="1"/>
  <c r="B9" i="1"/>
  <c r="J9" i="1" s="1"/>
  <c r="K8" i="1"/>
  <c r="I8" i="1"/>
  <c r="G8" i="1"/>
  <c r="E8" i="1"/>
  <c r="C8" i="1"/>
  <c r="B8" i="1"/>
  <c r="D8" i="1" s="1"/>
  <c r="K7" i="1"/>
  <c r="I7" i="1"/>
  <c r="G7" i="1"/>
  <c r="E7" i="1"/>
  <c r="C7" i="1"/>
  <c r="B7" i="1"/>
  <c r="H7" i="1" s="1"/>
  <c r="K6" i="1"/>
  <c r="I6" i="1"/>
  <c r="G6" i="1"/>
  <c r="E6" i="1"/>
  <c r="C6" i="1"/>
  <c r="B6" i="1"/>
  <c r="D6" i="1" s="1"/>
  <c r="K5" i="1"/>
  <c r="I5" i="1"/>
  <c r="G5" i="1"/>
  <c r="E5" i="1"/>
  <c r="C5" i="1"/>
  <c r="B5" i="1"/>
  <c r="J5" i="1" s="1"/>
  <c r="K4" i="1"/>
  <c r="I4" i="1"/>
  <c r="G4" i="1"/>
  <c r="E4" i="1"/>
  <c r="C4" i="1"/>
  <c r="B4" i="1"/>
  <c r="H4" i="1" s="1"/>
  <c r="H160" i="1" l="1"/>
  <c r="J178" i="1"/>
  <c r="H155" i="1"/>
  <c r="D145" i="1"/>
  <c r="D171" i="1"/>
  <c r="F73" i="1"/>
  <c r="D14" i="1"/>
  <c r="H131" i="1"/>
  <c r="F5" i="1"/>
  <c r="H128" i="1"/>
  <c r="F156" i="1"/>
  <c r="D160" i="1"/>
  <c r="D161" i="1"/>
  <c r="D196" i="1"/>
  <c r="F40" i="1"/>
  <c r="D48" i="1"/>
  <c r="D49" i="1"/>
  <c r="H151" i="1"/>
  <c r="J176" i="1"/>
  <c r="F108" i="1"/>
  <c r="D16" i="1"/>
  <c r="H48" i="1"/>
  <c r="D60" i="1"/>
  <c r="D85" i="1"/>
  <c r="H108" i="1"/>
  <c r="D120" i="1"/>
  <c r="D176" i="1"/>
  <c r="F128" i="1"/>
  <c r="F129" i="1"/>
  <c r="H135" i="1"/>
  <c r="D5" i="1"/>
  <c r="F4" i="1"/>
  <c r="H60" i="1"/>
  <c r="D113" i="1"/>
  <c r="H115" i="1"/>
  <c r="F137" i="1"/>
  <c r="D172" i="1"/>
  <c r="F17" i="1"/>
  <c r="H68" i="1"/>
  <c r="D140" i="1"/>
  <c r="F117" i="1"/>
  <c r="H127" i="1"/>
  <c r="D168" i="1"/>
  <c r="D180" i="1"/>
  <c r="J4" i="1"/>
  <c r="D13" i="1"/>
  <c r="F8" i="1"/>
  <c r="F60" i="1"/>
  <c r="H80" i="1"/>
  <c r="F116" i="1"/>
  <c r="D121" i="1"/>
  <c r="H139" i="1"/>
  <c r="D152" i="1"/>
  <c r="F153" i="1"/>
  <c r="D179" i="1"/>
  <c r="D184" i="1"/>
  <c r="D68" i="1"/>
  <c r="D73" i="1"/>
  <c r="H75" i="1"/>
  <c r="D188" i="1"/>
  <c r="J50" i="1"/>
  <c r="D153" i="1"/>
  <c r="H19" i="1"/>
  <c r="D41" i="1"/>
  <c r="F112" i="1"/>
  <c r="F113" i="1"/>
  <c r="D133" i="1"/>
  <c r="F152" i="1"/>
  <c r="D165" i="1"/>
  <c r="J168" i="1"/>
  <c r="D173" i="1"/>
  <c r="D181" i="1"/>
  <c r="J184" i="1"/>
  <c r="F72" i="1"/>
  <c r="F92" i="1"/>
  <c r="H120" i="1"/>
  <c r="H111" i="1"/>
  <c r="D128" i="1"/>
  <c r="F132" i="1"/>
  <c r="F133" i="1"/>
  <c r="F141" i="1"/>
  <c r="H152" i="1"/>
  <c r="F41" i="1"/>
  <c r="F9" i="1"/>
  <c r="H52" i="1"/>
  <c r="H71" i="1"/>
  <c r="F77" i="1"/>
  <c r="D108" i="1"/>
  <c r="D129" i="1"/>
  <c r="H140" i="1"/>
  <c r="F157" i="1"/>
  <c r="J165" i="1"/>
  <c r="H171" i="1"/>
  <c r="J173" i="1"/>
  <c r="H179" i="1"/>
  <c r="J181" i="1"/>
  <c r="H8" i="1"/>
  <c r="D36" i="1"/>
  <c r="J51" i="1"/>
  <c r="H91" i="1"/>
  <c r="H100" i="1"/>
  <c r="D88" i="1"/>
  <c r="D96" i="1"/>
  <c r="F36" i="1"/>
  <c r="F97" i="1"/>
  <c r="D25" i="1"/>
  <c r="F37" i="1"/>
  <c r="F88" i="1"/>
  <c r="F12" i="1"/>
  <c r="F13" i="1"/>
  <c r="F20" i="1"/>
  <c r="H36" i="1"/>
  <c r="F45" i="1"/>
  <c r="D52" i="1"/>
  <c r="F68" i="1"/>
  <c r="F76" i="1"/>
  <c r="D81" i="1"/>
  <c r="D93" i="1"/>
  <c r="H96" i="1"/>
  <c r="D4" i="1"/>
  <c r="D9" i="1"/>
  <c r="D33" i="1"/>
  <c r="F44" i="1"/>
  <c r="F53" i="1"/>
  <c r="H88" i="1"/>
  <c r="D100" i="1"/>
  <c r="D101" i="1"/>
  <c r="J18" i="1"/>
  <c r="H20" i="1"/>
  <c r="D28" i="1"/>
  <c r="D61" i="1"/>
  <c r="D62" i="1"/>
  <c r="D64" i="1"/>
  <c r="H12" i="1"/>
  <c r="D24" i="1"/>
  <c r="D29" i="1"/>
  <c r="D30" i="1"/>
  <c r="D32" i="1"/>
  <c r="H40" i="1"/>
  <c r="D57" i="1"/>
  <c r="D58" i="1"/>
  <c r="D65" i="1"/>
  <c r="H72" i="1"/>
  <c r="D84" i="1"/>
  <c r="H92" i="1"/>
  <c r="D105" i="1"/>
  <c r="H112" i="1"/>
  <c r="D125" i="1"/>
  <c r="H132" i="1"/>
  <c r="D144" i="1"/>
  <c r="D149" i="1"/>
  <c r="D164" i="1"/>
  <c r="D167" i="1"/>
  <c r="D175" i="1"/>
  <c r="D183" i="1"/>
  <c r="D187" i="1"/>
  <c r="D189" i="1"/>
  <c r="D192" i="1"/>
  <c r="D195" i="1"/>
  <c r="D197" i="1"/>
  <c r="D200" i="1"/>
  <c r="D203" i="1"/>
  <c r="F56" i="1"/>
  <c r="H59" i="1"/>
  <c r="F61" i="1"/>
  <c r="H63" i="1"/>
  <c r="F64" i="1"/>
  <c r="H67" i="1"/>
  <c r="F69" i="1"/>
  <c r="D80" i="1"/>
  <c r="H87" i="1"/>
  <c r="F89" i="1"/>
  <c r="F104" i="1"/>
  <c r="H107" i="1"/>
  <c r="F109" i="1"/>
  <c r="F124" i="1"/>
  <c r="F148" i="1"/>
  <c r="F191" i="1"/>
  <c r="F199" i="1"/>
  <c r="F28" i="1"/>
  <c r="H27" i="1"/>
  <c r="F29" i="1"/>
  <c r="H31" i="1"/>
  <c r="F32" i="1"/>
  <c r="H103" i="1"/>
  <c r="H123" i="1"/>
  <c r="F125" i="1"/>
  <c r="F144" i="1"/>
  <c r="H147" i="1"/>
  <c r="F149" i="1"/>
  <c r="F164" i="1"/>
  <c r="F167" i="1"/>
  <c r="F175" i="1"/>
  <c r="F183" i="1"/>
  <c r="F187" i="1"/>
  <c r="F192" i="1"/>
  <c r="H194" i="1"/>
  <c r="F195" i="1"/>
  <c r="F200" i="1"/>
  <c r="H202" i="1"/>
  <c r="F203" i="1"/>
  <c r="F24" i="1"/>
  <c r="F65" i="1"/>
  <c r="F84" i="1"/>
  <c r="F105" i="1"/>
  <c r="J8" i="1"/>
  <c r="D17" i="1"/>
  <c r="D20" i="1"/>
  <c r="F25" i="1"/>
  <c r="H28" i="1"/>
  <c r="F33" i="1"/>
  <c r="D44" i="1"/>
  <c r="F48" i="1"/>
  <c r="D53" i="1"/>
  <c r="H56" i="1"/>
  <c r="H64" i="1"/>
  <c r="D76" i="1"/>
  <c r="F80" i="1"/>
  <c r="H83" i="1"/>
  <c r="F85" i="1"/>
  <c r="D97" i="1"/>
  <c r="F100" i="1"/>
  <c r="H104" i="1"/>
  <c r="D116" i="1"/>
  <c r="F120" i="1"/>
  <c r="H124" i="1"/>
  <c r="D136" i="1"/>
  <c r="D141" i="1"/>
  <c r="H143" i="1"/>
  <c r="F145" i="1"/>
  <c r="H148" i="1"/>
  <c r="D156" i="1"/>
  <c r="F160" i="1"/>
  <c r="H163" i="1"/>
  <c r="F168" i="1"/>
  <c r="H170" i="1"/>
  <c r="F171" i="1"/>
  <c r="F176" i="1"/>
  <c r="H178" i="1"/>
  <c r="F179" i="1"/>
  <c r="F184" i="1"/>
  <c r="H186" i="1"/>
  <c r="H189" i="1"/>
  <c r="H191" i="1"/>
  <c r="H193" i="1"/>
  <c r="H197" i="1"/>
  <c r="H199" i="1"/>
  <c r="H201" i="1"/>
  <c r="F57" i="1"/>
  <c r="D12" i="1"/>
  <c r="F16" i="1"/>
  <c r="D21" i="1"/>
  <c r="H24" i="1"/>
  <c r="H32" i="1"/>
  <c r="D40" i="1"/>
  <c r="D45" i="1"/>
  <c r="D46" i="1"/>
  <c r="F49" i="1"/>
  <c r="F52" i="1"/>
  <c r="D72" i="1"/>
  <c r="D77" i="1"/>
  <c r="H79" i="1"/>
  <c r="F81" i="1"/>
  <c r="H84" i="1"/>
  <c r="D92" i="1"/>
  <c r="F96" i="1"/>
  <c r="H99" i="1"/>
  <c r="F101" i="1"/>
  <c r="D112" i="1"/>
  <c r="D117" i="1"/>
  <c r="H119" i="1"/>
  <c r="F121" i="1"/>
  <c r="D132" i="1"/>
  <c r="D137" i="1"/>
  <c r="F140" i="1"/>
  <c r="H144" i="1"/>
  <c r="D157" i="1"/>
  <c r="H159" i="1"/>
  <c r="F161" i="1"/>
  <c r="H164" i="1"/>
  <c r="H165" i="1"/>
  <c r="H167" i="1"/>
  <c r="H169" i="1"/>
  <c r="H173" i="1"/>
  <c r="H175" i="1"/>
  <c r="H177" i="1"/>
  <c r="H181" i="1"/>
  <c r="H183" i="1"/>
  <c r="H185" i="1"/>
  <c r="H187" i="1"/>
  <c r="J194" i="1"/>
  <c r="H195" i="1"/>
  <c r="J202" i="1"/>
  <c r="H203" i="1"/>
  <c r="J189" i="1"/>
  <c r="J192" i="1"/>
  <c r="J197" i="1"/>
  <c r="J200" i="1"/>
  <c r="H44" i="1"/>
  <c r="D56" i="1"/>
  <c r="D69" i="1"/>
  <c r="H76" i="1"/>
  <c r="D89" i="1"/>
  <c r="D104" i="1"/>
  <c r="D109" i="1"/>
  <c r="H116" i="1"/>
  <c r="D124" i="1"/>
  <c r="H136" i="1"/>
  <c r="D148" i="1"/>
  <c r="H156" i="1"/>
  <c r="D191" i="1"/>
  <c r="D199" i="1"/>
  <c r="H34" i="1"/>
  <c r="F34" i="1"/>
  <c r="F35" i="1"/>
  <c r="D35" i="1"/>
  <c r="H66" i="1"/>
  <c r="F66" i="1"/>
  <c r="D66" i="1"/>
  <c r="H98" i="1"/>
  <c r="F98" i="1"/>
  <c r="D98" i="1"/>
  <c r="H130" i="1"/>
  <c r="F130" i="1"/>
  <c r="D130" i="1"/>
  <c r="H162" i="1"/>
  <c r="F162" i="1"/>
  <c r="D162" i="1"/>
  <c r="D166" i="1"/>
  <c r="J166" i="1"/>
  <c r="H166" i="1"/>
  <c r="F166" i="1"/>
  <c r="D174" i="1"/>
  <c r="J174" i="1"/>
  <c r="H174" i="1"/>
  <c r="F174" i="1"/>
  <c r="D182" i="1"/>
  <c r="J182" i="1"/>
  <c r="H182" i="1"/>
  <c r="F182" i="1"/>
  <c r="H6" i="1"/>
  <c r="F6" i="1"/>
  <c r="F7" i="1"/>
  <c r="D7" i="1"/>
  <c r="H23" i="1"/>
  <c r="H38" i="1"/>
  <c r="F38" i="1"/>
  <c r="F39" i="1"/>
  <c r="D39" i="1"/>
  <c r="H55" i="1"/>
  <c r="H94" i="1"/>
  <c r="F94" i="1"/>
  <c r="D94" i="1"/>
  <c r="H126" i="1"/>
  <c r="F126" i="1"/>
  <c r="D126" i="1"/>
  <c r="H158" i="1"/>
  <c r="F158" i="1"/>
  <c r="D158" i="1"/>
  <c r="H10" i="1"/>
  <c r="F10" i="1"/>
  <c r="F11" i="1"/>
  <c r="D11" i="1"/>
  <c r="D34" i="1"/>
  <c r="H42" i="1"/>
  <c r="F42" i="1"/>
  <c r="F43" i="1"/>
  <c r="D43" i="1"/>
  <c r="H90" i="1"/>
  <c r="F90" i="1"/>
  <c r="D90" i="1"/>
  <c r="H122" i="1"/>
  <c r="F122" i="1"/>
  <c r="D122" i="1"/>
  <c r="H154" i="1"/>
  <c r="F154" i="1"/>
  <c r="D154" i="1"/>
  <c r="H14" i="1"/>
  <c r="F14" i="1"/>
  <c r="F15" i="1"/>
  <c r="D15" i="1"/>
  <c r="H46" i="1"/>
  <c r="F46" i="1"/>
  <c r="F47" i="1"/>
  <c r="D47" i="1"/>
  <c r="H86" i="1"/>
  <c r="F86" i="1"/>
  <c r="D86" i="1"/>
  <c r="H118" i="1"/>
  <c r="F118" i="1"/>
  <c r="D118" i="1"/>
  <c r="H150" i="1"/>
  <c r="F150" i="1"/>
  <c r="D150" i="1"/>
  <c r="D10" i="1"/>
  <c r="H18" i="1"/>
  <c r="F18" i="1"/>
  <c r="F19" i="1"/>
  <c r="D19" i="1"/>
  <c r="H35" i="1"/>
  <c r="D42" i="1"/>
  <c r="H50" i="1"/>
  <c r="F50" i="1"/>
  <c r="F51" i="1"/>
  <c r="D51" i="1"/>
  <c r="H82" i="1"/>
  <c r="F82" i="1"/>
  <c r="D82" i="1"/>
  <c r="H114" i="1"/>
  <c r="F114" i="1"/>
  <c r="D114" i="1"/>
  <c r="H146" i="1"/>
  <c r="F146" i="1"/>
  <c r="D146" i="1"/>
  <c r="H22" i="1"/>
  <c r="F22" i="1"/>
  <c r="F23" i="1"/>
  <c r="D23" i="1"/>
  <c r="H54" i="1"/>
  <c r="F54" i="1"/>
  <c r="H78" i="1"/>
  <c r="F78" i="1"/>
  <c r="D78" i="1"/>
  <c r="H110" i="1"/>
  <c r="F110" i="1"/>
  <c r="D110" i="1"/>
  <c r="H142" i="1"/>
  <c r="F142" i="1"/>
  <c r="D142" i="1"/>
  <c r="H11" i="1"/>
  <c r="H26" i="1"/>
  <c r="F26" i="1"/>
  <c r="F27" i="1"/>
  <c r="D27" i="1"/>
  <c r="J34" i="1"/>
  <c r="J35" i="1"/>
  <c r="H43" i="1"/>
  <c r="H58" i="1"/>
  <c r="F58" i="1"/>
  <c r="F59" i="1"/>
  <c r="D59" i="1"/>
  <c r="H74" i="1"/>
  <c r="F74" i="1"/>
  <c r="D74" i="1"/>
  <c r="J94" i="1"/>
  <c r="H106" i="1"/>
  <c r="F106" i="1"/>
  <c r="D106" i="1"/>
  <c r="J126" i="1"/>
  <c r="H138" i="1"/>
  <c r="F138" i="1"/>
  <c r="D138" i="1"/>
  <c r="J158" i="1"/>
  <c r="F55" i="1"/>
  <c r="D55" i="1"/>
  <c r="J6" i="1"/>
  <c r="J7" i="1"/>
  <c r="H15" i="1"/>
  <c r="D22" i="1"/>
  <c r="H30" i="1"/>
  <c r="F30" i="1"/>
  <c r="F31" i="1"/>
  <c r="D31" i="1"/>
  <c r="J38" i="1"/>
  <c r="J39" i="1"/>
  <c r="H47" i="1"/>
  <c r="D54" i="1"/>
  <c r="H62" i="1"/>
  <c r="F62" i="1"/>
  <c r="F63" i="1"/>
  <c r="D63" i="1"/>
  <c r="H70" i="1"/>
  <c r="F70" i="1"/>
  <c r="D70" i="1"/>
  <c r="J90" i="1"/>
  <c r="H102" i="1"/>
  <c r="F102" i="1"/>
  <c r="D102" i="1"/>
  <c r="J122" i="1"/>
  <c r="H134" i="1"/>
  <c r="F134" i="1"/>
  <c r="D134" i="1"/>
  <c r="J154" i="1"/>
  <c r="D190" i="1"/>
  <c r="J190" i="1"/>
  <c r="H190" i="1"/>
  <c r="F190" i="1"/>
  <c r="D198" i="1"/>
  <c r="J198" i="1"/>
  <c r="H198" i="1"/>
  <c r="F198" i="1"/>
  <c r="J169" i="1"/>
  <c r="F172" i="1"/>
  <c r="J177" i="1"/>
  <c r="F180" i="1"/>
  <c r="J185" i="1"/>
  <c r="F188" i="1"/>
  <c r="J193" i="1"/>
  <c r="F196" i="1"/>
  <c r="J201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86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D67" i="1"/>
  <c r="H69" i="1"/>
  <c r="D71" i="1"/>
  <c r="H73" i="1"/>
  <c r="D75" i="1"/>
  <c r="H77" i="1"/>
  <c r="D79" i="1"/>
  <c r="H81" i="1"/>
  <c r="D83" i="1"/>
  <c r="H85" i="1"/>
  <c r="D87" i="1"/>
  <c r="H89" i="1"/>
  <c r="D91" i="1"/>
  <c r="H93" i="1"/>
  <c r="D95" i="1"/>
  <c r="H97" i="1"/>
  <c r="D99" i="1"/>
  <c r="H101" i="1"/>
  <c r="D103" i="1"/>
  <c r="H105" i="1"/>
  <c r="D107" i="1"/>
  <c r="H109" i="1"/>
  <c r="D111" i="1"/>
  <c r="H113" i="1"/>
  <c r="D115" i="1"/>
  <c r="H117" i="1"/>
  <c r="D119" i="1"/>
  <c r="H121" i="1"/>
  <c r="D123" i="1"/>
  <c r="H125" i="1"/>
  <c r="D127" i="1"/>
  <c r="H129" i="1"/>
  <c r="D131" i="1"/>
  <c r="H133" i="1"/>
  <c r="D135" i="1"/>
  <c r="H137" i="1"/>
  <c r="D139" i="1"/>
  <c r="H141" i="1"/>
  <c r="D143" i="1"/>
  <c r="H145" i="1"/>
  <c r="D147" i="1"/>
  <c r="H149" i="1"/>
  <c r="D151" i="1"/>
  <c r="H153" i="1"/>
  <c r="D155" i="1"/>
  <c r="H157" i="1"/>
  <c r="D159" i="1"/>
  <c r="H161" i="1"/>
  <c r="D163" i="1"/>
  <c r="D169" i="1"/>
  <c r="J172" i="1"/>
  <c r="D177" i="1"/>
  <c r="J180" i="1"/>
  <c r="D185" i="1"/>
  <c r="J188" i="1"/>
  <c r="D193" i="1"/>
  <c r="J196" i="1"/>
  <c r="D201" i="1"/>
  <c r="F170" i="1"/>
  <c r="F178" i="1"/>
  <c r="F186" i="1"/>
  <c r="F194" i="1"/>
  <c r="F202" i="1"/>
  <c r="A34" i="1" l="1"/>
  <c r="A79" i="1"/>
  <c r="A127" i="1"/>
  <c r="A166" i="1"/>
  <c r="A29" i="1"/>
  <c r="A62" i="1"/>
  <c r="A101" i="1"/>
  <c r="A143" i="1"/>
  <c r="A183" i="1"/>
  <c r="A6" i="1"/>
  <c r="A24" i="1"/>
  <c r="A43" i="1"/>
  <c r="A67" i="1"/>
  <c r="A95" i="1"/>
  <c r="A108" i="1"/>
  <c r="A135" i="1"/>
  <c r="A159" i="1"/>
  <c r="A175" i="1"/>
  <c r="A200" i="1"/>
  <c r="A14" i="1"/>
  <c r="A54" i="1"/>
  <c r="A88" i="1"/>
  <c r="A118" i="1"/>
  <c r="A151" i="1"/>
  <c r="A191" i="1"/>
  <c r="A133" i="1"/>
  <c r="A23" i="1"/>
  <c r="A78" i="1"/>
  <c r="A120" i="1"/>
  <c r="A184" i="1"/>
  <c r="A5" i="1"/>
  <c r="A52" i="1"/>
  <c r="A152" i="1"/>
  <c r="A18" i="1"/>
  <c r="A112" i="1"/>
  <c r="A201" i="1"/>
  <c r="A64" i="1"/>
  <c r="A168" i="1"/>
  <c r="A51" i="1"/>
  <c r="A137" i="1"/>
  <c r="A21" i="1"/>
  <c r="A50" i="1"/>
  <c r="A77" i="1"/>
  <c r="A104" i="1"/>
  <c r="A122" i="1"/>
  <c r="A154" i="1"/>
  <c r="A42" i="1"/>
  <c r="A94" i="1"/>
  <c r="A136" i="1"/>
  <c r="A199" i="1"/>
  <c r="A41" i="1"/>
  <c r="A81" i="1"/>
  <c r="A121" i="1"/>
  <c r="A161" i="1"/>
  <c r="A193" i="1"/>
  <c r="A9" i="1"/>
  <c r="A17" i="1"/>
  <c r="A31" i="1"/>
  <c r="A40" i="1"/>
  <c r="A57" i="1"/>
  <c r="A66" i="1"/>
  <c r="A80" i="1"/>
  <c r="A89" i="1"/>
  <c r="A97" i="1"/>
  <c r="A113" i="1"/>
  <c r="A84" i="1"/>
  <c r="A147" i="1"/>
  <c r="A38" i="1"/>
  <c r="A7" i="1"/>
  <c r="A53" i="1"/>
  <c r="A100" i="1"/>
  <c r="A145" i="1"/>
  <c r="A192" i="1"/>
  <c r="A22" i="1"/>
  <c r="A63" i="1"/>
  <c r="A98" i="1"/>
  <c r="A144" i="1"/>
  <c r="A177" i="1"/>
  <c r="A106" i="1"/>
  <c r="A172" i="1"/>
  <c r="A188" i="1"/>
  <c r="A33" i="1"/>
  <c r="A87" i="1"/>
  <c r="A128" i="1"/>
  <c r="A176" i="1"/>
  <c r="A32" i="1"/>
  <c r="A71" i="1"/>
  <c r="A105" i="1"/>
  <c r="A153" i="1"/>
  <c r="A185" i="1"/>
  <c r="A26" i="1"/>
  <c r="A36" i="1"/>
  <c r="A47" i="1"/>
  <c r="A69" i="1"/>
  <c r="A82" i="1"/>
  <c r="A103" i="1"/>
  <c r="A117" i="1"/>
  <c r="A149" i="1"/>
  <c r="A157" i="1"/>
  <c r="A173" i="1"/>
  <c r="A189" i="1"/>
  <c r="A15" i="1"/>
  <c r="A72" i="1"/>
  <c r="A111" i="1"/>
  <c r="A160" i="1"/>
  <c r="A8" i="1"/>
  <c r="A58" i="1"/>
  <c r="A86" i="1"/>
  <c r="A129" i="1"/>
  <c r="A169" i="1"/>
  <c r="A12" i="1"/>
  <c r="A27" i="1"/>
  <c r="A45" i="1"/>
  <c r="A60" i="1"/>
  <c r="A74" i="1"/>
  <c r="A93" i="1"/>
  <c r="A110" i="1"/>
  <c r="A125" i="1"/>
  <c r="A141" i="1"/>
  <c r="A165" i="1"/>
  <c r="A181" i="1"/>
  <c r="A198" i="1"/>
  <c r="A13" i="1"/>
  <c r="A25" i="1"/>
  <c r="A30" i="1"/>
  <c r="A35" i="1"/>
  <c r="A44" i="1"/>
  <c r="A55" i="1"/>
  <c r="A59" i="1"/>
  <c r="A68" i="1"/>
  <c r="A73" i="1"/>
  <c r="A85" i="1"/>
  <c r="A92" i="1"/>
  <c r="A102" i="1"/>
  <c r="A109" i="1"/>
  <c r="A119" i="1"/>
  <c r="A126" i="1"/>
  <c r="A134" i="1"/>
  <c r="A142" i="1"/>
  <c r="A150" i="1"/>
  <c r="A158" i="1"/>
  <c r="A167" i="1"/>
  <c r="A174" i="1"/>
  <c r="A182" i="1"/>
  <c r="A190" i="1"/>
  <c r="A197" i="1"/>
  <c r="A4" i="1"/>
  <c r="A116" i="1"/>
  <c r="A130" i="1"/>
  <c r="A146" i="1"/>
  <c r="A170" i="1"/>
  <c r="A194" i="1"/>
  <c r="A16" i="1"/>
  <c r="A49" i="1"/>
  <c r="A65" i="1"/>
  <c r="A96" i="1"/>
  <c r="A114" i="1"/>
  <c r="A139" i="1"/>
  <c r="A163" i="1"/>
  <c r="A179" i="1"/>
  <c r="A195" i="1"/>
  <c r="A138" i="1"/>
  <c r="A162" i="1"/>
  <c r="A178" i="1"/>
  <c r="A186" i="1"/>
  <c r="A203" i="1"/>
  <c r="A10" i="1"/>
  <c r="A20" i="1"/>
  <c r="A39" i="1"/>
  <c r="A56" i="1"/>
  <c r="A76" i="1"/>
  <c r="A90" i="1"/>
  <c r="A107" i="1"/>
  <c r="A123" i="1"/>
  <c r="A131" i="1"/>
  <c r="A155" i="1"/>
  <c r="A171" i="1"/>
  <c r="A187" i="1"/>
  <c r="A202" i="1"/>
  <c r="A11" i="1"/>
  <c r="A19" i="1"/>
  <c r="A28" i="1"/>
  <c r="A37" i="1"/>
  <c r="A46" i="1"/>
  <c r="A48" i="1"/>
  <c r="A61" i="1"/>
  <c r="A70" i="1"/>
  <c r="A75" i="1"/>
  <c r="A83" i="1"/>
  <c r="A91" i="1"/>
  <c r="A99" i="1"/>
  <c r="A115" i="1"/>
  <c r="A124" i="1"/>
  <c r="A132" i="1"/>
  <c r="A140" i="1"/>
  <c r="A148" i="1"/>
  <c r="A156" i="1"/>
  <c r="A164" i="1"/>
  <c r="A180" i="1"/>
  <c r="A196" i="1"/>
</calcChain>
</file>

<file path=xl/sharedStrings.xml><?xml version="1.0" encoding="utf-8"?>
<sst xmlns="http://schemas.openxmlformats.org/spreadsheetml/2006/main" count="4171" uniqueCount="577">
  <si>
    <t>Q1</t>
  </si>
  <si>
    <t>Q1 remark</t>
  </si>
  <si>
    <t>Q2</t>
  </si>
  <si>
    <t>Q2 remark</t>
  </si>
  <si>
    <t>Q3</t>
  </si>
  <si>
    <t>Q3 remark</t>
  </si>
  <si>
    <t>Q4</t>
  </si>
  <si>
    <t>Datetime submission</t>
  </si>
  <si>
    <t>Q1 point</t>
  </si>
  <si>
    <t>Q2 point</t>
  </si>
  <si>
    <t>Q3 point</t>
  </si>
  <si>
    <t>FU type</t>
  </si>
  <si>
    <t>Notif / Job Order</t>
  </si>
  <si>
    <t>id</t>
  </si>
  <si>
    <t>uid</t>
  </si>
  <si>
    <t>pid</t>
  </si>
  <si>
    <t>q1 value</t>
  </si>
  <si>
    <t>q2 value</t>
  </si>
  <si>
    <t>q3 value</t>
  </si>
  <si>
    <t>q4 value</t>
  </si>
  <si>
    <t>q5 value</t>
  </si>
  <si>
    <t>q6 value</t>
  </si>
  <si>
    <t>q7 value</t>
  </si>
  <si>
    <t>Total</t>
  </si>
  <si>
    <t>q1 text</t>
  </si>
  <si>
    <t>q2 text</t>
  </si>
  <si>
    <t>q3 text</t>
  </si>
  <si>
    <t>q4 text</t>
  </si>
  <si>
    <t>q5 text</t>
  </si>
  <si>
    <t>q6 text</t>
  </si>
  <si>
    <t>q7text</t>
  </si>
  <si>
    <t>q1 answer</t>
  </si>
  <si>
    <t>q2 answer</t>
  </si>
  <si>
    <t>q3 answer</t>
  </si>
  <si>
    <t>q4 answer</t>
  </si>
  <si>
    <t>q5 answer</t>
  </si>
  <si>
    <t>q6 answer</t>
  </si>
  <si>
    <t>q7 answer</t>
  </si>
  <si>
    <t>date</t>
  </si>
  <si>
    <t>ref</t>
  </si>
  <si>
    <t>browser1</t>
  </si>
  <si>
    <t>ipaddress</t>
  </si>
  <si>
    <t>ipaddress_country</t>
  </si>
  <si>
    <t>M</t>
  </si>
  <si>
    <t>FU-ACInstall</t>
  </si>
  <si>
    <t>10</t>
  </si>
  <si>
    <t/>
  </si>
  <si>
    <t>Ya</t>
  </si>
  <si>
    <t>Baik / Dingin</t>
  </si>
  <si>
    <t>Baik</t>
  </si>
  <si>
    <t>Mozilla/5.0 (Linux; Android 10; K) AppleWebKit/537.36 (KHTML, like Gecko) Chrome/126.0.0.0 Mobile Safari/537.36</t>
  </si>
  <si>
    <t>Mozilla/5.0 (Linux; Android 10; K) AppleWebKit/537.36 (KHTML, like Gecko) SamsungBrowser/25.0 Chrome/121.0.0.0 Mobile Safari/537.36</t>
  </si>
  <si>
    <t>Mozilla/5.0 (iPhone; CPU iPhone OS 17_5 like Mac OS X) AppleWebKit/605.1.15 (KHTML, like Gecko) CriOS/127.0.6533.107 Mobile/15E148 Safari/604.1</t>
  </si>
  <si>
    <t>Mozilla/5.0 (Linux; Android 10; K) AppleWebKit/537.36 (KHTML, like Gecko) Chrome/127.0.0.0 Mobile Safari/537.36</t>
  </si>
  <si>
    <t>-10</t>
  </si>
  <si>
    <t>Tidak, bukan dari Sharp</t>
  </si>
  <si>
    <t>Mozilla/5.0 (Linux; Android 10; K) AppleWebKit/537.36 (KHTML, like Gecko) SamsungBrowser/26.0 Chrome/122.0.0.0 Mobile Safari/537.36</t>
  </si>
  <si>
    <t>5</t>
  </si>
  <si>
    <t>Tidak sesuai harapan</t>
  </si>
  <si>
    <t>Mozilla/5.0 (iPhone; CPU iPhone OS 17_5_1 like Mac OS X) AppleWebKit/605.1.15 (KHTML, like Gecko) Version/17.5 Mobile/15E148 Safari/604.1</t>
  </si>
  <si>
    <t>Mozilla/5.0 (Linux; Android 10; K) AppleWebKit/537.36 (KHTML, like Gecko) Chrome/112.0.5615.136 Mobile Safari/537.36 XiaoMi/MiuiBrowser/14.13.0-gn</t>
  </si>
  <si>
    <t>Mozilla/5.0 (Linux; Android 10; K) AppleWebKit/537.36 (KHTML, like Gecko) Chrome/116.0.0.0 Mobile Safari/537.36</t>
  </si>
  <si>
    <t>Mozilla/5.0 (Linux; Android 10; K) AppleWebKit/537.36 (KHTML, like Gecko) Chrome/119.0.0.0 Mobile Safari/537.36</t>
  </si>
  <si>
    <t>FU-Z1-Eng</t>
  </si>
  <si>
    <t>Bergaransi dan Tidak dikenakan biaya</t>
  </si>
  <si>
    <t>Jelas</t>
  </si>
  <si>
    <t>3</t>
  </si>
  <si>
    <t>Cukup Baik</t>
  </si>
  <si>
    <t xml:space="preserve">Sangat Baik	</t>
  </si>
  <si>
    <t>Mozilla/5.0 (Windows NT 10.0; Win64; x64) AppleWebKit/537.36 (KHTML, like Gecko) Chrome/127.0.0.0 Safari/537.36</t>
  </si>
  <si>
    <t>Bergaransi dan dikenakan biaya</t>
  </si>
  <si>
    <t>Tidak bergaransi dan dikenakan biaya</t>
  </si>
  <si>
    <t>Mozilla/5.0 (Linux; Android 10; K) AppleWebKit/537.36 (KHTML, like Gecko) Chrome/124.0.0.0 Mobile Safari/537.36</t>
  </si>
  <si>
    <t>-5</t>
  </si>
  <si>
    <t>Tidak ada penjelasan</t>
  </si>
  <si>
    <t>Masih rusak (kerusakan sama)</t>
  </si>
  <si>
    <t>Kurang Jelas</t>
  </si>
  <si>
    <t>Tidak tahu / lupa</t>
  </si>
  <si>
    <t>Masih rusak (kerusakan lain)</t>
  </si>
  <si>
    <t>Mozilla/5.0 (Windows NT 10.0; Win64; x64) AppleWebKit/537.36 (KHTML, like Gecko) Chrome/127.0.0.0 Safari/537.36 Edg/127.0.0.0</t>
  </si>
  <si>
    <t>Mozilla/5.0 (iPhone; CPU iPhone OS 16_7_8 like Mac OS X) AppleWebKit/605.1.15 (KHTML, like Gecko) Version/16.6 Mobile/15E148 Safari/604.1</t>
  </si>
  <si>
    <t>Tidak Baik</t>
  </si>
  <si>
    <t>Mozilla/5.0 (Linux; Android 10; K) AppleWebKit/537.36 (KHTML, like Gecko) Chrome/125.0.0.0 Mobile Safari/537.36</t>
  </si>
  <si>
    <t>Mozilla/5.0 (iPhone; CPU iPhone OS 17_6_1 like Mac OS X) AppleWebKit/605.1.15 (KHTML, like Gecko) Version/17.6 Mobile/15E148 Safari/604.1</t>
  </si>
  <si>
    <t>Mozilla/5.0 (Windows NT 10.0; Win64; x64; rv:129.0) Gecko/20100101 Firefox/129.0</t>
  </si>
  <si>
    <t>Mozilla/5.0 (Linux; U; Android 8.1.0; in-id; CPH1901 Build/OPM1.171019.026) AppleWebKit/537.36 (KHTML, like Gecko) Chrome/91.0.4472.88 Mobile Safari/537.36 HeyTapBrowser/15.11.1.1</t>
  </si>
  <si>
    <t>Kurang Baik</t>
  </si>
  <si>
    <t>Mozilla/5.0 (X11; Linux x86_64) AppleWebKit/537.36 (KHTML, like Gecko) Safari/537.36 HeyTapBrowser/45.11.1.1 Chrome/91.0.4472.88</t>
  </si>
  <si>
    <t>Mozilla/5.0 (Linux; U; Android 11; in-id; CPH2269 Build/RP1A.200720.011) AppleWebKit/537.36 (KHTML, like Gecko) Chrome/91.0.4472.88 Mobile Safari/537.36 HeyTapBrowser/45.11.1.1</t>
  </si>
  <si>
    <t>Mozilla/5.0 (Linux; Android 10; K) AppleWebKit/537.36 (KHTML, like Gecko) SamsungBrowser/24.0 Chrome/117.0.0.0 Mobile Safari/537.36</t>
  </si>
  <si>
    <t>Mozilla/5.0 (Linux; U; Android 14; in-id; CPH2473 Build/TP1A.220905.001) AppleWebKit/537.36 (KHTML, like Gecko) Chrome/91.0.4472.88 Mobile Safari/537.36 HeyTapBrowser/45.11.1.1</t>
  </si>
  <si>
    <t>Mozilla/5.0 (Linux; U; Android 11; in-id; CPH1937 Build/RKQ1.200903.002) AppleWebKit/537.36 (KHTML, like Gecko) Chrome/91.0.4472.88 Mobile Safari/537.36 HeyTapBrowser/45.11.1.1</t>
  </si>
  <si>
    <t>Mozilla/5.0 (Linux; U; Android 8.1.0; in-id; CPH1803 Build/OPM1.171019.026) AppleWebKit/537.36 (KHTML, like Gecko) Chrome/91.0.4472.88 Mobile Safari/537.36 HeyTapBrowser/15.10.7.1.1</t>
  </si>
  <si>
    <t>Mozilla/5.0 (Linux; U; Android 13; in-id; CPH2159 Build/TP1A.220905.001) AppleWebKit/537.36 (KHTML, like Gecko) Chrome/91.0.4472.88 Mobile Safari/537.36 HeyTapBrowser/45.11.1.1</t>
  </si>
  <si>
    <t>No</t>
  </si>
  <si>
    <t>RANGKUMAN HASIL WEB SURVEY (CS SURVEY BY WEB)</t>
  </si>
  <si>
    <t>OPTIONS LIST OF WEB SURVEY FILLING</t>
  </si>
  <si>
    <t>AC INSTALL</t>
  </si>
  <si>
    <t>REPAIR</t>
  </si>
  <si>
    <t>Good</t>
  </si>
  <si>
    <t>Spec Under Expectation</t>
  </si>
  <si>
    <t>Cancel High Cost</t>
  </si>
  <si>
    <t>Cancel Part NLA</t>
  </si>
  <si>
    <t>Not Good</t>
  </si>
  <si>
    <t>Very Good</t>
  </si>
  <si>
    <t>Average</t>
  </si>
  <si>
    <t>Not Fairly Good</t>
  </si>
  <si>
    <t>Bad</t>
  </si>
  <si>
    <t>Appropriate with SAP / in Warranty</t>
  </si>
  <si>
    <t>Different with SAP</t>
  </si>
  <si>
    <t>Yes, There is installation</t>
  </si>
  <si>
    <t>No installation from SHARP</t>
  </si>
  <si>
    <t>Poor</t>
  </si>
  <si>
    <t>Cost</t>
  </si>
  <si>
    <t>C. Capture</t>
  </si>
  <si>
    <t>{"status":"success","country":"Japan","countryCode":"JP","region":"13","regionName":"Tokyo","city":"Chiyoda","zip":"100-8111","lat":35.6916,"lon":139.768,"timezone":"Asia/Tokyo","isp":"SHARP","org":"Sharp Corporation","as":"AS4713 NTT Communications Corporation","query":"211.130.174.223"}</t>
  </si>
  <si>
    <t>211.130.174.223</t>
  </si>
  <si>
    <t>100865830222</t>
  </si>
  <si>
    <t>22 Aug 2024 09:51</t>
  </si>
  <si>
    <t>B. Report</t>
  </si>
  <si>
    <t xml:space="preserve">Tidak ada penjelasan </t>
  </si>
  <si>
    <t xml:space="preserve">Kurang Jelas </t>
  </si>
  <si>
    <t xml:space="preserve"> Bagaimana penjelasan yang diberikan oleh teknisi setelah perbaikan? </t>
  </si>
  <si>
    <t xml:space="preserve"> Tidak tahu / lupa </t>
  </si>
  <si>
    <t xml:space="preserve"> Tidak bergaransi dan dikenakan biaya </t>
  </si>
  <si>
    <t xml:space="preserve"> Bergaransi dan dikenakan biaya </t>
  </si>
  <si>
    <t xml:space="preserve"> Bergaransi dan Tidak dikenakan biaya </t>
  </si>
  <si>
    <t xml:space="preserve"> Apakah Bapak/Ibu dikenakan biaya pada saat perbaikan </t>
  </si>
  <si>
    <t xml:space="preserve"> Mohon jelaskan sikap teknisi tidak baik seperti apa?</t>
  </si>
  <si>
    <t xml:space="preserve">Kurang Baik </t>
  </si>
  <si>
    <t xml:space="preserve">Cukup Baik </t>
  </si>
  <si>
    <t xml:space="preserve">Sangat Baik </t>
  </si>
  <si>
    <t xml:space="preserve">Bagaimana sikap serta keramahan teknisi kami? </t>
  </si>
  <si>
    <t xml:space="preserve">Bagaimana kondisi produk Sharp Bapak / Ibu saat ini setelah diperbaiki? </t>
  </si>
  <si>
    <t>A. Quistioner</t>
  </si>
  <si>
    <t>1106A240211999</t>
  </si>
  <si>
    <t>22 Aug 2024 10:27</t>
  </si>
  <si>
    <t>Tidak baik</t>
  </si>
  <si>
    <t xml:space="preserve">Tidak baik </t>
  </si>
  <si>
    <t xml:space="preserve">Biasa saja </t>
  </si>
  <si>
    <t xml:space="preserve">Bagaimana fungsi pendinginan AC Anda setelah diinstal? </t>
  </si>
  <si>
    <t xml:space="preserve">Apakah instalasi AC Anda telah dilakukan oleh teknisi Sharp? </t>
  </si>
  <si>
    <t>Mohon diisi dengan jenis kerusakan saat ini:</t>
  </si>
  <si>
    <t>KCP10A2400001</t>
  </si>
  <si>
    <t>KCP10A2400002</t>
  </si>
  <si>
    <t>KCP10A2400003</t>
  </si>
  <si>
    <t>KCP10A2400002 &amp; KCP10A2400003</t>
  </si>
  <si>
    <t>Explanation</t>
  </si>
  <si>
    <t>Kurang jelas</t>
  </si>
  <si>
    <t>Q4 point</t>
  </si>
  <si>
    <t>Yes, There is installation (10)</t>
  </si>
  <si>
    <t>Good (10)</t>
  </si>
  <si>
    <t>-</t>
  </si>
  <si>
    <t>No installation from SHARP (-10)</t>
  </si>
  <si>
    <t>Spec Under Expectation (5)</t>
  </si>
  <si>
    <t>Good (5)</t>
  </si>
  <si>
    <t>Appropriate with SAP / in Warranty (10)</t>
  </si>
  <si>
    <t>Jelas (5)</t>
  </si>
  <si>
    <t>Average (3)</t>
  </si>
  <si>
    <t>Very Good (10)</t>
  </si>
  <si>
    <t>Different with SAP (-10)</t>
  </si>
  <si>
    <t>Tidak ada penjelasan (-5)</t>
  </si>
  <si>
    <t>Not Good (-10)</t>
  </si>
  <si>
    <t>Kurang jelas (3)</t>
  </si>
  <si>
    <t>Bad (-10)</t>
  </si>
  <si>
    <t>Not Fairly Good (-5)</t>
  </si>
  <si>
    <t>DATA ON THOSE COLUMN WILL BE UPLOADED</t>
  </si>
  <si>
    <t>COPY PASTE VALUE HERE</t>
  </si>
  <si>
    <t>21 Aug 2024 16:53</t>
  </si>
  <si>
    <t>TBS13A2400330</t>
  </si>
  <si>
    <t>114.10.147.146</t>
  </si>
  <si>
    <t>{"status":"success","country":"Indonesia","countryCode":"ID","region":"JB","regionName":"West Java","city":"Bandung","zip":"","lat":-6.9217,"lon":107.6071,"timezone":"Asia/Jakarta","isp":"PT. INDOSAT Tbk","org":"IOH B2B","as":"AS4761 INDOSAT Internet Network Provider","query":"114.10.147.146"}</t>
  </si>
  <si>
    <t>21 Aug 2024 15:43</t>
  </si>
  <si>
    <t>TBS13A2400333</t>
  </si>
  <si>
    <t>182.2.142.127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</si>
  <si>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Selular","query":"182.2.142.127"}</t>
  </si>
  <si>
    <t>21 Aug 2024 15:30</t>
  </si>
  <si>
    <t>EMT19A2400123</t>
  </si>
  <si>
    <t>118.137.63.33</t>
  </si>
  <si>
    <t>{"status":"success","country":"Indonesia","countryCode":"ID","region":"JI","regionName":"East Java","city":"Surabaya","zip":"","lat":-7.2484,"lon":112.7419,"timezone":"Asia/Jakarta","isp":"Linknet-Fastnet ASN","org":"FastNet768","as":"AS23700 Linknet-Fastnet ASN","query":"118.137.63.33"}</t>
  </si>
  <si>
    <t>21 Aug 2024 15:13</t>
  </si>
  <si>
    <t>TBS13A2400337</t>
  </si>
  <si>
    <t>180.252.22.243</t>
  </si>
  <si>
    <t>{"status":"success","country":"Indonesia","countryCode":"ID","region":"JB","regionName":"West Java","city":"Bandung","zip":"","lat":-6.9217,"lon":107.6071,"timezone":"Asia/Jakarta","isp":"PT. TELKOM INDONESIA","org":"","as":"AS7713 PT Telekomunikasi Indonesia","query":"180.252.22.243"}</t>
  </si>
  <si>
    <t>21 Aug 2024 22:51</t>
  </si>
  <si>
    <t>100891867</t>
  </si>
  <si>
    <t>114.122.229.6</t>
  </si>
  <si>
    <t>{"status":"success","country":"Indonesia","countryCode":"ID","region":"JK","regionName":"Jakarta","city":"Jakarta","zip":"","lat":-6.18051,"lon":106.828,"timezone":"Asia/Jakarta","isp":"PT Telekomunikasi Selular Indonesia","org":"","as":"AS23693 PT. Telekomunikasi Selular","query":"114.122.229.6"}</t>
  </si>
  <si>
    <t>21 Aug 2024 22:08</t>
  </si>
  <si>
    <t>203906108</t>
  </si>
  <si>
    <t>182.3.46.30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</si>
  <si>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Selular","query":"182.3.46.30"}</t>
  </si>
  <si>
    <t>21 Aug 2024 20:35</t>
  </si>
  <si>
    <t>203909527</t>
  </si>
  <si>
    <t>Mozilla/5.0 (Linux; U; Android 8.1.0; in-id; CPH1803 Build/OPM1.171019.026) AppleWebKit/537.36 (KHTML, like Gecko) Chrome/91.0.4472.88 Mobile Safari/537.36 HeyTapBrowser/15.10.3.4.1</t>
  </si>
  <si>
    <t>203.153.20.8</t>
  </si>
  <si>
    <t>{"status":"success","country":"Indonesia","countryCode":"ID","region":"RI","regionName":"Riau","city":"Dumai","zip":"","lat":1.6655,"lon":101.4396,"timezone":"Asia/Jakarta","isp":"PT Mayatama Solusindo","org":"Mayatama","as":"AS131769 PT Mayatama Solusindo","query":"203.153.20.8"}</t>
  </si>
  <si>
    <t>21 Aug 2024 20:34</t>
  </si>
  <si>
    <t>100892750</t>
  </si>
  <si>
    <t>182.4.198.225</t>
  </si>
  <si>
    <t>{"status":"success","country":"Indonesia","countryCode":"ID","region":"NT","regionName":"East Nusa Tenggara","city":"Kupang","zip":"","lat":-10.1676,"lon":123.6107,"timezone":"Asia/Makassar","isp":"PT Telekomunikasi Selular Indonesia","org":"","as":"AS23693 PT. Telekomunikasi Selular","query":"182.4.198.225"}</t>
  </si>
  <si>
    <t>21 Aug 2024 19:49</t>
  </si>
  <si>
    <t>203909674</t>
  </si>
  <si>
    <t>Mozilla/5.0 (Linux; U; Android 14; in-mm; RMX3393 Build/UKQ1.230924.001) AppleWebKit/537.36 (KHTML, like Gecko) Chrome/91.0.4472.88 Mobile Safari/537.36 HeyTapBrowser/45.11.1.1</t>
  </si>
  <si>
    <t>103.171.245.154</t>
  </si>
  <si>
    <t>{"status":"success","country":"Indonesia","countryCode":"ID","region":"JI","regionName":"East Java","city":"Ngawi","zip":"","lat":-7.4049,"lon":111.4498,"timezone":"Asia/Jakarta","isp":"PT Data Arta Sedaya","org":"Amandanet, CV","as":"AS141674 PT Data Arta Sedaya","query":"103.171.245.154"}</t>
  </si>
  <si>
    <t>21 Aug 2024 19:45</t>
  </si>
  <si>
    <t>100893725</t>
  </si>
  <si>
    <t>110.138.83.200</t>
  </si>
  <si>
    <t>{"status":"success","country":"Indonesia","countryCode":"ID","region":"JK","regionName":"Jakarta","city":"Jakarta","zip":"","lat":-6.2114,"lon":106.8446,"timezone":"Asia/Jakarta","isp":"PT. TELKOM INDONESIA","org":"","as":"AS7713 PT Telekomunikasi Indonesia","query":"110.138.83.200"}</t>
  </si>
  <si>
    <t>21 Aug 2024 19:03</t>
  </si>
  <si>
    <t>203906953</t>
  </si>
  <si>
    <t>182.2.4.18</t>
  </si>
  <si>
    <t>{"status":"success","country":"Indonesia","countryCode":"ID","region":"RI","regionName":"Riau","city":"Batam","zip":"","lat":1.1568,"lon":104.047,"timezone":"Asia/Jakarta","isp":"PT Telekomunikasi Selular Indonesia","org":"","as":"AS23693 PT. Telekomunikasi Selular","query":"182.2.4.18"}</t>
  </si>
  <si>
    <t>21 Aug 2024 18:56</t>
  </si>
  <si>
    <t>100892571</t>
  </si>
  <si>
    <t>103.148.45.89</t>
  </si>
  <si>
    <t>{"status":"success","country":"Indonesia","countryCode":"ID","region":"JA","regionName":"Jambi","city":"Jambi City","zip":"","lat":-1.5985,"lon":103.6196,"timezone":"Asia/Jakarta","isp":"PT BUANA VISUALNET SENTRA","org":"","as":"AS139982 PT Buana Visualnet Sentra","query":"103.148.45.89"}</t>
  </si>
  <si>
    <t>21 Aug 2024 18:55</t>
  </si>
  <si>
    <t>203901245</t>
  </si>
  <si>
    <t>180.252.114.159</t>
  </si>
  <si>
    <t>{"status":"success","country":"Indonesia","countryCode":"ID","region":"JK","regionName":"Jakarta","city":"Jakarta","zip":"","lat":-6.2114,"lon":106.8446,"timezone":"Asia/Jakarta","isp":"PT. TELKOM INDONESIA","org":"","as":"AS7713 PT Telekomunikasi Indonesia","query":"180.252.114.159"}</t>
  </si>
  <si>
    <t>21 Aug 2024 18:54</t>
  </si>
  <si>
    <t>203909746</t>
  </si>
  <si>
    <t>Mozilla/5.0 (X11; Linux x86_64) AppleWebKit/537.36 (KHTML, like Gecko) Chrome/127.0.0.0 Safari/537.36</t>
  </si>
  <si>
    <t>125.165.22.48</t>
  </si>
  <si>
    <t>{"status":"success","country":"Indonesia","countryCode":"ID","region":"SU","regionName":"North Sumatra","city":"Medan","zip":"","lat":3.5847,"lon":98.6629,"timezone":"Asia/Jakarta","isp":"PT. TELKOM INDONESIA","org":"","as":"AS7713 PT Telekomunikasi Indonesia","query":"125.165.22.48"}</t>
  </si>
  <si>
    <t>21 Aug 2024 18:48</t>
  </si>
  <si>
    <t>203908162</t>
  </si>
  <si>
    <t>114.10.43.241</t>
  </si>
  <si>
    <t>{"status":"success","country":"Indonesia","countryCode":"ID","region":"JK","regionName":"Jakarta","city":"Jakarta","zip":"","lat":-6.2114,"lon":106.8446,"timezone":"Asia/Jakarta","isp":"PT. INDOSAT Tbk","org":"IOH B2B","as":"AS4761 INDOSAT Internet Network Provider","query":"114.10.43.241"}</t>
  </si>
  <si>
    <t>21 Aug 2024 18:40</t>
  </si>
  <si>
    <t>100890603</t>
  </si>
  <si>
    <t>103.140.189.43</t>
  </si>
  <si>
    <t>{"status":"success","country":"Indonesia","countryCode":"ID","region":"LA","regionName":"Lampung","city":"Bandar Lampung","zip":"","lat":-5.4291,"lon":105.2615,"timezone":"Asia/Jakarta","isp":"PT INDONESIA TRANS NETWORK","org":"","as":"AS138881 PT INDONESIA TRANS NETWORK","query":"103.140.189.43"}</t>
  </si>
  <si>
    <t>21 Aug 2024 18:37</t>
  </si>
  <si>
    <t>203908273</t>
  </si>
  <si>
    <t>Mozilla/5.0 (Linux; Android 8.1.0; vivo 1718 Build/OPM1.171019.026; wv) AppleWebKit/537.36 (KHTML, like Gecko) Version/4.0 Chrome/87.0.4280.141 Mobile Safari/537.36 VivoBrowser/11.9.5.0</t>
  </si>
  <si>
    <t>114.122.76.176</t>
  </si>
  <si>
    <t>{"status":"success","country":"Indonesia","countryCode":"ID","region":"JB","regionName":"West Java","city":"Bandung","zip":"","lat":-6.9217,"lon":107.6071,"timezone":"Asia/Jakarta","isp":"PT Telekomunikasi Selular Indonesia","org":"","as":"AS23693 PT. Telekomunikasi Selular","query":"114.122.76.176"}</t>
  </si>
  <si>
    <t>21 Aug 2024 18:24</t>
  </si>
  <si>
    <t>203908828</t>
  </si>
  <si>
    <t>182.2.228.178</t>
  </si>
  <si>
    <t>{"status":"success","country":"Indonesia","countryCode":"ID","region":"ST","regionName":"Central Sulawesi","city":"Palu","zip":"","lat":-0.9076,"lon":119.8681,"timezone":"Asia/Makassar","isp":"PT Telekomunikasi Selular Indonesia","org":"","as":"AS23693 PT. Telekomunikasi Selular","query":"182.2.228.178"}</t>
  </si>
  <si>
    <t>21 Aug 2024 18:11</t>
  </si>
  <si>
    <t>203909318</t>
  </si>
  <si>
    <t>Mozilla/5.0 (Linux; U; Android 12; id-id; Redmi Note 11 Build/SKQ1.211103.001) AppleWebKit/537.36 (KHTML, like Gecko) Version/4.0 Chrome/89.0.4389.116 Mobile Safari/537.36 XiaoMi/MiuiBrowser/13.6.0-gn</t>
  </si>
  <si>
    <t>114.10.142.145</t>
  </si>
  <si>
    <t>{"status":"success","country":"Indonesia","countryCode":"ID","region":"JK","regionName":"Jakarta","city":"Jakarta","zip":"","lat":-6.18014,"lon":106.821,"timezone":"Asia/Jakarta","isp":"PT. INDOSAT Tbk","org":"PT. INDOSAT Tbk","as":"AS4761 INDOSAT Internet Network Provider","query":"114.10.142.145"}</t>
  </si>
  <si>
    <t>21 Aug 2024 18:07</t>
  </si>
  <si>
    <t>203906901</t>
  </si>
  <si>
    <t>180.248.29.164</t>
  </si>
  <si>
    <t>{"status":"success","country":"Indonesia","countryCode":"ID","region":"JI","regionName":"East Java","city":"Malang","zip":"","lat":-7.9826,"lon":112.6308,"timezone":"Asia/Jakarta","isp":"PT. TELKOM INDONESIA","org":"","as":"AS7713 PT Telekomunikasi Indonesia","query":"180.248.29.164"}</t>
  </si>
  <si>
    <t>21 Aug 2024 18:02</t>
  </si>
  <si>
    <t>203893923</t>
  </si>
  <si>
    <t>182.253.50.105</t>
  </si>
  <si>
    <t>{"status":"success","country":"Indonesia","countryCode":"ID","region":"JI","regionName":"East Java","city":"Surabaya","zip":"","lat":-7.2484,"lon":112.7419,"timezone":"Asia/Jakarta","isp":"Biznet Metronet","org":"","as":"AS17451 BIZNET NETWORKS","query":"182.253.50.105"}</t>
  </si>
  <si>
    <t>21 Aug 2024 17:50</t>
  </si>
  <si>
    <t>203909204</t>
  </si>
  <si>
    <t>36.80.28.225</t>
  </si>
  <si>
    <t>{"status":"success","country":"Indonesia","countryCode":"ID","region":"SN","regionName":"South Sulawesi","city":"Makassar","zip":"","lat":-5.152,"lon":119.437,"timezone":"Asia/Makassar","isp":"PT. TELKOM INDONESIA","org":"","as":"AS7713 PT Telekomunikasi Indonesia","query":"36.80.28.225"}</t>
  </si>
  <si>
    <t>21 Aug 2024 17:31</t>
  </si>
  <si>
    <t>203908034</t>
  </si>
  <si>
    <t>36.74.45.36</t>
  </si>
  <si>
    <t>{"status":"success","country":"Indonesia","countryCode":"ID","region":"JB","regionName":"West Java","city":"Tasikmalaya","zip":"","lat":-7.3263,"lon":108.221,"timezone":"Asia/Jakarta","isp":"PT. Telekomunikasi Indonesia","org":"","as":"AS7713 PT Telekomunikasi Indonesia","query":"36.74.45.36"}</t>
  </si>
  <si>
    <t>21 Aug 2024 17:19</t>
  </si>
  <si>
    <t>203902632</t>
  </si>
  <si>
    <t>Mozilla/5.0 (Linux; Android 10; SAMSUNG SM-A217F) AppleWebKit/537.36 (KHTML, like Gecko) SamsungBrowser/11.0 Chrome/75.0.3770.143 Mobile Safari/537.36</t>
  </si>
  <si>
    <t>114.122.230.56</t>
  </si>
  <si>
    <t>{"status":"success","country":"Indonesia","countryCode":"ID","region":"KI","regionName":"East Kalimantan","city":"Kerang","zip":"","lat":-2.2333,"lon":116.072,"timezone":"Asia/Makassar","isp":"PT Telekomunikasi Selular Indonesia","org":"","as":"AS23693 PT. Telekomunikasi Selular","query":"114.122.230.56"}</t>
  </si>
  <si>
    <t>21 Aug 2024 17:12</t>
  </si>
  <si>
    <t>1115A2400677</t>
  </si>
  <si>
    <t>182.2.146.73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</si>
  <si>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Selular","query":"182.2.146.73"}</t>
  </si>
  <si>
    <t>1100304632</t>
  </si>
  <si>
    <t>103.143.106.170</t>
  </si>
  <si>
    <t>{"status":"success","country":"Indonesia","countryCode":"ID","region":"JI","regionName":"East Java","city":"Malang","zip":"","lat":-7.9826,"lon":112.6308,"timezone":"Asia/Jakarta","isp":"PT Aplikanusa Lintasarta","org":"","as":"AS4800 PT Aplikanusa Lintasarta","query":"103.143.106.170"}</t>
  </si>
  <si>
    <t>21 Aug 2024 16:58</t>
  </si>
  <si>
    <t>203905676</t>
  </si>
  <si>
    <t>103.162.141.198</t>
  </si>
  <si>
    <t>{"status":"success","country":"Indonesia","countryCode":"ID","region":"KR","regionName":"Riau Islands","city":"Batam","zip":"","lat":1.13,"lon":103.9684,"timezone":"Asia/Jakarta","isp":"PT Filltech Antar Nusa","org":"Dinas Pendidikan Provinsi Kepulauan Riau","as":"AS141083 PT Filltech Antar Nusa","query":"103.162.141.198"}</t>
  </si>
  <si>
    <t>Instalasi awalnya</t>
  </si>
  <si>
    <t>21 Aug 2024 16:52</t>
  </si>
  <si>
    <t>203907730</t>
  </si>
  <si>
    <t>202.154.185.167</t>
  </si>
  <si>
    <t>{"status":"success","country":"Indonesia","countryCode":"ID","region":"RI","regionName":"Riau","city":"Batam","zip":"","lat":1.1568,"lon":104.047,"timezone":"Asia/Jakarta","isp":"PT SOLNET INDONESIA","org":"","as":"AS9422 PT SOLNET INDONESIA","query":"202.154.185.167"}</t>
  </si>
  <si>
    <t>21 Aug 2024 16:31</t>
  </si>
  <si>
    <t>203900339</t>
  </si>
  <si>
    <t>139.194.141.114</t>
  </si>
  <si>
    <t>{"status":"success","country":"Indonesia","countryCode":"ID","region":"JK","regionName":"Jakarta","city":"Jakarta","zip":"","lat":-6.2114,"lon":106.8446,"timezone":"Asia/Jakarta","isp":"PT. First Media","org":"Asia Pacific Network Information Centre","as":"AS23700 Linknet-Fastnet ASN","query":"139.194.141.114"}</t>
  </si>
  <si>
    <t>21 Aug 2024 16:23</t>
  </si>
  <si>
    <t>203900431</t>
  </si>
  <si>
    <t>182.2.144.81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</si>
  <si>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Selular","query":"182.2.144.81"}</t>
  </si>
  <si>
    <t>21 Aug 2024 16:17</t>
  </si>
  <si>
    <t>1916A2400623</t>
  </si>
  <si>
    <t>36.93.128.221</t>
  </si>
  <si>
    <t>{"status":"success","country":"Indonesia","countryCode":"ID","region":"JB","regionName":"West Java","city":"Pabuaran","zip":"","lat":-6.1754,"lon":106.3342,"timezone":"Asia/Jakarta","isp":"Telekomunikasi Indonesia","org":"HSI Indihome","as":"AS7713 PT Telekomunikasi Indonesia","query":"36.93.128.221"}</t>
  </si>
  <si>
    <t>21 Aug 2024 16:14</t>
  </si>
  <si>
    <t>203895647</t>
  </si>
  <si>
    <t>182.3.45.252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</si>
  <si>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Selular","query":"182.3.45.252"}</t>
  </si>
  <si>
    <t>21 Aug 2024 16:12</t>
  </si>
  <si>
    <t>203907620</t>
  </si>
  <si>
    <t>36.80.4.172</t>
  </si>
  <si>
    <t>{"status":"success","country":"Indonesia","countryCode":"ID","region":"SN","regionName":"South Sulawesi","city":"Makassar","zip":"","lat":-5.152,"lon":119.437,"timezone":"Asia/Makassar","isp":"PT. TELKOM INDONESIA","org":"","as":"AS7713 PT Telekomunikasi Indonesia","query":"36.80.4.172"}</t>
  </si>
  <si>
    <t>21 Aug 2024 16:05</t>
  </si>
  <si>
    <t>100893588</t>
  </si>
  <si>
    <t>139.195.151.247</t>
  </si>
  <si>
    <t>{"status":"success","country":"Indonesia","countryCode":"ID","region":"JI","regionName":"East Java","city":"Surabaya","zip":"","lat":-7.2484,"lon":112.7419,"timezone":"Asia/Jakarta","isp":"PT. First Media","org":"Asia Pacific Network Information Centre","as":"AS23700 Linknet-Fastnet ASN","query":"139.195.151.247"}</t>
  </si>
  <si>
    <t>21 Aug 2024 15:56</t>
  </si>
  <si>
    <t>203907538</t>
  </si>
  <si>
    <t>120.188.64.236</t>
  </si>
  <si>
    <t>{"status":"success","country":"Indonesia","countryCode":"ID","region":"JK","regionName":"Jakarta","city":"Jakarta","zip":"","lat":-6.2114,"lon":106.8446,"timezone":"Asia/Jakarta","isp":"PT. INDOSAT Tbk","org":"","as":"AS4761 INDOSAT Internet Network Provider","query":"120.188.64.236"}</t>
  </si>
  <si>
    <t>21 Aug 2024 15:54</t>
  </si>
  <si>
    <t>203901930</t>
  </si>
  <si>
    <t>182.253.56.107</t>
  </si>
  <si>
    <t>{"status":"success","country":"Indonesia","countryCode":"ID","region":"JK","regionName":"Jakarta","city":"Jakarta","zip":"","lat":-6.2114,"lon":106.8446,"timezone":"Asia/Jakarta","isp":"Biznet Metronet","org":"","as":"AS17451 BIZNET NETWORKS","query":"182.253.56.107"}</t>
  </si>
  <si>
    <t>21 Aug 2024 15:53</t>
  </si>
  <si>
    <t>203907595</t>
  </si>
  <si>
    <t>182.2.229.212</t>
  </si>
  <si>
    <t>{"status":"success","country":"Indonesia","countryCode":"ID","region":"ST","regionName":"Central Sulawesi","city":"Palu","zip":"","lat":-0.9076,"lon":119.8681,"timezone":"Asia/Makassar","isp":"PT Telekomunikasi Selular Indonesia","org":"","as":"AS23693 PT. Telekomunikasi Selular","query":"182.2.229.212"}</t>
  </si>
  <si>
    <t>21 Aug 2024 15:50</t>
  </si>
  <si>
    <t>100891707</t>
  </si>
  <si>
    <t>103.47.133.64</t>
  </si>
  <si>
    <t>{"status":"success","country":"Indonesia","countryCode":"ID","region":"JK","regionName":"Jakarta","city":"Jakarta","zip":"","lat":-6.2114,"lon":106.8446,"timezone":"Asia/Jakarta","isp":"PT. Eka Mas Republik","org":"","as":"AS63859 PT. Eka Mas Republik","query":"103.47.133.64"}</t>
  </si>
  <si>
    <t>21 Aug 2024 15:49</t>
  </si>
  <si>
    <t>203909251</t>
  </si>
  <si>
    <t>Mozilla/5.0 (Linux; Android 11; en; Infinix X688B Build/SP1A.210812.016) AppleWebKit/537.36 (KHTML, like Gecko) Chrome/103.0.5060.129 HiBrowser/v2.23.1.4 UWS/ Mobile Safari/537.36</t>
  </si>
  <si>
    <t>103.132.41.255</t>
  </si>
  <si>
    <t>{"status":"success","country":"Indonesia","countryCode":"ID","region":"JT","regionName":"Central Java","city":"Wonosobo","zip":"","lat":-7.3587,"lon":109.9027,"timezone":"Asia/Jakarta","isp":"KALIMASADAINTISARANA","org":"PT Kalimasada Inti Sarana","as":"AS150970 PT Kalimasada Inti Sarana","query":"103.132.41.255"}</t>
  </si>
  <si>
    <t>21 Aug 2024 15:44</t>
  </si>
  <si>
    <t>203904127</t>
  </si>
  <si>
    <t>180.243.8.56</t>
  </si>
  <si>
    <t>{"status":"success","country":"Indonesia","countryCode":"ID","region":"JK","regionName":"Jakarta","city":"Jakarta","zip":"","lat":-6.2114,"lon":106.8446,"timezone":"Asia/Jakarta","isp":"PT. TELKOM INDONESIA","org":"","as":"AS7713 PT Telekomunikasi Indonesia","query":"180.243.8.56"}</t>
  </si>
  <si>
    <t>21 Aug 2024 15:42</t>
  </si>
  <si>
    <t>203907870</t>
  </si>
  <si>
    <t>118.99.110.216</t>
  </si>
  <si>
    <t>{"status":"success","country":"Indonesia","countryCode":"ID","region":"BT","regionName":"Banten","city":"South Tangerang","zip":"","lat":-6.2876,"lon":106.722,"timezone":"Asia/Jakarta","isp":"BIZNET","org":"","as":"AS17451 BIZNET NETWORKS","query":"118.99.110.216"}</t>
  </si>
  <si>
    <t>21 Aug 2024 15:39</t>
  </si>
  <si>
    <t>203907488</t>
  </si>
  <si>
    <t>112.215.152.69</t>
  </si>
  <si>
    <t>{"status":"success","country":"Indonesia","countryCode":"ID","region":"JK","regionName":"Jakarta","city":"Jakarta","zip":"","lat":-6.2114,"lon":106.8446,"timezone":"Asia/Jakarta","isp":"XL-AXIATA Tbk GSM","org":"","as":"AS24203 PT XL Axiata","query":"112.215.152.69"}</t>
  </si>
  <si>
    <t>21 Aug 2024 15:37</t>
  </si>
  <si>
    <t>203909040</t>
  </si>
  <si>
    <t>182.4.135.90</t>
  </si>
  <si>
    <t>{"status":"success","country":"Indonesia","countryCode":"ID","region":"JI","regionName":"East Java","city":"Malang","zip":"","lat":-7.9826,"lon":112.6308,"timezone":"Asia/Jakarta","isp":"PT Telekomunikasi Selular Indonesia","org":"","as":"AS23693 PT. Telekomunikasi Selular","query":"182.4.135.90"}</t>
  </si>
  <si>
    <t>21 Aug 2024 15:33</t>
  </si>
  <si>
    <t>203909061</t>
  </si>
  <si>
    <t>114.125.124.104</t>
  </si>
  <si>
    <t>{"status":"success","country":"Indonesia","countryCode":"ID","region":"JK","regionName":"Jakarta","city":"Jakarta","zip":"","lat":-6.18051,"lon":106.828,"timezone":"Asia/Jakarta","isp":"PT Telekomunikasi Selular Indonesia","org":"","as":"AS23693 PT. Telekomunikasi Selular","query":"114.125.124.104"}</t>
  </si>
  <si>
    <t>21 Aug 2024 15:29</t>
  </si>
  <si>
    <t>203908849</t>
  </si>
  <si>
    <t>182.2.43.55</t>
  </si>
  <si>
    <t>{"status":"success","country":"Indonesia","countryCode":"ID","region":"JT","regionName":"Central Java","city":"Semarang","zip":"","lat":-6.9932,"lon":110.4215,"timezone":"Asia/Jakarta","isp":"PT Telekomunikasi Selular Indonesia","org":"","as":"AS23693 PT. Telekomunikasi Selular","query":"182.2.43.55"}</t>
  </si>
  <si>
    <t>203898537</t>
  </si>
  <si>
    <t>Mozilla/5.0 (iPhone; CPU iPhone OS 17_2 like Mac OS X) AppleWebKit/605.1.15 (KHTML, like Gecko) CriOS/127.0.6533.107 Mobile/15E148 Safari/604.1</t>
  </si>
  <si>
    <t>114.122.102.68</t>
  </si>
  <si>
    <t>{"status":"success","country":"Indonesia","countryCode":"ID","region":"JB","regionName":"West Java","city":"Bandung","zip":"","lat":-6.9217,"lon":107.6071,"timezone":"Asia/Jakarta","isp":"PT Telekomunikasi Selular Indonesia","org":"","as":"AS23693 PT. Telekomunikasi Selular","query":"114.122.102.68"}</t>
  </si>
  <si>
    <t>100892787</t>
  </si>
  <si>
    <t>Mozilla/5.0 (Linux; Android 9; vivo 1902 Build/PPR1.180610.011; wv) AppleWebKit/537.36 (KHTML, like Gecko) Version/4.0 Chrome/87.0.4280.141 Mobile Safari/537.36 VivoBrowser/12.6.2.0</t>
  </si>
  <si>
    <t>180.242.69.195</t>
  </si>
  <si>
    <t>{"status":"success","country":"Indonesia","countryCode":"ID","region":"JK","regionName":"Jakarta","city":"Jakarta","zip":"","lat":-6.2114,"lon":106.8446,"timezone":"Asia/Jakarta","isp":"PT. TELKOM INDONESIA","org":"","as":"AS7713 PT Telekomunikasi Indonesia","query":"180.242.69.195"}</t>
  </si>
  <si>
    <t>21 Aug 2024 15:28</t>
  </si>
  <si>
    <t>100893605</t>
  </si>
  <si>
    <t>114.122.14.163</t>
  </si>
  <si>
    <t>{"status":"success","country":"Indonesia","countryCode":"ID","region":"SU","regionName":"North Sumatra","city":"Medan","zip":"","lat":3.5847,"lon":98.6629,"timezone":"Asia/Jakarta","isp":"PT Telekomunikasi Selular Indonesia","org":"","as":"AS23693 PT. Telekomunikasi Selular","query":"114.122.14.163"}</t>
  </si>
  <si>
    <t>203900466</t>
  </si>
  <si>
    <t>182.2.165.10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</si>
  <si>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Selular","query":"182.2.165.10"}</t>
  </si>
  <si>
    <t>21 Aug 2024 15:27</t>
  </si>
  <si>
    <t>203909526</t>
  </si>
  <si>
    <t>125.162.209.108</t>
  </si>
  <si>
    <t>{"status":"success","country":"Indonesia","countryCode":"ID","region":"SN","regionName":"South Sulawesi","city":"Makassar","zip":"","lat":-5.152,"lon":119.437,"timezone":"Asia/Makassar","isp":"PT. TELKOM INDONESIA","org":"","as":"AS7713 PT Telekomunikasi Indonesia","query":"125.162.209.108"}</t>
  </si>
  <si>
    <t>21 Aug 2024 15:24</t>
  </si>
  <si>
    <t>1106A2406737</t>
  </si>
  <si>
    <t>182.2.165.235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</si>
  <si>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Selular","query":"182.2.165.235"}</t>
  </si>
  <si>
    <t>21 Aug 2024 15:22</t>
  </si>
  <si>
    <t>203909099</t>
  </si>
  <si>
    <t>114.10.134.190</t>
  </si>
  <si>
    <t>{"status":"success","country":"Indonesia","countryCode":"ID","region":"SN","regionName":"South Sulawesi","city":"Makassar","zip":"","lat":-5.152,"lon":119.437,"timezone":"Asia/Makassar","isp":"PT. INDOSAT Tbk","org":"IOH B2B","as":"AS4761 INDOSAT Internet Network Provider","query":"114.10.134.190"}</t>
  </si>
  <si>
    <t>21 Aug 2024 15:21</t>
  </si>
  <si>
    <t>1917A2400287</t>
  </si>
  <si>
    <t>Mozilla/5.0 (Linux; U; Android 10; id-id; Redmi Note 8 Pro Build/QP1A.190711.020) AppleWebKit/537.36 (KHTML, like Gecko) Version/4.0 Chrome/71.0.3578.141 Mobile Safari/537.36 XiaoMi/MiuiBrowser/12.4.4-g</t>
  </si>
  <si>
    <t>103.76.170.170</t>
  </si>
  <si>
    <t>{"status":"success","country":"Indonesia","countryCode":"ID","region":"JB","regionName":"West Java","city":"Bekasi","zip":"","lat":-6.2352,"lon":106.9922,"timezone":"Asia/Jakarta","isp":"ICONPLN","org":"","as":"AS9341 North Korea Government","query":"103.76.170.170"}</t>
  </si>
  <si>
    <t>203907759</t>
  </si>
  <si>
    <t>180.242.198.83</t>
  </si>
  <si>
    <t>{"status":"success","country":"Indonesia","countryCode":"ID","region":"RI","regionName":"Riau","city":"Batam","zip":"","lat":1.1568,"lon":104.047,"timezone":"Asia/Jakarta","isp":"PT. TELKOM INDONESIA","org":"","as":"AS7713 PT Telekomunikasi Indonesia","query":"180.242.198.83"}</t>
  </si>
  <si>
    <t>21 Aug 2024 15:20</t>
  </si>
  <si>
    <t>1106A2406900</t>
  </si>
  <si>
    <t>Mozilla/5.0 (Linux; Android 11; en; Infinix X6812B Build/SP1A.210812.016) AppleWebKit/537.36 (KHTML, like Gecko) Chrome/103.0.5060.129 HiBrowser/v2.23.1.4 UWS/ Mobile Safari/537.36</t>
  </si>
  <si>
    <t>119.18.155.186</t>
  </si>
  <si>
    <t>{"status":"success","country":"Indonesia","countryCode":"ID","region":"JK","regionName":"Jakarta","city":"Jakarta","zip":"","lat":-6.2114,"lon":106.8446,"timezone":"Asia/Jakarta","isp":"PT. Jala Lintas Media","org":"","as":"AS55685 PT Jala Lintas Media","query":"119.18.155.186"}</t>
  </si>
  <si>
    <t>203909111</t>
  </si>
  <si>
    <t>140.213.4.196</t>
  </si>
  <si>
    <t>{"status":"success","country":"Indonesia","countryCode":"ID","region":"JK","regionName":"Jakarta","city":"Jakarta","zip":"","lat":-6.2114,"lon":106.8446,"timezone":"Asia/Jakarta","isp":"Indonesia Network Information Center","org":"","as":"AS24203 PT XL Axiata","query":"140.213.4.196"}</t>
  </si>
  <si>
    <t>21 Aug 2024 15:17</t>
  </si>
  <si>
    <t>1106A2406778</t>
  </si>
  <si>
    <t>120.188.92.182</t>
  </si>
  <si>
    <t>{"status":"success","country":"Indonesia","countryCode":"ID","region":"JB","regionName":"West Java","city":"Pamulang","zip":"","lat":-6.34278,"lon":106.738,"timezone":"Asia/Jakarta","isp":"PT. INDOSAT Tbk","org":"","as":"AS4761 INDOSAT Internet Network Provider","query":"120.188.92.182"}</t>
  </si>
  <si>
    <t>21 Aug 2024 15:15</t>
  </si>
  <si>
    <t>203778516</t>
  </si>
  <si>
    <t>125.161.44.236</t>
  </si>
  <si>
    <t>{"status":"success","country":"Indonesia","countryCode":"ID","region":"JB","regionName":"West Java","city":"Sukabumi","zip":"","lat":-6.9214,"lon":106.9259,"timezone":"Asia/Jakarta","isp":"PT. TELKOM INDONESIA","org":"","as":"AS7713 PT Telekomunikasi Indonesia","query":"125.161.44.236"}</t>
  </si>
  <si>
    <t>203909525</t>
  </si>
  <si>
    <t>Mozilla/5.0 (Linux; Android 10; K) AppleWebKit/537.36 (KHTML, like Gecko) Chrome/123.0.6312.118 Mobile Safari/537.36 XiaoMi/MiuiBrowser/14.17.0-gn</t>
  </si>
  <si>
    <t>180.244.133.197</t>
  </si>
  <si>
    <t>{"status":"success","country":"Indonesia","countryCode":"ID","region":"JB","regionName":"West Java","city":"Bandung","zip":"","lat":-6.9217,"lon":107.6071,"timezone":"Asia/Jakarta","isp":"PT. TELKOM INDONESIA","org":"","as":"AS7713 PT Telekomunikasi Indonesia","query":"180.244.133.197"}</t>
  </si>
  <si>
    <t>100893639</t>
  </si>
  <si>
    <t>112.215.200.117</t>
  </si>
  <si>
    <t>{"status":"success","country":"Indonesia","countryCode":"ID","region":"JK","regionName":"Jakarta","city":"Jakarta","zip":"","lat":-6.20876,"lon":106.846,"timezone":"Asia/Jakarta","isp":"Indonesia Network Information Center","org":"","as":"AS24203 PT XL Axiata","query":"112.215.200.117"}</t>
  </si>
  <si>
    <t>21 Aug 2024 15:14</t>
  </si>
  <si>
    <t>203907152</t>
  </si>
  <si>
    <t>Mozilla/5.0 (Linux; U; Android 13; in-id; RMX3191 Build/SP1A.210812.016) AppleWebKit/537.36 (KHTML, like Gecko) Chrome/91.0.4472.88 Mobile Safari/537.36 HeyTapBrowser/45.11.1.1</t>
  </si>
  <si>
    <t>180.242.71.253</t>
  </si>
  <si>
    <t>{"status":"success","country":"Indonesia","countryCode":"ID","region":"JK","regionName":"Jakarta","city":"Jakarta","zip":"","lat":-6.2114,"lon":106.8446,"timezone":"Asia/Jakarta","isp":"PT. TELKOM INDONESIA","org":"","as":"AS7713 PT Telekomunikasi Indonesia","query":"180.242.71.253"}</t>
  </si>
  <si>
    <t>Gak jelas</t>
  </si>
  <si>
    <t>203907272</t>
  </si>
  <si>
    <t>203905018</t>
  </si>
  <si>
    <t>Mozilla/5.0 (Linux; Android 13; V2110; wv) AppleWebKit/537.36 (KHTML, like Gecko) Version/4.0 Chrome/87.0.4280.141 Mobile Safari/537.36 VivoBrowser/12.6.2.3</t>
  </si>
  <si>
    <t>103.18.35.91</t>
  </si>
  <si>
    <t>{"status":"success","country":"Indonesia","countryCode":"ID","region":"JT","regionName":"Central Java","city":"Surakarta","zip":"","lat":-7.55611,"lon":110.832,"timezone":"Asia/Jakarta","isp":"PT. Indonesia Comnet Plus","org":"","as":"AS9341 North Korea Government","query":"103.18.35.91"}</t>
  </si>
  <si>
    <t>203907735</t>
  </si>
  <si>
    <t>114.122.238.184</t>
  </si>
  <si>
    <t>{"status":"success","country":"Indonesia","countryCode":"ID","region":"KI","regionName":"East Kalimantan","city":"Tana Paser","zip":"","lat":-1.9051,"lon":116.191,"timezone":"Asia/Makassar","isp":"PT Telekomunikasi Selular Indonesia","org":"","as":"AS23693 PT. Telekomunikasi Selular","query":"114.122.238.184"}</t>
  </si>
  <si>
    <t>203907505</t>
  </si>
  <si>
    <t>101.255.140.194</t>
  </si>
  <si>
    <t>{"status":"success","country":"Indonesia","countryCode":"ID","region":"JK","regionName":"Jakarta","city":"Jakarta","zip":"","lat":-6.2114,"lon":106.8446,"timezone":"Asia/Jakarta","isp":"PT Remala Abadi","org":"","as":"AS38511 PT Remala Abadi","query":"101.255.140.194"}</t>
  </si>
  <si>
    <t>100893407</t>
  </si>
  <si>
    <t>125.165.110.131</t>
  </si>
  <si>
    <t>{"status":"success","country":"Indonesia","countryCode":"ID","region":"RI","regionName":"Riau","city":"Pekanbaru","zip":"","lat":0.5395,"lon":101.4457,"timezone":"Asia/Jakarta","isp":"PT. TELKOM INDONESIA","org":"","as":"AS7713 PT Telekomunikasi Indonesia","query":"125.165.110.131"}</t>
  </si>
  <si>
    <t>21 Aug 2024 15:12</t>
  </si>
  <si>
    <t>203900645</t>
  </si>
  <si>
    <t>Mozilla/5.0 (Linux; Android 11; 2209116AG) AppleWebKit/537.36 (KHTML, like Gecko) Chrome/97.0.4692.98 Mobile Safari/537.36</t>
  </si>
  <si>
    <t>36.82.197.44</t>
  </si>
  <si>
    <t>{"status":"success","country":"Indonesia","countryCode":"ID","region":"KI","regionName":"East Kalimantan","city":"Balikpapan","zip":"","lat":-1.261,"lon":116.8105,"timezone":"Asia/Makassar","isp":"PT. TELKOM INDONESIA","org":"","as":"AS7713 PT Telekomunikasi Indonesia","query":"36.82.197.44"}</t>
  </si>
  <si>
    <t>21 Aug 2024 15:11</t>
  </si>
  <si>
    <t>100893627</t>
  </si>
  <si>
    <t>182.5.9.65</t>
  </si>
  <si>
    <t>{"status":"success","country":"Indonesia","countryCode":"ID","region":"SG","regionName":"Southeast Sulawesi","city":"Kendari","zip":"","lat":-3.9755,"lon":122.5169,"timezone":"Asia/Makassar","isp":"PT Telekomunikasi Selular Indonesia","org":"","as":"AS23693 PT. Telekomunikasi Selular","query":"182.5.9.65"}</t>
  </si>
  <si>
    <t>203902202</t>
  </si>
  <si>
    <t>182.3.141.35</t>
  </si>
  <si>
    <t>{"status":"success","country":"Indonesia","countryCode":"ID","region":"KI","regionName":"East Kalimantan","city":"Samarinda","zip":"","lat":-0.4931,"lon":117.1495,"timezone":"Asia/Makassar","isp":"PT Telekomunikasi Selular Indonesia","org":"","as":"AS23693 PT. Telekomunikasi Selular","query":"182.3.141.35"}</t>
  </si>
  <si>
    <t>203903396</t>
  </si>
  <si>
    <t>140.213.217.61</t>
  </si>
  <si>
    <t>{"status":"success","country":"Indonesia","countryCode":"ID","region":"JK","regionName":"Jakarta","city":"Jakarta","zip":"","lat":-6.20876,"lon":106.846,"timezone":"Asia/Jakarta","isp":"PT Excelcomindo Pratama","org":"","as":"AS139994 PT XL Axiata Tbk","query":"140.213.217.61"}</t>
  </si>
  <si>
    <t>21 Aug 2024 15:10</t>
  </si>
  <si>
    <t>100890510</t>
  </si>
  <si>
    <t>114.125.247.190</t>
  </si>
  <si>
    <t>{"status":"success","country":"Indonesia","countryCode":"ID","region":"SS","regionName":"South Sumatra","city":"Palembang","zip":"","lat":-2.9146,"lon":104.7535,"timezone":"Asia/Jakarta","isp":"PT Telekomunikasi Selular Indonesia","org":"","as":"AS23693 PT. Telekomunikasi Selular","query":"114.125.247.190"}</t>
  </si>
  <si>
    <t>203889749</t>
  </si>
  <si>
    <t>Mozilla/5.0 (Linux; Android 10; K) AppleWebKit/537.36 (KHTML, like Gecko) Chrome/113.0.0.0 Mobile Safari/537.36</t>
  </si>
  <si>
    <t>114.125.104.201</t>
  </si>
  <si>
    <t>{"status":"success","country":"Indonesia","countryCode":"ID","region":"JI","regionName":"East Java","city":"Krian","zip":"","lat":-7.4104,"lon":112.579,"timezone":"Asia/Jakarta","isp":"PT Telekomunikasi Selular Indonesia","org":"","as":"AS23693 PT. Telekomunikasi Selular","query":"114.125.104.201"}</t>
  </si>
  <si>
    <t>203909172</t>
  </si>
  <si>
    <t>114.125.181.32</t>
  </si>
  <si>
    <t>{"status":"success","country":"Indonesia","countryCode":"ID","region":"SN","regionName":"South Sulawesi","city":"Makassar","zip":"","lat":-5.152,"lon":119.437,"timezone":"Asia/Makassar","isp":"PT Telekomunikasi Selular Indonesia","org":"","as":"AS23693 PT. Telekomunikasi Selular","query":"114.125.181.32"}</t>
  </si>
  <si>
    <t>1106A2406760</t>
  </si>
  <si>
    <t>Mozilla/5.0 (Linux; Android 12; vivo 1915; wv) AppleWebKit/537.36 (KHTML, like Gecko) Version/4.0 Chrome/87.0.4280.141 Mobile Safari/537.36 VivoBrowser/12.6.2.4</t>
  </si>
  <si>
    <t>182.0.215.157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</si>
  <si>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Selular","query":"182.0.215.157"}</t>
  </si>
  <si>
    <t>Masih rusak karena pimpinan tidak melanjutkan utk perbaikanny</t>
  </si>
  <si>
    <t>21 Aug 2024 15:09</t>
  </si>
  <si>
    <t>100890713</t>
  </si>
  <si>
    <t>Mozilla/5.0 (Linux; Android 11; SAMSUNG SM-A107F) AppleWebKit/537.36 (KHTML, like Gecko) SamsungBrowser/18.0 Chrome/99.0.4844.88 Mobile Safari/537.36</t>
  </si>
  <si>
    <t>149.108.103.181</t>
  </si>
  <si>
    <t>{"status":"success","country":"Indonesia","countryCode":"ID","region":"JI","regionName":"East Java","city":"Surabaya","zip":"","lat":-7.2484,"lon":112.7419,"timezone":"Asia/Jakarta","isp":"Linknet-Fastnet ASN","org":"PT. Link Net Tbk","as":"AS23700 Linknet-Fastnet ASN","query":"149.108.103.181"}</t>
  </si>
  <si>
    <t>100892861</t>
  </si>
  <si>
    <t>Mozilla/5.0 (Linux; Android 9; SAMSUNG SM-A207F Build/PPR1.180610.011) AppleWebKit/537.36 (KHTML, like Gecko) SamsungBrowser/9.2 Chrome/67.0.3396.87 Mobile Safari/537.36</t>
  </si>
  <si>
    <t>114.10.129.20</t>
  </si>
  <si>
    <t>{"status":"success","country":"Indonesia","countryCode":"ID","region":"JK","regionName":"Jakarta","city":"Jakarta","zip":"","lat":-6.18012,"lon":106.821,"timezone":"Asia/Jakarta","isp":"PT. INDOSAT Tbk","org":"IOH B2B","as":"AS4761 INDOSAT Internet Network Provider","query":"114.10.129.20"}</t>
  </si>
  <si>
    <t>203907625</t>
  </si>
  <si>
    <t>182.3.141.79</t>
  </si>
  <si>
    <t>{"status":"success","country":"Indonesia","countryCode":"ID","region":"KI","regionName":"East Kalimantan","city":"Samarinda","zip":"","lat":-0.4931,"lon":117.1495,"timezone":"Asia/Makassar","isp":"PT Telekomunikasi Selular Indonesia","org":"","as":"AS23693 PT. Telekomunikasi Selular","query":"182.3.141.79"}</t>
  </si>
  <si>
    <t>203909175</t>
  </si>
  <si>
    <t>103.190.47.22</t>
  </si>
  <si>
    <t>{"status":"success","country":"Indonesia","countryCode":"ID","region":"BA","regionName":"Bali","city":"Denpasar","zip":"","lat":-8.65,"lon":115.217,"timezone":"Asia/Makassar","isp":"PT INDONESIA COMNETS PLUS","org":"","as":"AS9341 North Korea Government","query":"103.190.47.22"}</t>
  </si>
  <si>
    <t>21 Aug 2024 15:08</t>
  </si>
  <si>
    <t>203909097</t>
  </si>
  <si>
    <t>Mozilla/5.0 (Linux; U; Android 11; in-id; CPH2239 Build/RP1A.200720.011) AppleWebKit/537.36 (KHTML, like Gecko) Chrome/91.0.4472.88 Mobile Safari/537.36 HeyTapBrowser/45.11.1.1</t>
  </si>
  <si>
    <t>114.122.167.186</t>
  </si>
  <si>
    <t>{"status":"success","country":"Indonesia","countryCode":"ID","region":"BA","regionName":"Bali","city":"Gianyar","zip":"","lat":-8.5425,"lon":115.3296,"timezone":"Asia/Makassar","isp":"PT Telekomunikasi Selular Indonesia","org":"","as":"AS23693 PT. Telekomunikasi Selular","query":"114.122.167.186"}</t>
  </si>
  <si>
    <t>203908998</t>
  </si>
  <si>
    <t>Mozilla/5.0 (Linux; Android 13; en; Infinix X6731B Build/SP1A.210812.016) AppleWebKit/537.36 (KHTML, like Gecko) Chrome/103.0.5060.129 HiBrowser/v2.24.1.3 UWS/ Mobile Safari/537.36</t>
  </si>
  <si>
    <t>175.111.118.246</t>
  </si>
  <si>
    <t>{"status":"success","country":"Indonesia","countryCode":"ID","region":"KR","regionName":"Riau Islands","city":"Batam","zip":"","lat":1.13,"lon":103.9684,"timezone":"Asia/Jakarta","isp":"BATAM BINTAN TELEKOMUNIKASI, PT","org":"BBT","as":"AS46026 BATAM BINTAN TELEKOMUNIKASI, PT","query":"175.111.118.246"}</t>
  </si>
  <si>
    <t>1100311918</t>
  </si>
  <si>
    <t>114.125.11.215</t>
  </si>
  <si>
    <t>{"status":"success","country":"Indonesia","countryCode":"ID","region":"RI","regionName":"Riau","city":"Pekanbaru","zip":"","lat":0.5395,"lon":101.4457,"timezone":"Asia/Jakarta","isp":"PT Telekomunikasi Selular Indonesia","org":"","as":"AS23693 PT. Telekomunikasi Selular","query":"114.125.11.215"}</t>
  </si>
  <si>
    <t>1100312301</t>
  </si>
  <si>
    <t>140.213.177.202</t>
  </si>
  <si>
    <t>{"status":"success","country":"Indonesia","countryCode":"ID","region":"JK","regionName":"Jakarta","city":"Jakarta","zip":"","lat":-6.20876,"lon":106.846,"timezone":"Asia/Jakarta","isp":"PT Excelcomindo Pratama","org":"","as":"AS24203 PT XL Axiata","query":"140.213.177.202"}</t>
  </si>
  <si>
    <t>203907857</t>
  </si>
  <si>
    <t>36.73.32.206</t>
  </si>
  <si>
    <t>{"status":"success","country":"Indonesia","countryCode":"ID","region":"JT","regionName":"Central Java","city":"Purwokerto","zip":"","lat":-7.4245,"lon":109.2302,"timezone":"Asia/Jakarta","isp":"PT. TELKOM INDONESIA","org":"","as":"AS7713 PT Telekomunikasi Indonesia","query":"36.73.32.206"}</t>
  </si>
  <si>
    <t>203907303</t>
  </si>
  <si>
    <t>103.7.14.6</t>
  </si>
  <si>
    <t>{"status":"success","country":"Indonesia","countryCode":"ID","region":"JK","regionName":"Jakarta","city":"Jakarta","zip":"","lat":-6.1775,"lon":106.824,"timezone":"Asia/Jakarta","isp":"Kementerian Agama","org":"Kementerian Agama","as":"AS131693 Kementerian Agama (KEMENAG)","query":"103.7.14.6"}</t>
  </si>
  <si>
    <t>21 Aug 2024 15:07</t>
  </si>
  <si>
    <t>203907119</t>
  </si>
  <si>
    <t>125.167.120.109</t>
  </si>
  <si>
    <t>{"status":"success","country":"Indonesia","countryCode":"ID","region":"SN","regionName":"South Sulawesi","city":"Makassar","zip":"","lat":-5.152,"lon":119.437,"timezone":"Asia/Makassar","isp":"PT. TELKOM INDONESIA","org":"","as":"AS7713 PT Telekomunikasi Indonesia","query":"125.167.120.109"}</t>
  </si>
  <si>
    <t>203907813</t>
  </si>
  <si>
    <t>Mozilla/5.0 (iPhone; CPU iPhone OS 17_6 like Mac OS X) AppleWebKit/605.1.15 (KHTML, like Gecko) CriOS/128.0.6613.34 Mobile/15E148 Safari/604.1</t>
  </si>
  <si>
    <t>36.68.40.97</t>
  </si>
  <si>
    <t>{"status":"success","country":"Indonesia","countryCode":"ID","region":"RI","regionName":"Riau","city":"Pekanbaru","zip":"","lat":0.5395,"lon":101.4457,"timezone":"Asia/Jakarta","isp":"PT. TELKOM INDONESIA","org":"","as":"AS7713 PT Telekomunikasi Indonesia","query":"36.68.40.97"}</t>
  </si>
  <si>
    <t>203891979</t>
  </si>
  <si>
    <t>114.122.43.173</t>
  </si>
  <si>
    <t>{"status":"success","country":"Indonesia","countryCode":"ID","region":"JK","regionName":"Jakarta","city":"Jakarta","zip":"","lat":-6.18051,"lon":106.828,"timezone":"Asia/Jakarta","isp":"PT Telekomunikasi Selular Indonesia","org":"","as":"AS23693 PT. Telekomunikasi Selular","query":"114.122.43.173"}</t>
  </si>
  <si>
    <t>21 Aug 2024 15:06</t>
  </si>
  <si>
    <t>203894499</t>
  </si>
  <si>
    <t>180.248.235.154</t>
  </si>
  <si>
    <t>{"status":"success","country":"Indonesia","countryCode":"ID","region":"JK","regionName":"Jakarta","city":"Jakarta Pusat","zip":"","lat":-6.18104,"lon":106.826,"timezone":"Asia/Jakarta","isp":"PT. TELKOM INDONESIA","org":"","as":"AS7713 PT Telekomunikasi Indonesia","query":"180.248.235.154"}</t>
  </si>
  <si>
    <t>1100312382</t>
  </si>
  <si>
    <t>182.4.197.57</t>
  </si>
  <si>
    <t>{"status":"success","country":"Indonesia","countryCode":"ID","region":"NT","regionName":"East Nusa Tenggara","city":"Kupang","zip":"","lat":-10.1676,"lon":123.6107,"timezone":"Asia/Makassar","isp":"PT Telekomunikasi Selular Indonesia","org":"","as":"AS23693 PT. Telekomunikasi Selular","query":"182.4.197.57"}</t>
  </si>
  <si>
    <t>21 Aug 2024 15:05</t>
  </si>
  <si>
    <t>100893764</t>
  </si>
  <si>
    <t>112.215.65.15</t>
  </si>
  <si>
    <t>{"status":"success","country":"Indonesia","countryCode":"ID","region":"JK","regionName":"Jakarta","city":"Jakarta","zip":"","lat":-6.2114,"lon":106.8446,"timezone":"Asia/Jakarta","isp":"XL-AXIATA Tbk GSM","org":"","as":"AS24203 PT XL Axiata","query":"112.215.65.15"}</t>
  </si>
  <si>
    <t>203902432</t>
  </si>
  <si>
    <t>36.72.207.200</t>
  </si>
  <si>
    <t>{"status":"success","country":"Indonesia","countryCode":"ID","region":"JB","regionName":"West Java","city":"Bandung","zip":"","lat":-6.9217,"lon":107.6071,"timezone":"Asia/Jakarta","isp":"PT. TELKOM INDONESIA","org":"","as":"AS7713 PT Telekomunikasi Indonesia","query":"36.72.207.200"}</t>
  </si>
  <si>
    <t>21 Aug 2024 15:04</t>
  </si>
  <si>
    <t>203906888</t>
  </si>
  <si>
    <t>182.1.230.8</t>
  </si>
  <si>
    <t>{"status":"success","country":"Indonesia","countryCode":"ID","region":"JK","regionName":"Jakarta","city":"Jakarta","zip":"","lat":-6.23846,"lon":106.824,"timezone":"Asia/Jakarta","isp":"PT Telekomunikasi Selular Indonesia","org":"","as":"AS23693 PT. Telekomunikasi Selular","query":"182.1.230.8"}</t>
  </si>
  <si>
    <t>1100311803</t>
  </si>
  <si>
    <t>182.2.135.124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</si>
  <si>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Selular","query":"182.2.135.124"}</t>
  </si>
  <si>
    <t>21 Aug 2024 11:41</t>
  </si>
  <si>
    <t>1904A2400090</t>
  </si>
  <si>
    <t>Mozilla/5.0 (Linux; Android 14; V2158; wv) AppleWebKit/537.36 (KHTML, like Gecko) Version/4.0 Chrome/87.0.4280.141 Mobile Safari/537.36 VivoBrowser/12.6.2.0</t>
  </si>
  <si>
    <t>103.163.36.227</t>
  </si>
  <si>
    <t>{"status":"success","country":"Indonesia","countryCode":"ID","region":"JI","regionName":"East Java","city":"Gayungan","zip":"","lat":-7.3312,"lon":112.7269,"timezone":"Asia/Jakarta","isp":"PT Data Buana Nusantara","org":"PT Jaringan Buana Nusantara","as":"AS138886 PT Data Buana Nusantara","query":"103.163.36.227"}</t>
  </si>
  <si>
    <t>21 Aug 2024 09:40</t>
  </si>
  <si>
    <t>2818A2400853</t>
  </si>
  <si>
    <t>36.79.133.242</t>
  </si>
  <si>
    <t>{"status":"success","country":"Indonesia","countryCode":"ID","region":"SN","regionName":"South Sulawesi","city":"Makassar","zip":"","lat":-5.152,"lon":119.437,"timezone":"Asia/Makassar","isp":"PT. Telekomunikasi Indonesia","org":"","as":"AS7713 PT Telekomunikasi Indonesia","query":"36.79.133.242"}</t>
  </si>
  <si>
    <t>21 Aug 2024 08:55</t>
  </si>
  <si>
    <t>1105A2404916</t>
  </si>
  <si>
    <t>Mozilla/5.0 (iPhone; CPU iPhone OS 16_5_1 like Mac OS X) AppleWebKit/605.1.15 (KHTML, like Gecko) Version/16.5.2 Mobile/15E148 Safari/604.1</t>
  </si>
  <si>
    <t>182.3.38.23</t>
  </si>
  <si>
    <t>{"status":"success","country":"Indonesia","countryCode":"ID","region":"JK","regionName":"Jakarta","city":"Jakarta","zip":"","lat":-6.2114,"lon":106.8446,"timezone":"Asia/Jakarta","isp":"PT Telekomunikasi Selular Indonesia","org":"","as":"AS23693 PT. Telekomunikasi Selular","query":"182.3.38.23"}</t>
  </si>
  <si>
    <t>21 Aug 2024 08:25</t>
  </si>
  <si>
    <t>100893592</t>
  </si>
  <si>
    <t>Mozilla/5.0 (iPhone; CPU iPhone OS 15_4_1 like Mac OS X) AppleWebKit/605.1.15 (KHTML, like Gecko) Version/15.4 Mobile/15E148 Safari/604.1</t>
  </si>
  <si>
    <t>180.254.174.55</t>
  </si>
  <si>
    <t>{"status":"success","country":"Indonesia","countryCode":"ID","region":"SS","regionName":"South Sumatra","city":"Palembang","zip":"","lat":-2.9146,"lon":104.7535,"timezone":"Asia/Jakarta","isp":"PT. TELKOM INDONESIA","org":"","as":"AS7713 PT Telekomunikasi Indonesia","query":"180.254.174.55"}</t>
  </si>
  <si>
    <t>21 Aug 2024 07:11</t>
  </si>
  <si>
    <t>203908014</t>
  </si>
  <si>
    <t>112.215.170.71</t>
  </si>
  <si>
    <t>{"status":"success","country":"Indonesia","countryCode":"ID","region":"JK","regionName":"Jakarta","city":"Jakarta","zip":"","lat":-6.2114,"lon":106.8446,"timezone":"Asia/Jakarta","isp":"Indonesia Network Information Center","org":"","as":"AS24203 PT XL Axiata","query":"112.215.170.71"}</t>
  </si>
  <si>
    <t>21 Aug 2024 06:20</t>
  </si>
  <si>
    <t>203904249</t>
  </si>
  <si>
    <t>110.139.29.215</t>
  </si>
  <si>
    <t>{"status":"success","country":"Indonesia","countryCode":"ID","region":"JI","regionName":"East Java","city":"Surabaya","zip":"","lat":-7.2484,"lon":112.7419,"timezone":"Asia/Jakarta","isp":"PT. TELKOM INDONESIA","org":"","as":"AS7713 PT Telekomunikasi Indonesia","query":"110.139.29.215"}</t>
  </si>
  <si>
    <t>21 Aug 2024 05:45</t>
  </si>
  <si>
    <t>1100311111</t>
  </si>
  <si>
    <t>180.252.82.23</t>
  </si>
  <si>
    <t>{"status":"success","country":"Indonesia","countryCode":"ID","region":"JB","regionName":"West Java","city":"Bogor","zip":"","lat":-6.5945,"lon":106.789,"timezone":"Asia/Jakarta","isp":"PT. TELKOM INDONESIA","org":"","as":"AS7713 PT Telekomunikasi Indonesia","query":"180.252.82.23"}</t>
  </si>
  <si>
    <t>21 Aug 2024 05:37</t>
  </si>
  <si>
    <t>203906648</t>
  </si>
  <si>
    <t>103.121.180.138</t>
  </si>
  <si>
    <t>{"status":"success","country":"Indonesia","countryCode":"ID","region":"JK","regionName":"Jakarta","city":"Jakarta","zip":"","lat":-6.2114,"lon":106.8446,"timezone":"Asia/Jakarta","isp":"PT. Cyberindo Aditama","org":"CBN","as":"AS135478 PT. Cyberindo Aditama","query":"103.121.180.138"}</t>
  </si>
  <si>
    <t>21 Aug 2024 05:35</t>
  </si>
  <si>
    <t>100892622</t>
  </si>
  <si>
    <t>Mozilla/5.0 (Linux; Android 5.1.1; A37f Build/LMY47V) AppleWebKit/537.36 (KHTML, like Gecko) Chrome/43.0.2357.93 Mobile Safari/537.36</t>
  </si>
  <si>
    <t>114.122.203.36</t>
  </si>
  <si>
    <t>{"status":"success","country":"Indonesia","countryCode":"ID","region":"KS","regionName":"South Kalimantan","city":"Banjarmasin","zip":"","lat":-3.31987,"lon":114.591,"timezone":"Asia/Makassar","isp":"PT Telekomunikasi Selular Indonesia","org":"","as":"AS23693 PT. Telekomunikasi Selular","query":"114.122.203.36"}</t>
  </si>
  <si>
    <t>21 Aug 2024 02:37</t>
  </si>
  <si>
    <t>1008A2402428</t>
  </si>
  <si>
    <t>180.244.167.120</t>
  </si>
  <si>
    <t>{"status":"success","country":"Indonesia","countryCode":"ID","region":"JB","regionName":"West Java","city":"Bekasi","zip":"","lat":-6.2352,"lon":106.9922,"timezone":"Asia/Jakarta","isp":"PT. TELKOM INDONESIA","org":"","as":"AS7713 PT Telekomunikasi Indonesia","query":"180.244.167.120"}</t>
  </si>
  <si>
    <t>Poor (-10)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</si>
</sst>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F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8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4" fillId="0" borderId="1" xfId="1" applyFont="1" applyBorder="1" applyAlignment="1" applyProtection="1"/>
    <xf numFmtId="0" fontId="3" fillId="0" borderId="0" xfId="1" applyProtection="1"/>
    <xf numFmtId="0" fontId="3" fillId="0" borderId="0" xfId="1" applyAlignment="1" applyProtection="1"/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5" fillId="0" borderId="0" xfId="2"/>
    <xf numFmtId="0" fontId="6" fillId="0" borderId="0" xfId="2" applyFont="1"/>
    <xf numFmtId="0" fontId="5" fillId="0" borderId="0" xfId="2" applyProtection="1"/>
    <xf numFmtId="0" fontId="4" fillId="0" borderId="1" xfId="2" applyFont="1" applyBorder="1" applyProtection="1"/>
    <xf numFmtId="0" fontId="4" fillId="0" borderId="1" xfId="1" applyFont="1" applyBorder="1" applyProtection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B80000"/>
      <color rgb="FFE7FDFF"/>
      <color rgb="FFF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37</xdr:row>
      <xdr:rowOff>76200</xdr:rowOff>
    </xdr:from>
    <xdr:ext cx="7816595" cy="342138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6842760"/>
          <a:ext cx="7816595" cy="3421380"/>
        </a:xfrm>
        <a:prstGeom prst="rect">
          <a:avLst/>
        </a:prstGeom>
      </xdr:spPr>
    </xdr:pic>
    <xdr:clientData/>
  </xdr:oneCellAnchor>
  <xdr:oneCellAnchor>
    <xdr:from>
      <xdr:col>2</xdr:col>
      <xdr:colOff>47635</xdr:colOff>
      <xdr:row>57</xdr:row>
      <xdr:rowOff>76200</xdr:rowOff>
    </xdr:from>
    <xdr:ext cx="7973597" cy="413004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35" y="10500360"/>
          <a:ext cx="7973597" cy="4130040"/>
        </a:xfrm>
        <a:prstGeom prst="rect">
          <a:avLst/>
        </a:prstGeom>
      </xdr:spPr>
    </xdr:pic>
    <xdr:clientData/>
  </xdr:oneCellAnchor>
  <xdr:oneCellAnchor>
    <xdr:from>
      <xdr:col>1</xdr:col>
      <xdr:colOff>571501</xdr:colOff>
      <xdr:row>81</xdr:row>
      <xdr:rowOff>19050</xdr:rowOff>
    </xdr:from>
    <xdr:ext cx="8161917" cy="298704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1" y="14832330"/>
          <a:ext cx="8161917" cy="2987040"/>
        </a:xfrm>
        <a:prstGeom prst="rect">
          <a:avLst/>
        </a:prstGeom>
      </xdr:spPr>
    </xdr:pic>
    <xdr:clientData/>
  </xdr:oneCellAnchor>
  <xdr:oneCellAnchor>
    <xdr:from>
      <xdr:col>1</xdr:col>
      <xdr:colOff>581025</xdr:colOff>
      <xdr:row>98</xdr:row>
      <xdr:rowOff>171450</xdr:rowOff>
    </xdr:from>
    <xdr:ext cx="8123560" cy="28956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625" y="18093690"/>
          <a:ext cx="8123560" cy="2895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609591</xdr:colOff>
      <xdr:row>25</xdr:row>
      <xdr:rowOff>85725</xdr:rowOff>
    </xdr:from>
    <xdr:ext cx="7697758" cy="2194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191" y="4657725"/>
          <a:ext cx="7697758" cy="2194560"/>
        </a:xfrm>
        <a:prstGeom prst="rect">
          <a:avLst/>
        </a:prstGeom>
      </xdr:spPr>
    </xdr:pic>
    <xdr:clientData/>
  </xdr:oneCellAnchor>
  <xdr:oneCellAnchor>
    <xdr:from>
      <xdr:col>1</xdr:col>
      <xdr:colOff>561975</xdr:colOff>
      <xdr:row>38</xdr:row>
      <xdr:rowOff>114300</xdr:rowOff>
    </xdr:from>
    <xdr:ext cx="7735621" cy="342138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575" y="7063740"/>
          <a:ext cx="7735621" cy="3421380"/>
        </a:xfrm>
        <a:prstGeom prst="rect">
          <a:avLst/>
        </a:prstGeom>
      </xdr:spPr>
    </xdr:pic>
    <xdr:clientData/>
  </xdr:oneCellAnchor>
  <xdr:oneCellAnchor>
    <xdr:from>
      <xdr:col>1</xdr:col>
      <xdr:colOff>581025</xdr:colOff>
      <xdr:row>58</xdr:row>
      <xdr:rowOff>28575</xdr:rowOff>
    </xdr:from>
    <xdr:ext cx="7759873" cy="368808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625" y="10635615"/>
          <a:ext cx="7759873" cy="36880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03"/>
  <sheetViews>
    <sheetView tabSelected="1" topLeftCell="O1" workbookViewId="0">
      <selection activeCell="T9" sqref="T9"/>
    </sheetView>
  </sheetViews>
  <sheetFormatPr defaultRowHeight="14.4" x14ac:dyDescent="0.3"/>
  <cols>
    <col min="1" max="1" width="5.77734375" style="30" customWidth="1"/>
    <col min="2" max="2" width="12.33203125" style="30" customWidth="1"/>
    <col min="3" max="3" width="17" style="30" customWidth="1"/>
    <col min="4" max="4" width="29.109375" style="30" customWidth="1"/>
    <col min="5" max="5" width="23.33203125" style="30" customWidth="1"/>
    <col min="6" max="6" width="23.21875" style="30" bestFit="1" customWidth="1"/>
    <col min="7" max="7" width="23.33203125" style="30" customWidth="1"/>
    <col min="8" max="8" width="33.44140625" style="30" bestFit="1" customWidth="1"/>
    <col min="9" max="9" width="14.21875" style="30" bestFit="1" customWidth="1"/>
    <col min="10" max="10" width="21.44140625" style="30" bestFit="1" customWidth="1"/>
    <col min="11" max="11" width="20.33203125" style="30" customWidth="1"/>
    <col min="12" max="13" width="8.88671875" style="30"/>
    <col min="14" max="14" width="6" style="30" customWidth="1"/>
    <col min="15" max="15" width="14.5546875" style="30" customWidth="1"/>
    <col min="16" max="24" width="15.6640625" style="30" customWidth="1"/>
    <col min="25" max="16384" width="8.88671875" style="30"/>
  </cols>
  <sheetData>
    <row r="1" spans="1:24" ht="14.4" customHeight="1" x14ac:dyDescent="0.3">
      <c r="A1" s="31" t="s">
        <v>95</v>
      </c>
      <c r="N1" s="42" t="s">
        <v>167</v>
      </c>
      <c r="O1" s="42"/>
      <c r="P1" s="42"/>
      <c r="Q1" s="44" t="s">
        <v>166</v>
      </c>
      <c r="R1" s="44"/>
      <c r="S1" s="44"/>
      <c r="T1" s="44"/>
      <c r="U1" s="44"/>
      <c r="V1" s="44"/>
      <c r="W1" s="44"/>
      <c r="X1" s="44"/>
    </row>
    <row r="2" spans="1:24" ht="14.4" customHeight="1" x14ac:dyDescent="0.3">
      <c r="N2" s="43"/>
      <c r="O2" s="43"/>
      <c r="P2" s="43"/>
      <c r="Q2" s="45"/>
      <c r="R2" s="45"/>
      <c r="S2" s="45"/>
      <c r="T2" s="45"/>
      <c r="U2" s="45"/>
      <c r="V2" s="45"/>
      <c r="W2" s="45"/>
      <c r="X2" s="45"/>
    </row>
    <row r="3" spans="1:24" x14ac:dyDescent="0.3">
      <c r="A3" s="32" t="s">
        <v>94</v>
      </c>
      <c r="B3" s="32" t="s">
        <v>11</v>
      </c>
      <c r="C3" s="32" t="s">
        <v>12</v>
      </c>
      <c r="D3" s="32" t="s">
        <v>8</v>
      </c>
      <c r="E3" s="32" t="s">
        <v>1</v>
      </c>
      <c r="F3" s="32" t="s">
        <v>9</v>
      </c>
      <c r="G3" s="32" t="s">
        <v>3</v>
      </c>
      <c r="H3" s="32" t="s">
        <v>10</v>
      </c>
      <c r="I3" s="32" t="s">
        <v>5</v>
      </c>
      <c r="J3" s="32" t="s">
        <v>149</v>
      </c>
      <c r="K3" s="32" t="s">
        <v>7</v>
      </c>
      <c r="N3" s="32" t="s">
        <v>94</v>
      </c>
      <c r="O3" s="32" t="s">
        <v>11</v>
      </c>
      <c r="P3" s="32" t="s">
        <v>12</v>
      </c>
      <c r="Q3" s="32" t="s">
        <v>8</v>
      </c>
      <c r="R3" s="32" t="s">
        <v>1</v>
      </c>
      <c r="S3" s="32" t="s">
        <v>9</v>
      </c>
      <c r="T3" s="32" t="s">
        <v>3</v>
      </c>
      <c r="U3" s="32" t="s">
        <v>10</v>
      </c>
      <c r="V3" s="32" t="s">
        <v>5</v>
      </c>
      <c r="W3" s="32" t="s">
        <v>149</v>
      </c>
      <c r="X3" s="32" t="s">
        <v>7</v>
      </c>
    </row>
    <row r="4" spans="1:24" ht="28.2" customHeight="1" x14ac:dyDescent="0.3">
      <c r="A4" s="5">
        <f>IF(B4="","",ROW()-COUNTBLANK($B$4:B4)-3)</f>
        <v>1</v>
      </c>
      <c r="B4" s="5" t="str">
        <f>'web survey'!C2</f>
        <v>FU-ACInstall</v>
      </c>
      <c r="C4" s="28" t="str">
        <f>'web survey'!AA2</f>
        <v>TBS13A2400330</v>
      </c>
      <c r="D4" s="17" t="str">
        <f>IF(B4="FU-ACInstall",VLOOKUP(VALUE('web survey'!D2),ref!$B$6:$C$7,2,0)&amp;" ("&amp;'web survey'!D2&amp;")",VLOOKUP(VALUE('web survey'!D2),ref!$E$6:$F$10,2,0)&amp;" ("&amp;'web survey'!D2&amp;")")</f>
        <v>Yes, There is installation (10)</v>
      </c>
      <c r="E4" s="26" t="str">
        <f>'web survey'!S2</f>
        <v/>
      </c>
      <c r="F4" s="17" t="str">
        <f>IF(B4="FU-ACInstall",VLOOKUP(VALUE('web survey'!E2),ref!$B$10:$C$12,2,0)&amp;" ("&amp;'web survey'!E2&amp;")",VLOOKUP(VALUE('web survey'!E2),ref!$E$13:$F$17,2,0)&amp;" ("&amp;'web survey'!E2&amp;")")</f>
        <v>Good (10)</v>
      </c>
      <c r="G4" s="26" t="str">
        <f>'web survey'!T2</f>
        <v/>
      </c>
      <c r="H4" s="17" t="str">
        <f>IF(B4="FU-ACInstall",VLOOKUP(VALUE('web survey'!F2),ref!$B$15:$C$17,2,0)&amp;" ("&amp;'web survey'!F2&amp;")",VLOOKUP(VALUE('web survey'!F2),ref!$E$20:$F$21,2,0)&amp;" ("&amp;'web survey'!F2&amp;")")</f>
        <v>Good (10)</v>
      </c>
      <c r="I4" s="26" t="str">
        <f>'web survey'!U2</f>
        <v/>
      </c>
      <c r="J4" s="17" t="str">
        <f>IF(B4="FU-ACInstall","-",VLOOKUP(VALUE('web survey'!G2),ref!$E$24:$F$26,2,0)&amp;" ("&amp;'web survey'!G2&amp;")")</f>
        <v>-</v>
      </c>
      <c r="K4" s="5" t="str">
        <f>YEAR('web survey'!Z2)&amp;"-"&amp;IF(MONTH('web survey'!Z2)&lt;10,"0"&amp;MONTH('web survey'!Z2),MONTH('web survey'!Z2))&amp;"-"&amp;IF(DAY('web survey'!Z2)&lt;10,"0"&amp;DAY('web survey'!Z2),DAY('web survey'!Z2))&amp;" "&amp;IF(HOUR('web survey'!Z2)&lt;10,"0"&amp;HOUR('web survey'!Z2),HOUR('web survey'!Z2))&amp;":"&amp;IF(MINUTE('web survey'!Z2)&lt;10,"0"&amp;MINUTE('web survey'!Z2),MINUTE('web survey'!Z2))&amp;(":00'")</f>
        <v>2024-08-21 16:53:00'</v>
      </c>
      <c r="L4" s="33"/>
      <c r="N4" s="34">
        <v>1</v>
      </c>
      <c r="O4" s="34" t="s">
        <v>44</v>
      </c>
      <c r="P4" s="36" t="s">
        <v>169</v>
      </c>
      <c r="Q4" s="38" t="s">
        <v>150</v>
      </c>
      <c r="R4" s="40" t="s">
        <v>46</v>
      </c>
      <c r="S4" s="38" t="s">
        <v>151</v>
      </c>
      <c r="T4" s="40" t="s">
        <v>46</v>
      </c>
      <c r="U4" s="38" t="s">
        <v>151</v>
      </c>
      <c r="V4" s="40" t="s">
        <v>46</v>
      </c>
      <c r="W4" s="38" t="s">
        <v>152</v>
      </c>
      <c r="X4" s="34" t="s">
        <v>168</v>
      </c>
    </row>
    <row r="5" spans="1:24" ht="28.2" customHeight="1" x14ac:dyDescent="0.3">
      <c r="A5" s="6">
        <f>IF(B5="","",ROW()-COUNTBLANK($B$4:B5)-3)</f>
        <v>2</v>
      </c>
      <c r="B5" s="6" t="str">
        <f>'web survey'!C3</f>
        <v>FU-ACInstall</v>
      </c>
      <c r="C5" s="29" t="str">
        <f>'web survey'!AA3</f>
        <v>TBS13A2400333</v>
      </c>
      <c r="D5" s="18" t="str">
        <f>IF(B5="FU-ACInstall",VLOOKUP(VALUE('web survey'!D3),ref!$B$6:$C$7,2,0)&amp;" ("&amp;'web survey'!D3&amp;")",VLOOKUP(VALUE('web survey'!D3),ref!$E$6:$F$10,2,0)&amp;" ("&amp;'web survey'!D3&amp;")")</f>
        <v>Yes, There is installation (10)</v>
      </c>
      <c r="E5" s="27" t="str">
        <f>'web survey'!S3</f>
        <v/>
      </c>
      <c r="F5" s="18" t="str">
        <f>IF(B5="FU-ACInstall",VLOOKUP(VALUE('web survey'!E3),ref!$B$10:$C$12,2,0)&amp;" ("&amp;'web survey'!E3&amp;")",VLOOKUP(VALUE('web survey'!E3),ref!$E$13:$F$17,2,0)&amp;" ("&amp;'web survey'!E3&amp;")")</f>
        <v>Good (10)</v>
      </c>
      <c r="G5" s="27" t="str">
        <f>'web survey'!T3</f>
        <v/>
      </c>
      <c r="H5" s="18" t="str">
        <f>IF(B5="FU-ACInstall",VLOOKUP(VALUE('web survey'!F3),ref!$B$15:$C$17,2,0)&amp;" ("&amp;'web survey'!F3&amp;")",VLOOKUP(VALUE('web survey'!F3),ref!$E$20:$F$21,2,0)&amp;" ("&amp;'web survey'!F3&amp;")")</f>
        <v>Good (10)</v>
      </c>
      <c r="I5" s="27" t="str">
        <f>'web survey'!U3</f>
        <v/>
      </c>
      <c r="J5" s="18" t="str">
        <f>IF(B5="FU-ACInstall","-",VLOOKUP(VALUE('web survey'!G3),ref!$E$24:$F$26,2,0)&amp;" ("&amp;'web survey'!G3&amp;")")</f>
        <v>-</v>
      </c>
      <c r="K5" s="6" t="str">
        <f>YEAR('web survey'!Z3)&amp;"-"&amp;IF(MONTH('web survey'!Z3)&lt;10,"0"&amp;MONTH('web survey'!Z3),MONTH('web survey'!Z3))&amp;"-"&amp;IF(DAY('web survey'!Z3)&lt;10,"0"&amp;DAY('web survey'!Z3),DAY('web survey'!Z3))&amp;" "&amp;IF(HOUR('web survey'!Z3)&lt;10,"0"&amp;HOUR('web survey'!Z3),HOUR('web survey'!Z3))&amp;":"&amp;IF(MINUTE('web survey'!Z3)&lt;10,"0"&amp;MINUTE('web survey'!Z3),MINUTE('web survey'!Z3))&amp;(":00'")</f>
        <v>2024-08-21 15:43:00'</v>
      </c>
      <c r="L5" s="33"/>
      <c r="N5" s="35">
        <v>2</v>
      </c>
      <c r="O5" s="35" t="s">
        <v>44</v>
      </c>
      <c r="P5" s="37" t="s">
        <v>173</v>
      </c>
      <c r="Q5" s="39" t="s">
        <v>150</v>
      </c>
      <c r="R5" s="41" t="s">
        <v>46</v>
      </c>
      <c r="S5" s="39" t="s">
        <v>151</v>
      </c>
      <c r="T5" s="41" t="s">
        <v>46</v>
      </c>
      <c r="U5" s="39" t="s">
        <v>151</v>
      </c>
      <c r="V5" s="41" t="s">
        <v>46</v>
      </c>
      <c r="W5" s="39" t="s">
        <v>152</v>
      </c>
      <c r="X5" s="35" t="s">
        <v>172</v>
      </c>
    </row>
    <row r="6" spans="1:24" ht="28.2" customHeight="1" x14ac:dyDescent="0.3">
      <c r="A6" s="6">
        <f>IF(B6="","",ROW()-COUNTBLANK($B$4:B6)-3)</f>
        <v>3</v>
      </c>
      <c r="B6" s="6" t="str">
        <f>'web survey'!C4</f>
        <v>FU-ACInstall</v>
      </c>
      <c r="C6" s="29" t="str">
        <f>'web survey'!AA4</f>
        <v>EMT19A2400123</v>
      </c>
      <c r="D6" s="18" t="str">
        <f>IF(B6="FU-ACInstall",VLOOKUP(VALUE('web survey'!D4),ref!$B$6:$C$7,2,0)&amp;" ("&amp;'web survey'!D4&amp;")",VLOOKUP(VALUE('web survey'!D4),ref!$E$6:$F$10,2,0)&amp;" ("&amp;'web survey'!D4&amp;")")</f>
        <v>No installation from SHARP (-10)</v>
      </c>
      <c r="E6" s="27" t="str">
        <f>'web survey'!S4</f>
        <v/>
      </c>
      <c r="F6" s="18" t="str">
        <f>IF(B6="FU-ACInstall",VLOOKUP(VALUE('web survey'!E4),ref!$B$10:$C$12,2,0)&amp;" ("&amp;'web survey'!E4&amp;")",VLOOKUP(VALUE('web survey'!E4),ref!$E$13:$F$17,2,0)&amp;" ("&amp;'web survey'!E4&amp;")")</f>
        <v>Spec Under Expectation (5)</v>
      </c>
      <c r="G6" s="27" t="str">
        <f>'web survey'!T4</f>
        <v/>
      </c>
      <c r="H6" s="18" t="str">
        <f>IF(B6="FU-ACInstall",VLOOKUP(VALUE('web survey'!F4),ref!$B$15:$C$17,2,0)&amp;" ("&amp;'web survey'!F4&amp;")",VLOOKUP(VALUE('web survey'!F4),ref!$E$20:$F$21,2,0)&amp;" ("&amp;'web survey'!F4&amp;")")</f>
        <v>Poor (-10)</v>
      </c>
      <c r="I6" s="27" t="str">
        <f>'web survey'!U4</f>
        <v/>
      </c>
      <c r="J6" s="18" t="str">
        <f>IF(B6="FU-ACInstall","-",VLOOKUP(VALUE('web survey'!G4),ref!$E$24:$F$26,2,0)&amp;" ("&amp;'web survey'!G4&amp;")")</f>
        <v>-</v>
      </c>
      <c r="K6" s="6" t="str">
        <f>YEAR('web survey'!Z4)&amp;"-"&amp;IF(MONTH('web survey'!Z4)&lt;10,"0"&amp;MONTH('web survey'!Z4),MONTH('web survey'!Z4))&amp;"-"&amp;IF(DAY('web survey'!Z4)&lt;10,"0"&amp;DAY('web survey'!Z4),DAY('web survey'!Z4))&amp;" "&amp;IF(HOUR('web survey'!Z4)&lt;10,"0"&amp;HOUR('web survey'!Z4),HOUR('web survey'!Z4))&amp;":"&amp;IF(MINUTE('web survey'!Z4)&lt;10,"0"&amp;MINUTE('web survey'!Z4),MINUTE('web survey'!Z4))&amp;(":00'")</f>
        <v>2024-08-21 15:30:00'</v>
      </c>
      <c r="L6" s="33"/>
      <c r="N6" s="35">
        <v>3</v>
      </c>
      <c r="O6" s="35" t="s">
        <v>44</v>
      </c>
      <c r="P6" s="37" t="s">
        <v>177</v>
      </c>
      <c r="Q6" s="39" t="s">
        <v>153</v>
      </c>
      <c r="R6" s="41" t="s">
        <v>46</v>
      </c>
      <c r="S6" s="39" t="s">
        <v>154</v>
      </c>
      <c r="T6" s="41" t="s">
        <v>46</v>
      </c>
      <c r="U6" s="39" t="s">
        <v>576</v>
      </c>
      <c r="V6" s="41" t="s">
        <v>46</v>
      </c>
      <c r="W6" s="39" t="s">
        <v>152</v>
      </c>
      <c r="X6" s="35" t="s">
        <v>176</v>
      </c>
    </row>
    <row r="7" spans="1:24" ht="28.2" customHeight="1" x14ac:dyDescent="0.3">
      <c r="A7" s="6">
        <f>IF(B7="","",ROW()-COUNTBLANK($B$4:B7)-3)</f>
        <v>4</v>
      </c>
      <c r="B7" s="6" t="str">
        <f>'web survey'!C5</f>
        <v>FU-ACInstall</v>
      </c>
      <c r="C7" s="29" t="str">
        <f>'web survey'!AA5</f>
        <v>TBS13A2400337</v>
      </c>
      <c r="D7" s="18" t="str">
        <f>IF(B7="FU-ACInstall",VLOOKUP(VALUE('web survey'!D5),ref!$B$6:$C$7,2,0)&amp;" ("&amp;'web survey'!D5&amp;")",VLOOKUP(VALUE('web survey'!D5),ref!$E$6:$F$10,2,0)&amp;" ("&amp;'web survey'!D5&amp;")")</f>
        <v>Yes, There is installation (10)</v>
      </c>
      <c r="E7" s="27" t="str">
        <f>'web survey'!S5</f>
        <v/>
      </c>
      <c r="F7" s="18" t="str">
        <f>IF(B7="FU-ACInstall",VLOOKUP(VALUE('web survey'!E5),ref!$B$10:$C$12,2,0)&amp;" ("&amp;'web survey'!E5&amp;")",VLOOKUP(VALUE('web survey'!E5),ref!$E$13:$F$17,2,0)&amp;" ("&amp;'web survey'!E5&amp;")")</f>
        <v>Good (10)</v>
      </c>
      <c r="G7" s="27" t="str">
        <f>'web survey'!T5</f>
        <v/>
      </c>
      <c r="H7" s="18" t="str">
        <f>IF(B7="FU-ACInstall",VLOOKUP(VALUE('web survey'!F5),ref!$B$15:$C$17,2,0)&amp;" ("&amp;'web survey'!F5&amp;")",VLOOKUP(VALUE('web survey'!F5),ref!$E$20:$F$21,2,0)&amp;" ("&amp;'web survey'!F5&amp;")")</f>
        <v>Good (10)</v>
      </c>
      <c r="I7" s="27" t="str">
        <f>'web survey'!U5</f>
        <v/>
      </c>
      <c r="J7" s="18" t="str">
        <f>IF(B7="FU-ACInstall","-",VLOOKUP(VALUE('web survey'!G5),ref!$E$24:$F$26,2,0)&amp;" ("&amp;'web survey'!G5&amp;")")</f>
        <v>-</v>
      </c>
      <c r="K7" s="6" t="str">
        <f>YEAR('web survey'!Z5)&amp;"-"&amp;IF(MONTH('web survey'!Z5)&lt;10,"0"&amp;MONTH('web survey'!Z5),MONTH('web survey'!Z5))&amp;"-"&amp;IF(DAY('web survey'!Z5)&lt;10,"0"&amp;DAY('web survey'!Z5),DAY('web survey'!Z5))&amp;" "&amp;IF(HOUR('web survey'!Z5)&lt;10,"0"&amp;HOUR('web survey'!Z5),HOUR('web survey'!Z5))&amp;":"&amp;IF(MINUTE('web survey'!Z5)&lt;10,"0"&amp;MINUTE('web survey'!Z5),MINUTE('web survey'!Z5))&amp;(":00'")</f>
        <v>2024-08-21 15:13:00'</v>
      </c>
      <c r="L7" s="33"/>
      <c r="N7" s="35">
        <v>4</v>
      </c>
      <c r="O7" s="35" t="s">
        <v>44</v>
      </c>
      <c r="P7" s="37" t="s">
        <v>181</v>
      </c>
      <c r="Q7" s="39" t="s">
        <v>150</v>
      </c>
      <c r="R7" s="41" t="s">
        <v>46</v>
      </c>
      <c r="S7" s="39" t="s">
        <v>151</v>
      </c>
      <c r="T7" s="41" t="s">
        <v>46</v>
      </c>
      <c r="U7" s="39" t="s">
        <v>151</v>
      </c>
      <c r="V7" s="41" t="s">
        <v>46</v>
      </c>
      <c r="W7" s="39" t="s">
        <v>152</v>
      </c>
      <c r="X7" s="35" t="s">
        <v>180</v>
      </c>
    </row>
    <row r="8" spans="1:24" ht="28.2" customHeight="1" x14ac:dyDescent="0.3">
      <c r="A8" s="6">
        <f>IF(B8="","",ROW()-COUNTBLANK($B$4:B8)-3)</f>
        <v>5</v>
      </c>
      <c r="B8" s="6" t="str">
        <f>'web survey'!C6</f>
        <v>FU-Z1-Eng</v>
      </c>
      <c r="C8" s="29" t="str">
        <f>'web survey'!AA6</f>
        <v>100891867</v>
      </c>
      <c r="D8" s="18" t="str">
        <f>IF(B8="FU-ACInstall",VLOOKUP(VALUE('web survey'!D6),ref!$B$6:$C$7,2,0)&amp;" ("&amp;'web survey'!D6&amp;")",VLOOKUP(VALUE('web survey'!D6),ref!$E$6:$F$10,2,0)&amp;" ("&amp;'web survey'!D6&amp;")")</f>
        <v>Good (10)</v>
      </c>
      <c r="E8" s="27" t="str">
        <f>'web survey'!S6</f>
        <v/>
      </c>
      <c r="F8" s="18" t="str">
        <f>IF(B8="FU-ACInstall",VLOOKUP(VALUE('web survey'!E6),ref!$B$10:$C$12,2,0)&amp;" ("&amp;'web survey'!E6&amp;")",VLOOKUP(VALUE('web survey'!E6),ref!$E$13:$F$17,2,0)&amp;" ("&amp;'web survey'!E6&amp;")")</f>
        <v>Good (5)</v>
      </c>
      <c r="G8" s="27" t="str">
        <f>'web survey'!T6</f>
        <v/>
      </c>
      <c r="H8" s="18" t="str">
        <f>IF(B8="FU-ACInstall",VLOOKUP(VALUE('web survey'!F6),ref!$B$15:$C$17,2,0)&amp;" ("&amp;'web survey'!F6&amp;")",VLOOKUP(VALUE('web survey'!F6),ref!$E$20:$F$21,2,0)&amp;" ("&amp;'web survey'!F6&amp;")")</f>
        <v>Different with SAP (-10)</v>
      </c>
      <c r="I8" s="27" t="str">
        <f>'web survey'!U6</f>
        <v/>
      </c>
      <c r="J8" s="18" t="str">
        <f>IF(B8="FU-ACInstall","-",VLOOKUP(VALUE('web survey'!G6),ref!$E$24:$F$26,2,0)&amp;" ("&amp;'web survey'!G6&amp;")")</f>
        <v>Jelas (5)</v>
      </c>
      <c r="K8" s="6" t="str">
        <f>YEAR('web survey'!Z6)&amp;"-"&amp;IF(MONTH('web survey'!Z6)&lt;10,"0"&amp;MONTH('web survey'!Z6),MONTH('web survey'!Z6))&amp;"-"&amp;IF(DAY('web survey'!Z6)&lt;10,"0"&amp;DAY('web survey'!Z6),DAY('web survey'!Z6))&amp;" "&amp;IF(HOUR('web survey'!Z6)&lt;10,"0"&amp;HOUR('web survey'!Z6),HOUR('web survey'!Z6))&amp;":"&amp;IF(MINUTE('web survey'!Z6)&lt;10,"0"&amp;MINUTE('web survey'!Z6),MINUTE('web survey'!Z6))&amp;(":00'")</f>
        <v>2024-08-21 22:51:00'</v>
      </c>
      <c r="L8" s="33"/>
      <c r="N8" s="35">
        <v>5</v>
      </c>
      <c r="O8" s="35" t="s">
        <v>63</v>
      </c>
      <c r="P8" s="37" t="s">
        <v>185</v>
      </c>
      <c r="Q8" s="39" t="s">
        <v>151</v>
      </c>
      <c r="R8" s="41" t="s">
        <v>46</v>
      </c>
      <c r="S8" s="39" t="s">
        <v>155</v>
      </c>
      <c r="T8" s="41" t="s">
        <v>46</v>
      </c>
      <c r="U8" s="39" t="s">
        <v>160</v>
      </c>
      <c r="V8" s="41" t="s">
        <v>46</v>
      </c>
      <c r="W8" s="39" t="s">
        <v>157</v>
      </c>
      <c r="X8" s="35" t="s">
        <v>184</v>
      </c>
    </row>
    <row r="9" spans="1:24" ht="28.2" customHeight="1" x14ac:dyDescent="0.3">
      <c r="A9" s="6">
        <f>IF(B9="","",ROW()-COUNTBLANK($B$4:B9)-3)</f>
        <v>6</v>
      </c>
      <c r="B9" s="6" t="str">
        <f>'web survey'!C7</f>
        <v>FU-Z1-Eng</v>
      </c>
      <c r="C9" s="29" t="str">
        <f>'web survey'!AA7</f>
        <v>203906108</v>
      </c>
      <c r="D9" s="18" t="str">
        <f>IF(B9="FU-ACInstall",VLOOKUP(VALUE('web survey'!D7),ref!$B$6:$C$7,2,0)&amp;" ("&amp;'web survey'!D7&amp;")",VLOOKUP(VALUE('web survey'!D7),ref!$E$6:$F$10,2,0)&amp;" ("&amp;'web survey'!D7&amp;")")</f>
        <v>Not Good (-10)</v>
      </c>
      <c r="E9" s="27" t="str">
        <f>'web survey'!S7</f>
        <v/>
      </c>
      <c r="F9" s="18" t="str">
        <f>IF(B9="FU-ACInstall",VLOOKUP(VALUE('web survey'!E7),ref!$B$10:$C$12,2,0)&amp;" ("&amp;'web survey'!E7&amp;")",VLOOKUP(VALUE('web survey'!E7),ref!$E$13:$F$17,2,0)&amp;" ("&amp;'web survey'!E7&amp;")")</f>
        <v>Very Good (10)</v>
      </c>
      <c r="G9" s="27" t="str">
        <f>'web survey'!T7</f>
        <v/>
      </c>
      <c r="H9" s="18" t="str">
        <f>IF(B9="FU-ACInstall",VLOOKUP(VALUE('web survey'!F7),ref!$B$15:$C$17,2,0)&amp;" ("&amp;'web survey'!F7&amp;")",VLOOKUP(VALUE('web survey'!F7),ref!$E$20:$F$21,2,0)&amp;" ("&amp;'web survey'!F7&amp;")")</f>
        <v>Appropriate with SAP / in Warranty (10)</v>
      </c>
      <c r="I9" s="27" t="str">
        <f>'web survey'!U7</f>
        <v/>
      </c>
      <c r="J9" s="18" t="str">
        <f>IF(B9="FU-ACInstall","-",VLOOKUP(VALUE('web survey'!G7),ref!$E$24:$F$26,2,0)&amp;" ("&amp;'web survey'!G7&amp;")")</f>
        <v>Jelas (5)</v>
      </c>
      <c r="K9" s="6" t="str">
        <f>YEAR('web survey'!Z7)&amp;"-"&amp;IF(MONTH('web survey'!Z7)&lt;10,"0"&amp;MONTH('web survey'!Z7),MONTH('web survey'!Z7))&amp;"-"&amp;IF(DAY('web survey'!Z7)&lt;10,"0"&amp;DAY('web survey'!Z7),DAY('web survey'!Z7))&amp;" "&amp;IF(HOUR('web survey'!Z7)&lt;10,"0"&amp;HOUR('web survey'!Z7),HOUR('web survey'!Z7))&amp;":"&amp;IF(MINUTE('web survey'!Z7)&lt;10,"0"&amp;MINUTE('web survey'!Z7),MINUTE('web survey'!Z7))&amp;(":00'")</f>
        <v>2024-08-21 22:08:00'</v>
      </c>
      <c r="L9" s="33"/>
      <c r="N9" s="35">
        <v>6</v>
      </c>
      <c r="O9" s="35" t="s">
        <v>63</v>
      </c>
      <c r="P9" s="37" t="s">
        <v>189</v>
      </c>
      <c r="Q9" s="39" t="s">
        <v>162</v>
      </c>
      <c r="R9" s="41" t="s">
        <v>46</v>
      </c>
      <c r="S9" s="39" t="s">
        <v>159</v>
      </c>
      <c r="T9" s="41" t="s">
        <v>46</v>
      </c>
      <c r="U9" s="39" t="s">
        <v>156</v>
      </c>
      <c r="V9" s="41" t="s">
        <v>46</v>
      </c>
      <c r="W9" s="39" t="s">
        <v>157</v>
      </c>
      <c r="X9" s="35" t="s">
        <v>188</v>
      </c>
    </row>
    <row r="10" spans="1:24" ht="28.2" customHeight="1" x14ac:dyDescent="0.3">
      <c r="A10" s="6">
        <f>IF(B10="","",ROW()-COUNTBLANK($B$4:B10)-3)</f>
        <v>7</v>
      </c>
      <c r="B10" s="6" t="str">
        <f>'web survey'!C8</f>
        <v>FU-Z1-Eng</v>
      </c>
      <c r="C10" s="29" t="str">
        <f>'web survey'!AA8</f>
        <v>203909527</v>
      </c>
      <c r="D10" s="18" t="str">
        <f>IF(B10="FU-ACInstall",VLOOKUP(VALUE('web survey'!D8),ref!$B$6:$C$7,2,0)&amp;" ("&amp;'web survey'!D8&amp;")",VLOOKUP(VALUE('web survey'!D8),ref!$E$6:$F$10,2,0)&amp;" ("&amp;'web survey'!D8&amp;")")</f>
        <v>Good (10)</v>
      </c>
      <c r="E10" s="27" t="str">
        <f>'web survey'!S8</f>
        <v/>
      </c>
      <c r="F10" s="18" t="str">
        <f>IF(B10="FU-ACInstall",VLOOKUP(VALUE('web survey'!E8),ref!$B$10:$C$12,2,0)&amp;" ("&amp;'web survey'!E8&amp;")",VLOOKUP(VALUE('web survey'!E8),ref!$E$13:$F$17,2,0)&amp;" ("&amp;'web survey'!E8&amp;")")</f>
        <v>Very Good (10)</v>
      </c>
      <c r="G10" s="27" t="str">
        <f>'web survey'!T8</f>
        <v/>
      </c>
      <c r="H10" s="18" t="str">
        <f>IF(B10="FU-ACInstall",VLOOKUP(VALUE('web survey'!F8),ref!$B$15:$C$17,2,0)&amp;" ("&amp;'web survey'!F8&amp;")",VLOOKUP(VALUE('web survey'!F8),ref!$E$20:$F$21,2,0)&amp;" ("&amp;'web survey'!F8&amp;")")</f>
        <v>Appropriate with SAP / in Warranty (10)</v>
      </c>
      <c r="I10" s="27" t="str">
        <f>'web survey'!U8</f>
        <v/>
      </c>
      <c r="J10" s="18" t="str">
        <f>IF(B10="FU-ACInstall","-",VLOOKUP(VALUE('web survey'!G8),ref!$E$24:$F$26,2,0)&amp;" ("&amp;'web survey'!G8&amp;")")</f>
        <v>Jelas (5)</v>
      </c>
      <c r="K10" s="6" t="str">
        <f>YEAR('web survey'!Z8)&amp;"-"&amp;IF(MONTH('web survey'!Z8)&lt;10,"0"&amp;MONTH('web survey'!Z8),MONTH('web survey'!Z8))&amp;"-"&amp;IF(DAY('web survey'!Z8)&lt;10,"0"&amp;DAY('web survey'!Z8),DAY('web survey'!Z8))&amp;" "&amp;IF(HOUR('web survey'!Z8)&lt;10,"0"&amp;HOUR('web survey'!Z8),HOUR('web survey'!Z8))&amp;":"&amp;IF(MINUTE('web survey'!Z8)&lt;10,"0"&amp;MINUTE('web survey'!Z8),MINUTE('web survey'!Z8))&amp;(":00'")</f>
        <v>2024-08-21 20:35:00'</v>
      </c>
      <c r="L10" s="33"/>
      <c r="N10" s="35">
        <v>7</v>
      </c>
      <c r="O10" s="35" t="s">
        <v>63</v>
      </c>
      <c r="P10" s="37" t="s">
        <v>193</v>
      </c>
      <c r="Q10" s="39" t="s">
        <v>151</v>
      </c>
      <c r="R10" s="41" t="s">
        <v>46</v>
      </c>
      <c r="S10" s="39" t="s">
        <v>159</v>
      </c>
      <c r="T10" s="41" t="s">
        <v>46</v>
      </c>
      <c r="U10" s="39" t="s">
        <v>156</v>
      </c>
      <c r="V10" s="41" t="s">
        <v>46</v>
      </c>
      <c r="W10" s="39" t="s">
        <v>157</v>
      </c>
      <c r="X10" s="35" t="s">
        <v>192</v>
      </c>
    </row>
    <row r="11" spans="1:24" ht="28.2" customHeight="1" x14ac:dyDescent="0.3">
      <c r="A11" s="6">
        <f>IF(B11="","",ROW()-COUNTBLANK($B$4:B11)-3)</f>
        <v>8</v>
      </c>
      <c r="B11" s="6" t="str">
        <f>'web survey'!C9</f>
        <v>FU-Z1-Eng</v>
      </c>
      <c r="C11" s="29" t="str">
        <f>'web survey'!AA9</f>
        <v>100892750</v>
      </c>
      <c r="D11" s="18" t="str">
        <f>IF(B11="FU-ACInstall",VLOOKUP(VALUE('web survey'!D9),ref!$B$6:$C$7,2,0)&amp;" ("&amp;'web survey'!D9&amp;")",VLOOKUP(VALUE('web survey'!D9),ref!$E$6:$F$10,2,0)&amp;" ("&amp;'web survey'!D9&amp;")")</f>
        <v>Good (10)</v>
      </c>
      <c r="E11" s="27" t="str">
        <f>'web survey'!S9</f>
        <v/>
      </c>
      <c r="F11" s="18" t="str">
        <f>IF(B11="FU-ACInstall",VLOOKUP(VALUE('web survey'!E9),ref!$B$10:$C$12,2,0)&amp;" ("&amp;'web survey'!E9&amp;")",VLOOKUP(VALUE('web survey'!E9),ref!$E$13:$F$17,2,0)&amp;" ("&amp;'web survey'!E9&amp;")")</f>
        <v>Very Good (10)</v>
      </c>
      <c r="G11" s="27" t="str">
        <f>'web survey'!T9</f>
        <v/>
      </c>
      <c r="H11" s="18" t="str">
        <f>IF(B11="FU-ACInstall",VLOOKUP(VALUE('web survey'!F9),ref!$B$15:$C$17,2,0)&amp;" ("&amp;'web survey'!F9&amp;")",VLOOKUP(VALUE('web survey'!F9),ref!$E$20:$F$21,2,0)&amp;" ("&amp;'web survey'!F9&amp;")")</f>
        <v>Appropriate with SAP / in Warranty (10)</v>
      </c>
      <c r="I11" s="27" t="str">
        <f>'web survey'!U9</f>
        <v/>
      </c>
      <c r="J11" s="18" t="str">
        <f>IF(B11="FU-ACInstall","-",VLOOKUP(VALUE('web survey'!G9),ref!$E$24:$F$26,2,0)&amp;" ("&amp;'web survey'!G9&amp;")")</f>
        <v>Jelas (5)</v>
      </c>
      <c r="K11" s="6" t="str">
        <f>YEAR('web survey'!Z9)&amp;"-"&amp;IF(MONTH('web survey'!Z9)&lt;10,"0"&amp;MONTH('web survey'!Z9),MONTH('web survey'!Z9))&amp;"-"&amp;IF(DAY('web survey'!Z9)&lt;10,"0"&amp;DAY('web survey'!Z9),DAY('web survey'!Z9))&amp;" "&amp;IF(HOUR('web survey'!Z9)&lt;10,"0"&amp;HOUR('web survey'!Z9),HOUR('web survey'!Z9))&amp;":"&amp;IF(MINUTE('web survey'!Z9)&lt;10,"0"&amp;MINUTE('web survey'!Z9),MINUTE('web survey'!Z9))&amp;(":00'")</f>
        <v>2024-08-21 20:34:00'</v>
      </c>
      <c r="L11" s="33"/>
      <c r="N11" s="35">
        <v>8</v>
      </c>
      <c r="O11" s="35" t="s">
        <v>63</v>
      </c>
      <c r="P11" s="37" t="s">
        <v>198</v>
      </c>
      <c r="Q11" s="39" t="s">
        <v>151</v>
      </c>
      <c r="R11" s="41" t="s">
        <v>46</v>
      </c>
      <c r="S11" s="39" t="s">
        <v>159</v>
      </c>
      <c r="T11" s="41" t="s">
        <v>46</v>
      </c>
      <c r="U11" s="39" t="s">
        <v>156</v>
      </c>
      <c r="V11" s="41" t="s">
        <v>46</v>
      </c>
      <c r="W11" s="39" t="s">
        <v>157</v>
      </c>
      <c r="X11" s="35" t="s">
        <v>197</v>
      </c>
    </row>
    <row r="12" spans="1:24" ht="28.2" customHeight="1" x14ac:dyDescent="0.3">
      <c r="A12" s="6">
        <f>IF(B12="","",ROW()-COUNTBLANK($B$4:B12)-3)</f>
        <v>9</v>
      </c>
      <c r="B12" s="6" t="str">
        <f>'web survey'!C10</f>
        <v>FU-Z1-Eng</v>
      </c>
      <c r="C12" s="29" t="str">
        <f>'web survey'!AA10</f>
        <v>203909674</v>
      </c>
      <c r="D12" s="18" t="str">
        <f>IF(B12="FU-ACInstall",VLOOKUP(VALUE('web survey'!D10),ref!$B$6:$C$7,2,0)&amp;" ("&amp;'web survey'!D10&amp;")",VLOOKUP(VALUE('web survey'!D10),ref!$E$6:$F$10,2,0)&amp;" ("&amp;'web survey'!D10&amp;")")</f>
        <v>Good (10)</v>
      </c>
      <c r="E12" s="27" t="str">
        <f>'web survey'!S10</f>
        <v/>
      </c>
      <c r="F12" s="18" t="str">
        <f>IF(B12="FU-ACInstall",VLOOKUP(VALUE('web survey'!E10),ref!$B$10:$C$12,2,0)&amp;" ("&amp;'web survey'!E10&amp;")",VLOOKUP(VALUE('web survey'!E10),ref!$E$13:$F$17,2,0)&amp;" ("&amp;'web survey'!E10&amp;")")</f>
        <v>Very Good (10)</v>
      </c>
      <c r="G12" s="27" t="str">
        <f>'web survey'!T10</f>
        <v/>
      </c>
      <c r="H12" s="18" t="str">
        <f>IF(B12="FU-ACInstall",VLOOKUP(VALUE('web survey'!F10),ref!$B$15:$C$17,2,0)&amp;" ("&amp;'web survey'!F10&amp;")",VLOOKUP(VALUE('web survey'!F10),ref!$E$20:$F$21,2,0)&amp;" ("&amp;'web survey'!F10&amp;")")</f>
        <v>Appropriate with SAP / in Warranty (10)</v>
      </c>
      <c r="I12" s="27" t="str">
        <f>'web survey'!U10</f>
        <v/>
      </c>
      <c r="J12" s="18" t="str">
        <f>IF(B12="FU-ACInstall","-",VLOOKUP(VALUE('web survey'!G10),ref!$E$24:$F$26,2,0)&amp;" ("&amp;'web survey'!G10&amp;")")</f>
        <v>Jelas (5)</v>
      </c>
      <c r="K12" s="6" t="str">
        <f>YEAR('web survey'!Z10)&amp;"-"&amp;IF(MONTH('web survey'!Z10)&lt;10,"0"&amp;MONTH('web survey'!Z10),MONTH('web survey'!Z10))&amp;"-"&amp;IF(DAY('web survey'!Z10)&lt;10,"0"&amp;DAY('web survey'!Z10),DAY('web survey'!Z10))&amp;" "&amp;IF(HOUR('web survey'!Z10)&lt;10,"0"&amp;HOUR('web survey'!Z10),HOUR('web survey'!Z10))&amp;":"&amp;IF(MINUTE('web survey'!Z10)&lt;10,"0"&amp;MINUTE('web survey'!Z10),MINUTE('web survey'!Z10))&amp;(":00'")</f>
        <v>2024-08-21 19:49:00'</v>
      </c>
      <c r="L12" s="33"/>
      <c r="N12" s="35">
        <v>9</v>
      </c>
      <c r="O12" s="35" t="s">
        <v>63</v>
      </c>
      <c r="P12" s="37" t="s">
        <v>202</v>
      </c>
      <c r="Q12" s="39" t="s">
        <v>151</v>
      </c>
      <c r="R12" s="41" t="s">
        <v>46</v>
      </c>
      <c r="S12" s="39" t="s">
        <v>159</v>
      </c>
      <c r="T12" s="41" t="s">
        <v>46</v>
      </c>
      <c r="U12" s="39" t="s">
        <v>156</v>
      </c>
      <c r="V12" s="41" t="s">
        <v>46</v>
      </c>
      <c r="W12" s="39" t="s">
        <v>157</v>
      </c>
      <c r="X12" s="35" t="s">
        <v>201</v>
      </c>
    </row>
    <row r="13" spans="1:24" ht="28.2" customHeight="1" x14ac:dyDescent="0.3">
      <c r="A13" s="6">
        <f>IF(B13="","",ROW()-COUNTBLANK($B$4:B13)-3)</f>
        <v>10</v>
      </c>
      <c r="B13" s="6" t="str">
        <f>'web survey'!C11</f>
        <v>FU-Z1-Eng</v>
      </c>
      <c r="C13" s="29" t="str">
        <f>'web survey'!AA11</f>
        <v>100893725</v>
      </c>
      <c r="D13" s="18" t="str">
        <f>IF(B13="FU-ACInstall",VLOOKUP(VALUE('web survey'!D11),ref!$B$6:$C$7,2,0)&amp;" ("&amp;'web survey'!D11&amp;")",VLOOKUP(VALUE('web survey'!D11),ref!$E$6:$F$10,2,0)&amp;" ("&amp;'web survey'!D11&amp;")")</f>
        <v>Good (10)</v>
      </c>
      <c r="E13" s="27" t="str">
        <f>'web survey'!S11</f>
        <v/>
      </c>
      <c r="F13" s="18" t="str">
        <f>IF(B13="FU-ACInstall",VLOOKUP(VALUE('web survey'!E11),ref!$B$10:$C$12,2,0)&amp;" ("&amp;'web survey'!E11&amp;")",VLOOKUP(VALUE('web survey'!E11),ref!$E$13:$F$17,2,0)&amp;" ("&amp;'web survey'!E11&amp;")")</f>
        <v>Good (5)</v>
      </c>
      <c r="G13" s="27" t="str">
        <f>'web survey'!T11</f>
        <v/>
      </c>
      <c r="H13" s="18" t="str">
        <f>IF(B13="FU-ACInstall",VLOOKUP(VALUE('web survey'!F11),ref!$B$15:$C$17,2,0)&amp;" ("&amp;'web survey'!F11&amp;")",VLOOKUP(VALUE('web survey'!F11),ref!$E$20:$F$21,2,0)&amp;" ("&amp;'web survey'!F11&amp;")")</f>
        <v>Appropriate with SAP / in Warranty (10)</v>
      </c>
      <c r="I13" s="27" t="str">
        <f>'web survey'!U11</f>
        <v/>
      </c>
      <c r="J13" s="18" t="str">
        <f>IF(B13="FU-ACInstall","-",VLOOKUP(VALUE('web survey'!G11),ref!$E$24:$F$26,2,0)&amp;" ("&amp;'web survey'!G11&amp;")")</f>
        <v>Jelas (5)</v>
      </c>
      <c r="K13" s="6" t="str">
        <f>YEAR('web survey'!Z11)&amp;"-"&amp;IF(MONTH('web survey'!Z11)&lt;10,"0"&amp;MONTH('web survey'!Z11),MONTH('web survey'!Z11))&amp;"-"&amp;IF(DAY('web survey'!Z11)&lt;10,"0"&amp;DAY('web survey'!Z11),DAY('web survey'!Z11))&amp;" "&amp;IF(HOUR('web survey'!Z11)&lt;10,"0"&amp;HOUR('web survey'!Z11),HOUR('web survey'!Z11))&amp;":"&amp;IF(MINUTE('web survey'!Z11)&lt;10,"0"&amp;MINUTE('web survey'!Z11),MINUTE('web survey'!Z11))&amp;(":00'")</f>
        <v>2024-08-21 19:45:00'</v>
      </c>
      <c r="L13" s="33"/>
      <c r="N13" s="35">
        <v>10</v>
      </c>
      <c r="O13" s="35" t="s">
        <v>63</v>
      </c>
      <c r="P13" s="37" t="s">
        <v>207</v>
      </c>
      <c r="Q13" s="39" t="s">
        <v>151</v>
      </c>
      <c r="R13" s="41" t="s">
        <v>46</v>
      </c>
      <c r="S13" s="39" t="s">
        <v>155</v>
      </c>
      <c r="T13" s="41" t="s">
        <v>46</v>
      </c>
      <c r="U13" s="39" t="s">
        <v>156</v>
      </c>
      <c r="V13" s="41" t="s">
        <v>46</v>
      </c>
      <c r="W13" s="39" t="s">
        <v>157</v>
      </c>
      <c r="X13" s="35" t="s">
        <v>206</v>
      </c>
    </row>
    <row r="14" spans="1:24" ht="28.2" customHeight="1" x14ac:dyDescent="0.3">
      <c r="A14" s="6">
        <f>IF(B14="","",ROW()-COUNTBLANK($B$4:B14)-3)</f>
        <v>11</v>
      </c>
      <c r="B14" s="6" t="str">
        <f>'web survey'!C12</f>
        <v>FU-Z1-Eng</v>
      </c>
      <c r="C14" s="29" t="str">
        <f>'web survey'!AA12</f>
        <v>203906953</v>
      </c>
      <c r="D14" s="18" t="str">
        <f>IF(B14="FU-ACInstall",VLOOKUP(VALUE('web survey'!D12),ref!$B$6:$C$7,2,0)&amp;" ("&amp;'web survey'!D12&amp;")",VLOOKUP(VALUE('web survey'!D12),ref!$E$6:$F$10,2,0)&amp;" ("&amp;'web survey'!D12&amp;")")</f>
        <v>Good (10)</v>
      </c>
      <c r="E14" s="27" t="str">
        <f>'web survey'!S12</f>
        <v/>
      </c>
      <c r="F14" s="18" t="str">
        <f>IF(B14="FU-ACInstall",VLOOKUP(VALUE('web survey'!E12),ref!$B$10:$C$12,2,0)&amp;" ("&amp;'web survey'!E12&amp;")",VLOOKUP(VALUE('web survey'!E12),ref!$E$13:$F$17,2,0)&amp;" ("&amp;'web survey'!E12&amp;")")</f>
        <v>Very Good (10)</v>
      </c>
      <c r="G14" s="27" t="str">
        <f>'web survey'!T12</f>
        <v/>
      </c>
      <c r="H14" s="18" t="str">
        <f>IF(B14="FU-ACInstall",VLOOKUP(VALUE('web survey'!F12),ref!$B$15:$C$17,2,0)&amp;" ("&amp;'web survey'!F12&amp;")",VLOOKUP(VALUE('web survey'!F12),ref!$E$20:$F$21,2,0)&amp;" ("&amp;'web survey'!F12&amp;")")</f>
        <v>Appropriate with SAP / in Warranty (10)</v>
      </c>
      <c r="I14" s="27" t="str">
        <f>'web survey'!U12</f>
        <v/>
      </c>
      <c r="J14" s="18" t="str">
        <f>IF(B14="FU-ACInstall","-",VLOOKUP(VALUE('web survey'!G12),ref!$E$24:$F$26,2,0)&amp;" ("&amp;'web survey'!G12&amp;")")</f>
        <v>Jelas (5)</v>
      </c>
      <c r="K14" s="6" t="str">
        <f>YEAR('web survey'!Z12)&amp;"-"&amp;IF(MONTH('web survey'!Z12)&lt;10,"0"&amp;MONTH('web survey'!Z12),MONTH('web survey'!Z12))&amp;"-"&amp;IF(DAY('web survey'!Z12)&lt;10,"0"&amp;DAY('web survey'!Z12),DAY('web survey'!Z12))&amp;" "&amp;IF(HOUR('web survey'!Z12)&lt;10,"0"&amp;HOUR('web survey'!Z12),HOUR('web survey'!Z12))&amp;":"&amp;IF(MINUTE('web survey'!Z12)&lt;10,"0"&amp;MINUTE('web survey'!Z12),MINUTE('web survey'!Z12))&amp;(":00'")</f>
        <v>2024-08-21 19:03:00'</v>
      </c>
      <c r="L14" s="33"/>
      <c r="N14" s="35">
        <v>11</v>
      </c>
      <c r="O14" s="35" t="s">
        <v>63</v>
      </c>
      <c r="P14" s="37" t="s">
        <v>211</v>
      </c>
      <c r="Q14" s="39" t="s">
        <v>151</v>
      </c>
      <c r="R14" s="41" t="s">
        <v>46</v>
      </c>
      <c r="S14" s="39" t="s">
        <v>159</v>
      </c>
      <c r="T14" s="41" t="s">
        <v>46</v>
      </c>
      <c r="U14" s="39" t="s">
        <v>156</v>
      </c>
      <c r="V14" s="41" t="s">
        <v>46</v>
      </c>
      <c r="W14" s="39" t="s">
        <v>157</v>
      </c>
      <c r="X14" s="35" t="s">
        <v>210</v>
      </c>
    </row>
    <row r="15" spans="1:24" ht="28.2" customHeight="1" x14ac:dyDescent="0.3">
      <c r="A15" s="6">
        <f>IF(B15="","",ROW()-COUNTBLANK($B$4:B15)-3)</f>
        <v>12</v>
      </c>
      <c r="B15" s="6" t="str">
        <f>'web survey'!C13</f>
        <v>FU-Z1-Eng</v>
      </c>
      <c r="C15" s="29" t="str">
        <f>'web survey'!AA13</f>
        <v>100892571</v>
      </c>
      <c r="D15" s="18" t="str">
        <f>IF(B15="FU-ACInstall",VLOOKUP(VALUE('web survey'!D13),ref!$B$6:$C$7,2,0)&amp;" ("&amp;'web survey'!D13&amp;")",VLOOKUP(VALUE('web survey'!D13),ref!$E$6:$F$10,2,0)&amp;" ("&amp;'web survey'!D13&amp;")")</f>
        <v>Good (10)</v>
      </c>
      <c r="E15" s="27" t="str">
        <f>'web survey'!S13</f>
        <v/>
      </c>
      <c r="F15" s="18" t="str">
        <f>IF(B15="FU-ACInstall",VLOOKUP(VALUE('web survey'!E13),ref!$B$10:$C$12,2,0)&amp;" ("&amp;'web survey'!E13&amp;")",VLOOKUP(VALUE('web survey'!E13),ref!$E$13:$F$17,2,0)&amp;" ("&amp;'web survey'!E13&amp;")")</f>
        <v>Very Good (10)</v>
      </c>
      <c r="G15" s="27" t="str">
        <f>'web survey'!T13</f>
        <v/>
      </c>
      <c r="H15" s="18" t="str">
        <f>IF(B15="FU-ACInstall",VLOOKUP(VALUE('web survey'!F13),ref!$B$15:$C$17,2,0)&amp;" ("&amp;'web survey'!F13&amp;")",VLOOKUP(VALUE('web survey'!F13),ref!$E$20:$F$21,2,0)&amp;" ("&amp;'web survey'!F13&amp;")")</f>
        <v>Appropriate with SAP / in Warranty (10)</v>
      </c>
      <c r="I15" s="27" t="str">
        <f>'web survey'!U13</f>
        <v/>
      </c>
      <c r="J15" s="18" t="str">
        <f>IF(B15="FU-ACInstall","-",VLOOKUP(VALUE('web survey'!G13),ref!$E$24:$F$26,2,0)&amp;" ("&amp;'web survey'!G13&amp;")")</f>
        <v>Jelas (5)</v>
      </c>
      <c r="K15" s="6" t="str">
        <f>YEAR('web survey'!Z13)&amp;"-"&amp;IF(MONTH('web survey'!Z13)&lt;10,"0"&amp;MONTH('web survey'!Z13),MONTH('web survey'!Z13))&amp;"-"&amp;IF(DAY('web survey'!Z13)&lt;10,"0"&amp;DAY('web survey'!Z13),DAY('web survey'!Z13))&amp;" "&amp;IF(HOUR('web survey'!Z13)&lt;10,"0"&amp;HOUR('web survey'!Z13),HOUR('web survey'!Z13))&amp;":"&amp;IF(MINUTE('web survey'!Z13)&lt;10,"0"&amp;MINUTE('web survey'!Z13),MINUTE('web survey'!Z13))&amp;(":00'")</f>
        <v>2024-08-21 18:56:00'</v>
      </c>
      <c r="L15" s="33"/>
      <c r="N15" s="35">
        <v>12</v>
      </c>
      <c r="O15" s="35" t="s">
        <v>63</v>
      </c>
      <c r="P15" s="37" t="s">
        <v>215</v>
      </c>
      <c r="Q15" s="39" t="s">
        <v>151</v>
      </c>
      <c r="R15" s="41" t="s">
        <v>46</v>
      </c>
      <c r="S15" s="39" t="s">
        <v>159</v>
      </c>
      <c r="T15" s="41" t="s">
        <v>46</v>
      </c>
      <c r="U15" s="39" t="s">
        <v>156</v>
      </c>
      <c r="V15" s="41" t="s">
        <v>46</v>
      </c>
      <c r="W15" s="39" t="s">
        <v>157</v>
      </c>
      <c r="X15" s="35" t="s">
        <v>214</v>
      </c>
    </row>
    <row r="16" spans="1:24" ht="28.2" customHeight="1" x14ac:dyDescent="0.3">
      <c r="A16" s="6">
        <f>IF(B16="","",ROW()-COUNTBLANK($B$4:B16)-3)</f>
        <v>13</v>
      </c>
      <c r="B16" s="6" t="str">
        <f>'web survey'!C14</f>
        <v>FU-Z1-Eng</v>
      </c>
      <c r="C16" s="29" t="str">
        <f>'web survey'!AA14</f>
        <v>203901245</v>
      </c>
      <c r="D16" s="18" t="str">
        <f>IF(B16="FU-ACInstall",VLOOKUP(VALUE('web survey'!D14),ref!$B$6:$C$7,2,0)&amp;" ("&amp;'web survey'!D14&amp;")",VLOOKUP(VALUE('web survey'!D14),ref!$E$6:$F$10,2,0)&amp;" ("&amp;'web survey'!D14&amp;")")</f>
        <v>Good (10)</v>
      </c>
      <c r="E16" s="27" t="str">
        <f>'web survey'!S14</f>
        <v/>
      </c>
      <c r="F16" s="18" t="str">
        <f>IF(B16="FU-ACInstall",VLOOKUP(VALUE('web survey'!E14),ref!$B$10:$C$12,2,0)&amp;" ("&amp;'web survey'!E14&amp;")",VLOOKUP(VALUE('web survey'!E14),ref!$E$13:$F$17,2,0)&amp;" ("&amp;'web survey'!E14&amp;")")</f>
        <v>Very Good (10)</v>
      </c>
      <c r="G16" s="27" t="str">
        <f>'web survey'!T14</f>
        <v/>
      </c>
      <c r="H16" s="18" t="str">
        <f>IF(B16="FU-ACInstall",VLOOKUP(VALUE('web survey'!F14),ref!$B$15:$C$17,2,0)&amp;" ("&amp;'web survey'!F14&amp;")",VLOOKUP(VALUE('web survey'!F14),ref!$E$20:$F$21,2,0)&amp;" ("&amp;'web survey'!F14&amp;")")</f>
        <v>Appropriate with SAP / in Warranty (10)</v>
      </c>
      <c r="I16" s="27" t="str">
        <f>'web survey'!U14</f>
        <v/>
      </c>
      <c r="J16" s="18" t="str">
        <f>IF(B16="FU-ACInstall","-",VLOOKUP(VALUE('web survey'!G14),ref!$E$24:$F$26,2,0)&amp;" ("&amp;'web survey'!G14&amp;")")</f>
        <v>Jelas (5)</v>
      </c>
      <c r="K16" s="6" t="str">
        <f>YEAR('web survey'!Z14)&amp;"-"&amp;IF(MONTH('web survey'!Z14)&lt;10,"0"&amp;MONTH('web survey'!Z14),MONTH('web survey'!Z14))&amp;"-"&amp;IF(DAY('web survey'!Z14)&lt;10,"0"&amp;DAY('web survey'!Z14),DAY('web survey'!Z14))&amp;" "&amp;IF(HOUR('web survey'!Z14)&lt;10,"0"&amp;HOUR('web survey'!Z14),HOUR('web survey'!Z14))&amp;":"&amp;IF(MINUTE('web survey'!Z14)&lt;10,"0"&amp;MINUTE('web survey'!Z14),MINUTE('web survey'!Z14))&amp;(":00'")</f>
        <v>2024-08-21 18:55:00'</v>
      </c>
      <c r="L16" s="33"/>
      <c r="N16" s="35">
        <v>13</v>
      </c>
      <c r="O16" s="35" t="s">
        <v>63</v>
      </c>
      <c r="P16" s="37" t="s">
        <v>219</v>
      </c>
      <c r="Q16" s="39" t="s">
        <v>151</v>
      </c>
      <c r="R16" s="41" t="s">
        <v>46</v>
      </c>
      <c r="S16" s="39" t="s">
        <v>159</v>
      </c>
      <c r="T16" s="41" t="s">
        <v>46</v>
      </c>
      <c r="U16" s="39" t="s">
        <v>156</v>
      </c>
      <c r="V16" s="41" t="s">
        <v>46</v>
      </c>
      <c r="W16" s="39" t="s">
        <v>157</v>
      </c>
      <c r="X16" s="35" t="s">
        <v>218</v>
      </c>
    </row>
    <row r="17" spans="1:24" ht="28.2" customHeight="1" x14ac:dyDescent="0.3">
      <c r="A17" s="6">
        <f>IF(B17="","",ROW()-COUNTBLANK($B$4:B17)-3)</f>
        <v>14</v>
      </c>
      <c r="B17" s="6" t="str">
        <f>'web survey'!C15</f>
        <v>FU-Z1-Eng</v>
      </c>
      <c r="C17" s="29" t="str">
        <f>'web survey'!AA15</f>
        <v>203909746</v>
      </c>
      <c r="D17" s="18" t="str">
        <f>IF(B17="FU-ACInstall",VLOOKUP(VALUE('web survey'!D15),ref!$B$6:$C$7,2,0)&amp;" ("&amp;'web survey'!D15&amp;")",VLOOKUP(VALUE('web survey'!D15),ref!$E$6:$F$10,2,0)&amp;" ("&amp;'web survey'!D15&amp;")")</f>
        <v>Good (10)</v>
      </c>
      <c r="E17" s="27" t="str">
        <f>'web survey'!S15</f>
        <v/>
      </c>
      <c r="F17" s="18" t="str">
        <f>IF(B17="FU-ACInstall",VLOOKUP(VALUE('web survey'!E15),ref!$B$10:$C$12,2,0)&amp;" ("&amp;'web survey'!E15&amp;")",VLOOKUP(VALUE('web survey'!E15),ref!$E$13:$F$17,2,0)&amp;" ("&amp;'web survey'!E15&amp;")")</f>
        <v>Very Good (10)</v>
      </c>
      <c r="G17" s="27" t="str">
        <f>'web survey'!T15</f>
        <v/>
      </c>
      <c r="H17" s="18" t="str">
        <f>IF(B17="FU-ACInstall",VLOOKUP(VALUE('web survey'!F15),ref!$B$15:$C$17,2,0)&amp;" ("&amp;'web survey'!F15&amp;")",VLOOKUP(VALUE('web survey'!F15),ref!$E$20:$F$21,2,0)&amp;" ("&amp;'web survey'!F15&amp;")")</f>
        <v>Appropriate with SAP / in Warranty (10)</v>
      </c>
      <c r="I17" s="27" t="str">
        <f>'web survey'!U15</f>
        <v/>
      </c>
      <c r="J17" s="18" t="str">
        <f>IF(B17="FU-ACInstall","-",VLOOKUP(VALUE('web survey'!G15),ref!$E$24:$F$26,2,0)&amp;" ("&amp;'web survey'!G15&amp;")")</f>
        <v>Jelas (5)</v>
      </c>
      <c r="K17" s="6" t="str">
        <f>YEAR('web survey'!Z15)&amp;"-"&amp;IF(MONTH('web survey'!Z15)&lt;10,"0"&amp;MONTH('web survey'!Z15),MONTH('web survey'!Z15))&amp;"-"&amp;IF(DAY('web survey'!Z15)&lt;10,"0"&amp;DAY('web survey'!Z15),DAY('web survey'!Z15))&amp;" "&amp;IF(HOUR('web survey'!Z15)&lt;10,"0"&amp;HOUR('web survey'!Z15),HOUR('web survey'!Z15))&amp;":"&amp;IF(MINUTE('web survey'!Z15)&lt;10,"0"&amp;MINUTE('web survey'!Z15),MINUTE('web survey'!Z15))&amp;(":00'")</f>
        <v>2024-08-21 18:54:00'</v>
      </c>
      <c r="L17" s="33"/>
      <c r="N17" s="35">
        <v>14</v>
      </c>
      <c r="O17" s="35" t="s">
        <v>63</v>
      </c>
      <c r="P17" s="37" t="s">
        <v>223</v>
      </c>
      <c r="Q17" s="39" t="s">
        <v>151</v>
      </c>
      <c r="R17" s="41" t="s">
        <v>46</v>
      </c>
      <c r="S17" s="39" t="s">
        <v>159</v>
      </c>
      <c r="T17" s="41" t="s">
        <v>46</v>
      </c>
      <c r="U17" s="39" t="s">
        <v>156</v>
      </c>
      <c r="V17" s="41" t="s">
        <v>46</v>
      </c>
      <c r="W17" s="39" t="s">
        <v>157</v>
      </c>
      <c r="X17" s="35" t="s">
        <v>222</v>
      </c>
    </row>
    <row r="18" spans="1:24" ht="28.2" customHeight="1" x14ac:dyDescent="0.3">
      <c r="A18" s="6">
        <f>IF(B18="","",ROW()-COUNTBLANK($B$4:B18)-3)</f>
        <v>15</v>
      </c>
      <c r="B18" s="6" t="str">
        <f>'web survey'!C16</f>
        <v>FU-Z1-Eng</v>
      </c>
      <c r="C18" s="29" t="str">
        <f>'web survey'!AA16</f>
        <v>203908162</v>
      </c>
      <c r="D18" s="18" t="str">
        <f>IF(B18="FU-ACInstall",VLOOKUP(VALUE('web survey'!D16),ref!$B$6:$C$7,2,0)&amp;" ("&amp;'web survey'!D16&amp;")",VLOOKUP(VALUE('web survey'!D16),ref!$E$6:$F$10,2,0)&amp;" ("&amp;'web survey'!D16&amp;")")</f>
        <v>Good (10)</v>
      </c>
      <c r="E18" s="27" t="str">
        <f>'web survey'!S16</f>
        <v/>
      </c>
      <c r="F18" s="18" t="str">
        <f>IF(B18="FU-ACInstall",VLOOKUP(VALUE('web survey'!E16),ref!$B$10:$C$12,2,0)&amp;" ("&amp;'web survey'!E16&amp;")",VLOOKUP(VALUE('web survey'!E16),ref!$E$13:$F$17,2,0)&amp;" ("&amp;'web survey'!E16&amp;")")</f>
        <v>Very Good (10)</v>
      </c>
      <c r="G18" s="27" t="str">
        <f>'web survey'!T16</f>
        <v/>
      </c>
      <c r="H18" s="18" t="str">
        <f>IF(B18="FU-ACInstall",VLOOKUP(VALUE('web survey'!F16),ref!$B$15:$C$17,2,0)&amp;" ("&amp;'web survey'!F16&amp;")",VLOOKUP(VALUE('web survey'!F16),ref!$E$20:$F$21,2,0)&amp;" ("&amp;'web survey'!F16&amp;")")</f>
        <v>Appropriate with SAP / in Warranty (10)</v>
      </c>
      <c r="I18" s="27" t="str">
        <f>'web survey'!U16</f>
        <v/>
      </c>
      <c r="J18" s="18" t="str">
        <f>IF(B18="FU-ACInstall","-",VLOOKUP(VALUE('web survey'!G16),ref!$E$24:$F$26,2,0)&amp;" ("&amp;'web survey'!G16&amp;")")</f>
        <v>Jelas (5)</v>
      </c>
      <c r="K18" s="6" t="str">
        <f>YEAR('web survey'!Z16)&amp;"-"&amp;IF(MONTH('web survey'!Z16)&lt;10,"0"&amp;MONTH('web survey'!Z16),MONTH('web survey'!Z16))&amp;"-"&amp;IF(DAY('web survey'!Z16)&lt;10,"0"&amp;DAY('web survey'!Z16),DAY('web survey'!Z16))&amp;" "&amp;IF(HOUR('web survey'!Z16)&lt;10,"0"&amp;HOUR('web survey'!Z16),HOUR('web survey'!Z16))&amp;":"&amp;IF(MINUTE('web survey'!Z16)&lt;10,"0"&amp;MINUTE('web survey'!Z16),MINUTE('web survey'!Z16))&amp;(":00'")</f>
        <v>2024-08-21 18:48:00'</v>
      </c>
      <c r="L18" s="33"/>
      <c r="N18" s="35">
        <v>15</v>
      </c>
      <c r="O18" s="35" t="s">
        <v>63</v>
      </c>
      <c r="P18" s="37" t="s">
        <v>228</v>
      </c>
      <c r="Q18" s="39" t="s">
        <v>151</v>
      </c>
      <c r="R18" s="41" t="s">
        <v>46</v>
      </c>
      <c r="S18" s="39" t="s">
        <v>159</v>
      </c>
      <c r="T18" s="41" t="s">
        <v>46</v>
      </c>
      <c r="U18" s="39" t="s">
        <v>156</v>
      </c>
      <c r="V18" s="41" t="s">
        <v>46</v>
      </c>
      <c r="W18" s="39" t="s">
        <v>157</v>
      </c>
      <c r="X18" s="35" t="s">
        <v>227</v>
      </c>
    </row>
    <row r="19" spans="1:24" ht="28.2" customHeight="1" x14ac:dyDescent="0.3">
      <c r="A19" s="6">
        <f>IF(B19="","",ROW()-COUNTBLANK($B$4:B19)-3)</f>
        <v>16</v>
      </c>
      <c r="B19" s="6" t="str">
        <f>'web survey'!C17</f>
        <v>FU-Z1-Eng</v>
      </c>
      <c r="C19" s="29" t="str">
        <f>'web survey'!AA17</f>
        <v>100890603</v>
      </c>
      <c r="D19" s="18" t="str">
        <f>IF(B19="FU-ACInstall",VLOOKUP(VALUE('web survey'!D17),ref!$B$6:$C$7,2,0)&amp;" ("&amp;'web survey'!D17&amp;")",VLOOKUP(VALUE('web survey'!D17),ref!$E$6:$F$10,2,0)&amp;" ("&amp;'web survey'!D17&amp;")")</f>
        <v>Good (10)</v>
      </c>
      <c r="E19" s="27" t="str">
        <f>'web survey'!S17</f>
        <v/>
      </c>
      <c r="F19" s="18" t="str">
        <f>IF(B19="FU-ACInstall",VLOOKUP(VALUE('web survey'!E17),ref!$B$10:$C$12,2,0)&amp;" ("&amp;'web survey'!E17&amp;")",VLOOKUP(VALUE('web survey'!E17),ref!$E$13:$F$17,2,0)&amp;" ("&amp;'web survey'!E17&amp;")")</f>
        <v>Very Good (10)</v>
      </c>
      <c r="G19" s="27" t="str">
        <f>'web survey'!T17</f>
        <v/>
      </c>
      <c r="H19" s="18" t="str">
        <f>IF(B19="FU-ACInstall",VLOOKUP(VALUE('web survey'!F17),ref!$B$15:$C$17,2,0)&amp;" ("&amp;'web survey'!F17&amp;")",VLOOKUP(VALUE('web survey'!F17),ref!$E$20:$F$21,2,0)&amp;" ("&amp;'web survey'!F17&amp;")")</f>
        <v>Appropriate with SAP / in Warranty (10)</v>
      </c>
      <c r="I19" s="27" t="str">
        <f>'web survey'!U17</f>
        <v/>
      </c>
      <c r="J19" s="18" t="str">
        <f>IF(B19="FU-ACInstall","-",VLOOKUP(VALUE('web survey'!G17),ref!$E$24:$F$26,2,0)&amp;" ("&amp;'web survey'!G17&amp;")")</f>
        <v>Jelas (5)</v>
      </c>
      <c r="K19" s="6" t="str">
        <f>YEAR('web survey'!Z17)&amp;"-"&amp;IF(MONTH('web survey'!Z17)&lt;10,"0"&amp;MONTH('web survey'!Z17),MONTH('web survey'!Z17))&amp;"-"&amp;IF(DAY('web survey'!Z17)&lt;10,"0"&amp;DAY('web survey'!Z17),DAY('web survey'!Z17))&amp;" "&amp;IF(HOUR('web survey'!Z17)&lt;10,"0"&amp;HOUR('web survey'!Z17),HOUR('web survey'!Z17))&amp;":"&amp;IF(MINUTE('web survey'!Z17)&lt;10,"0"&amp;MINUTE('web survey'!Z17),MINUTE('web survey'!Z17))&amp;(":00'")</f>
        <v>2024-08-21 18:40:00'</v>
      </c>
      <c r="L19" s="33"/>
      <c r="N19" s="35">
        <v>16</v>
      </c>
      <c r="O19" s="35" t="s">
        <v>63</v>
      </c>
      <c r="P19" s="37" t="s">
        <v>232</v>
      </c>
      <c r="Q19" s="39" t="s">
        <v>151</v>
      </c>
      <c r="R19" s="41" t="s">
        <v>46</v>
      </c>
      <c r="S19" s="39" t="s">
        <v>159</v>
      </c>
      <c r="T19" s="41" t="s">
        <v>46</v>
      </c>
      <c r="U19" s="39" t="s">
        <v>156</v>
      </c>
      <c r="V19" s="41" t="s">
        <v>46</v>
      </c>
      <c r="W19" s="39" t="s">
        <v>157</v>
      </c>
      <c r="X19" s="35" t="s">
        <v>231</v>
      </c>
    </row>
    <row r="20" spans="1:24" ht="28.2" customHeight="1" x14ac:dyDescent="0.3">
      <c r="A20" s="6">
        <f>IF(B20="","",ROW()-COUNTBLANK($B$4:B20)-3)</f>
        <v>17</v>
      </c>
      <c r="B20" s="6" t="str">
        <f>'web survey'!C18</f>
        <v>FU-Z1-Eng</v>
      </c>
      <c r="C20" s="29" t="str">
        <f>'web survey'!AA18</f>
        <v>203908273</v>
      </c>
      <c r="D20" s="18" t="str">
        <f>IF(B20="FU-ACInstall",VLOOKUP(VALUE('web survey'!D18),ref!$B$6:$C$7,2,0)&amp;" ("&amp;'web survey'!D18&amp;")",VLOOKUP(VALUE('web survey'!D18),ref!$E$6:$F$10,2,0)&amp;" ("&amp;'web survey'!D18&amp;")")</f>
        <v>Good (10)</v>
      </c>
      <c r="E20" s="27" t="str">
        <f>'web survey'!S18</f>
        <v/>
      </c>
      <c r="F20" s="18" t="str">
        <f>IF(B20="FU-ACInstall",VLOOKUP(VALUE('web survey'!E18),ref!$B$10:$C$12,2,0)&amp;" ("&amp;'web survey'!E18&amp;")",VLOOKUP(VALUE('web survey'!E18),ref!$E$13:$F$17,2,0)&amp;" ("&amp;'web survey'!E18&amp;")")</f>
        <v>Very Good (10)</v>
      </c>
      <c r="G20" s="27" t="str">
        <f>'web survey'!T18</f>
        <v/>
      </c>
      <c r="H20" s="18" t="str">
        <f>IF(B20="FU-ACInstall",VLOOKUP(VALUE('web survey'!F18),ref!$B$15:$C$17,2,0)&amp;" ("&amp;'web survey'!F18&amp;")",VLOOKUP(VALUE('web survey'!F18),ref!$E$20:$F$21,2,0)&amp;" ("&amp;'web survey'!F18&amp;")")</f>
        <v>Appropriate with SAP / in Warranty (10)</v>
      </c>
      <c r="I20" s="27" t="str">
        <f>'web survey'!U18</f>
        <v/>
      </c>
      <c r="J20" s="18" t="str">
        <f>IF(B20="FU-ACInstall","-",VLOOKUP(VALUE('web survey'!G18),ref!$E$24:$F$26,2,0)&amp;" ("&amp;'web survey'!G18&amp;")")</f>
        <v>Jelas (5)</v>
      </c>
      <c r="K20" s="6" t="str">
        <f>YEAR('web survey'!Z18)&amp;"-"&amp;IF(MONTH('web survey'!Z18)&lt;10,"0"&amp;MONTH('web survey'!Z18),MONTH('web survey'!Z18))&amp;"-"&amp;IF(DAY('web survey'!Z18)&lt;10,"0"&amp;DAY('web survey'!Z18),DAY('web survey'!Z18))&amp;" "&amp;IF(HOUR('web survey'!Z18)&lt;10,"0"&amp;HOUR('web survey'!Z18),HOUR('web survey'!Z18))&amp;":"&amp;IF(MINUTE('web survey'!Z18)&lt;10,"0"&amp;MINUTE('web survey'!Z18),MINUTE('web survey'!Z18))&amp;(":00'")</f>
        <v>2024-08-21 18:37:00'</v>
      </c>
      <c r="L20" s="33"/>
      <c r="N20" s="35">
        <v>17</v>
      </c>
      <c r="O20" s="35" t="s">
        <v>63</v>
      </c>
      <c r="P20" s="37" t="s">
        <v>236</v>
      </c>
      <c r="Q20" s="39" t="s">
        <v>151</v>
      </c>
      <c r="R20" s="41" t="s">
        <v>46</v>
      </c>
      <c r="S20" s="39" t="s">
        <v>159</v>
      </c>
      <c r="T20" s="41" t="s">
        <v>46</v>
      </c>
      <c r="U20" s="39" t="s">
        <v>156</v>
      </c>
      <c r="V20" s="41" t="s">
        <v>46</v>
      </c>
      <c r="W20" s="39" t="s">
        <v>157</v>
      </c>
      <c r="X20" s="35" t="s">
        <v>235</v>
      </c>
    </row>
    <row r="21" spans="1:24" ht="28.2" customHeight="1" x14ac:dyDescent="0.3">
      <c r="A21" s="6">
        <f>IF(B21="","",ROW()-COUNTBLANK($B$4:B21)-3)</f>
        <v>18</v>
      </c>
      <c r="B21" s="6" t="str">
        <f>'web survey'!C19</f>
        <v>FU-Z1-Eng</v>
      </c>
      <c r="C21" s="29" t="str">
        <f>'web survey'!AA19</f>
        <v>203908828</v>
      </c>
      <c r="D21" s="18" t="str">
        <f>IF(B21="FU-ACInstall",VLOOKUP(VALUE('web survey'!D19),ref!$B$6:$C$7,2,0)&amp;" ("&amp;'web survey'!D19&amp;")",VLOOKUP(VALUE('web survey'!D19),ref!$E$6:$F$10,2,0)&amp;" ("&amp;'web survey'!D19&amp;")")</f>
        <v>Good (10)</v>
      </c>
      <c r="E21" s="27" t="str">
        <f>'web survey'!S19</f>
        <v/>
      </c>
      <c r="F21" s="18" t="str">
        <f>IF(B21="FU-ACInstall",VLOOKUP(VALUE('web survey'!E19),ref!$B$10:$C$12,2,0)&amp;" ("&amp;'web survey'!E19&amp;")",VLOOKUP(VALUE('web survey'!E19),ref!$E$13:$F$17,2,0)&amp;" ("&amp;'web survey'!E19&amp;")")</f>
        <v>Good (5)</v>
      </c>
      <c r="G21" s="27" t="str">
        <f>'web survey'!T19</f>
        <v/>
      </c>
      <c r="H21" s="18" t="str">
        <f>IF(B21="FU-ACInstall",VLOOKUP(VALUE('web survey'!F19),ref!$B$15:$C$17,2,0)&amp;" ("&amp;'web survey'!F19&amp;")",VLOOKUP(VALUE('web survey'!F19),ref!$E$20:$F$21,2,0)&amp;" ("&amp;'web survey'!F19&amp;")")</f>
        <v>Appropriate with SAP / in Warranty (10)</v>
      </c>
      <c r="I21" s="27" t="str">
        <f>'web survey'!U19</f>
        <v/>
      </c>
      <c r="J21" s="18" t="str">
        <f>IF(B21="FU-ACInstall","-",VLOOKUP(VALUE('web survey'!G19),ref!$E$24:$F$26,2,0)&amp;" ("&amp;'web survey'!G19&amp;")")</f>
        <v>Jelas (5)</v>
      </c>
      <c r="K21" s="6" t="str">
        <f>YEAR('web survey'!Z19)&amp;"-"&amp;IF(MONTH('web survey'!Z19)&lt;10,"0"&amp;MONTH('web survey'!Z19),MONTH('web survey'!Z19))&amp;"-"&amp;IF(DAY('web survey'!Z19)&lt;10,"0"&amp;DAY('web survey'!Z19),DAY('web survey'!Z19))&amp;" "&amp;IF(HOUR('web survey'!Z19)&lt;10,"0"&amp;HOUR('web survey'!Z19),HOUR('web survey'!Z19))&amp;":"&amp;IF(MINUTE('web survey'!Z19)&lt;10,"0"&amp;MINUTE('web survey'!Z19),MINUTE('web survey'!Z19))&amp;(":00'")</f>
        <v>2024-08-21 18:24:00'</v>
      </c>
      <c r="L21" s="33"/>
      <c r="N21" s="35">
        <v>18</v>
      </c>
      <c r="O21" s="35" t="s">
        <v>63</v>
      </c>
      <c r="P21" s="37" t="s">
        <v>241</v>
      </c>
      <c r="Q21" s="39" t="s">
        <v>151</v>
      </c>
      <c r="R21" s="41" t="s">
        <v>46</v>
      </c>
      <c r="S21" s="39" t="s">
        <v>155</v>
      </c>
      <c r="T21" s="41" t="s">
        <v>46</v>
      </c>
      <c r="U21" s="39" t="s">
        <v>156</v>
      </c>
      <c r="V21" s="41" t="s">
        <v>46</v>
      </c>
      <c r="W21" s="39" t="s">
        <v>157</v>
      </c>
      <c r="X21" s="35" t="s">
        <v>240</v>
      </c>
    </row>
    <row r="22" spans="1:24" ht="28.2" customHeight="1" x14ac:dyDescent="0.3">
      <c r="A22" s="6">
        <f>IF(B22="","",ROW()-COUNTBLANK($B$4:B22)-3)</f>
        <v>19</v>
      </c>
      <c r="B22" s="6" t="str">
        <f>'web survey'!C20</f>
        <v>FU-Z1-Eng</v>
      </c>
      <c r="C22" s="29" t="str">
        <f>'web survey'!AA20</f>
        <v>203909318</v>
      </c>
      <c r="D22" s="18" t="str">
        <f>IF(B22="FU-ACInstall",VLOOKUP(VALUE('web survey'!D20),ref!$B$6:$C$7,2,0)&amp;" ("&amp;'web survey'!D20&amp;")",VLOOKUP(VALUE('web survey'!D20),ref!$E$6:$F$10,2,0)&amp;" ("&amp;'web survey'!D20&amp;")")</f>
        <v>Good (10)</v>
      </c>
      <c r="E22" s="27" t="str">
        <f>'web survey'!S20</f>
        <v/>
      </c>
      <c r="F22" s="18" t="str">
        <f>IF(B22="FU-ACInstall",VLOOKUP(VALUE('web survey'!E20),ref!$B$10:$C$12,2,0)&amp;" ("&amp;'web survey'!E20&amp;")",VLOOKUP(VALUE('web survey'!E20),ref!$E$13:$F$17,2,0)&amp;" ("&amp;'web survey'!E20&amp;")")</f>
        <v>Good (5)</v>
      </c>
      <c r="G22" s="27" t="str">
        <f>'web survey'!T20</f>
        <v/>
      </c>
      <c r="H22" s="18" t="str">
        <f>IF(B22="FU-ACInstall",VLOOKUP(VALUE('web survey'!F20),ref!$B$15:$C$17,2,0)&amp;" ("&amp;'web survey'!F20&amp;")",VLOOKUP(VALUE('web survey'!F20),ref!$E$20:$F$21,2,0)&amp;" ("&amp;'web survey'!F20&amp;")")</f>
        <v>Appropriate with SAP / in Warranty (10)</v>
      </c>
      <c r="I22" s="27" t="str">
        <f>'web survey'!U20</f>
        <v/>
      </c>
      <c r="J22" s="18" t="str">
        <f>IF(B22="FU-ACInstall","-",VLOOKUP(VALUE('web survey'!G20),ref!$E$24:$F$26,2,0)&amp;" ("&amp;'web survey'!G20&amp;")")</f>
        <v>Jelas (5)</v>
      </c>
      <c r="K22" s="6" t="str">
        <f>YEAR('web survey'!Z20)&amp;"-"&amp;IF(MONTH('web survey'!Z20)&lt;10,"0"&amp;MONTH('web survey'!Z20),MONTH('web survey'!Z20))&amp;"-"&amp;IF(DAY('web survey'!Z20)&lt;10,"0"&amp;DAY('web survey'!Z20),DAY('web survey'!Z20))&amp;" "&amp;IF(HOUR('web survey'!Z20)&lt;10,"0"&amp;HOUR('web survey'!Z20),HOUR('web survey'!Z20))&amp;":"&amp;IF(MINUTE('web survey'!Z20)&lt;10,"0"&amp;MINUTE('web survey'!Z20),MINUTE('web survey'!Z20))&amp;(":00'")</f>
        <v>2024-08-21 18:11:00'</v>
      </c>
      <c r="L22" s="33"/>
      <c r="N22" s="35">
        <v>19</v>
      </c>
      <c r="O22" s="35" t="s">
        <v>63</v>
      </c>
      <c r="P22" s="37" t="s">
        <v>245</v>
      </c>
      <c r="Q22" s="39" t="s">
        <v>151</v>
      </c>
      <c r="R22" s="41" t="s">
        <v>46</v>
      </c>
      <c r="S22" s="39" t="s">
        <v>155</v>
      </c>
      <c r="T22" s="41" t="s">
        <v>46</v>
      </c>
      <c r="U22" s="39" t="s">
        <v>156</v>
      </c>
      <c r="V22" s="41" t="s">
        <v>46</v>
      </c>
      <c r="W22" s="39" t="s">
        <v>157</v>
      </c>
      <c r="X22" s="35" t="s">
        <v>244</v>
      </c>
    </row>
    <row r="23" spans="1:24" ht="28.2" customHeight="1" x14ac:dyDescent="0.3">
      <c r="A23" s="6">
        <f>IF(B23="","",ROW()-COUNTBLANK($B$4:B23)-3)</f>
        <v>20</v>
      </c>
      <c r="B23" s="6" t="str">
        <f>'web survey'!C21</f>
        <v>FU-Z1-Eng</v>
      </c>
      <c r="C23" s="29" t="str">
        <f>'web survey'!AA21</f>
        <v>203906901</v>
      </c>
      <c r="D23" s="18" t="str">
        <f>IF(B23="FU-ACInstall",VLOOKUP(VALUE('web survey'!D21),ref!$B$6:$C$7,2,0)&amp;" ("&amp;'web survey'!D21&amp;")",VLOOKUP(VALUE('web survey'!D21),ref!$E$6:$F$10,2,0)&amp;" ("&amp;'web survey'!D21&amp;")")</f>
        <v>Good (10)</v>
      </c>
      <c r="E23" s="27" t="str">
        <f>'web survey'!S21</f>
        <v/>
      </c>
      <c r="F23" s="18" t="str">
        <f>IF(B23="FU-ACInstall",VLOOKUP(VALUE('web survey'!E21),ref!$B$10:$C$12,2,0)&amp;" ("&amp;'web survey'!E21&amp;")",VLOOKUP(VALUE('web survey'!E21),ref!$E$13:$F$17,2,0)&amp;" ("&amp;'web survey'!E21&amp;")")</f>
        <v>Very Good (10)</v>
      </c>
      <c r="G23" s="27" t="str">
        <f>'web survey'!T21</f>
        <v/>
      </c>
      <c r="H23" s="18" t="str">
        <f>IF(B23="FU-ACInstall",VLOOKUP(VALUE('web survey'!F21),ref!$B$15:$C$17,2,0)&amp;" ("&amp;'web survey'!F21&amp;")",VLOOKUP(VALUE('web survey'!F21),ref!$E$20:$F$21,2,0)&amp;" ("&amp;'web survey'!F21&amp;")")</f>
        <v>Different with SAP (-10)</v>
      </c>
      <c r="I23" s="27" t="str">
        <f>'web survey'!U21</f>
        <v/>
      </c>
      <c r="J23" s="18" t="str">
        <f>IF(B23="FU-ACInstall","-",VLOOKUP(VALUE('web survey'!G21),ref!$E$24:$F$26,2,0)&amp;" ("&amp;'web survey'!G21&amp;")")</f>
        <v>Jelas (5)</v>
      </c>
      <c r="K23" s="6" t="str">
        <f>YEAR('web survey'!Z21)&amp;"-"&amp;IF(MONTH('web survey'!Z21)&lt;10,"0"&amp;MONTH('web survey'!Z21),MONTH('web survey'!Z21))&amp;"-"&amp;IF(DAY('web survey'!Z21)&lt;10,"0"&amp;DAY('web survey'!Z21),DAY('web survey'!Z21))&amp;" "&amp;IF(HOUR('web survey'!Z21)&lt;10,"0"&amp;HOUR('web survey'!Z21),HOUR('web survey'!Z21))&amp;":"&amp;IF(MINUTE('web survey'!Z21)&lt;10,"0"&amp;MINUTE('web survey'!Z21),MINUTE('web survey'!Z21))&amp;(":00'")</f>
        <v>2024-08-21 18:07:00'</v>
      </c>
      <c r="L23" s="33"/>
      <c r="N23" s="35">
        <v>20</v>
      </c>
      <c r="O23" s="35" t="s">
        <v>63</v>
      </c>
      <c r="P23" s="37" t="s">
        <v>250</v>
      </c>
      <c r="Q23" s="39" t="s">
        <v>151</v>
      </c>
      <c r="R23" s="41" t="s">
        <v>46</v>
      </c>
      <c r="S23" s="39" t="s">
        <v>159</v>
      </c>
      <c r="T23" s="41" t="s">
        <v>46</v>
      </c>
      <c r="U23" s="39" t="s">
        <v>160</v>
      </c>
      <c r="V23" s="41" t="s">
        <v>46</v>
      </c>
      <c r="W23" s="39" t="s">
        <v>157</v>
      </c>
      <c r="X23" s="35" t="s">
        <v>249</v>
      </c>
    </row>
    <row r="24" spans="1:24" ht="28.2" customHeight="1" x14ac:dyDescent="0.3">
      <c r="A24" s="6">
        <f>IF(B24="","",ROW()-COUNTBLANK($B$4:B24)-3)</f>
        <v>21</v>
      </c>
      <c r="B24" s="6" t="str">
        <f>'web survey'!C22</f>
        <v>FU-Z1-Eng</v>
      </c>
      <c r="C24" s="29" t="str">
        <f>'web survey'!AA22</f>
        <v>203893923</v>
      </c>
      <c r="D24" s="18" t="str">
        <f>IF(B24="FU-ACInstall",VLOOKUP(VALUE('web survey'!D22),ref!$B$6:$C$7,2,0)&amp;" ("&amp;'web survey'!D22&amp;")",VLOOKUP(VALUE('web survey'!D22),ref!$E$6:$F$10,2,0)&amp;" ("&amp;'web survey'!D22&amp;")")</f>
        <v>Good (10)</v>
      </c>
      <c r="E24" s="27" t="str">
        <f>'web survey'!S22</f>
        <v/>
      </c>
      <c r="F24" s="18" t="str">
        <f>IF(B24="FU-ACInstall",VLOOKUP(VALUE('web survey'!E22),ref!$B$10:$C$12,2,0)&amp;" ("&amp;'web survey'!E22&amp;")",VLOOKUP(VALUE('web survey'!E22),ref!$E$13:$F$17,2,0)&amp;" ("&amp;'web survey'!E22&amp;")")</f>
        <v>Very Good (10)</v>
      </c>
      <c r="G24" s="27" t="str">
        <f>'web survey'!T22</f>
        <v/>
      </c>
      <c r="H24" s="18" t="str">
        <f>IF(B24="FU-ACInstall",VLOOKUP(VALUE('web survey'!F22),ref!$B$15:$C$17,2,0)&amp;" ("&amp;'web survey'!F22&amp;")",VLOOKUP(VALUE('web survey'!F22),ref!$E$20:$F$21,2,0)&amp;" ("&amp;'web survey'!F22&amp;")")</f>
        <v>Appropriate with SAP / in Warranty (10)</v>
      </c>
      <c r="I24" s="27" t="str">
        <f>'web survey'!U22</f>
        <v/>
      </c>
      <c r="J24" s="18" t="str">
        <f>IF(B24="FU-ACInstall","-",VLOOKUP(VALUE('web survey'!G22),ref!$E$24:$F$26,2,0)&amp;" ("&amp;'web survey'!G22&amp;")")</f>
        <v>Jelas (5)</v>
      </c>
      <c r="K24" s="6" t="str">
        <f>YEAR('web survey'!Z22)&amp;"-"&amp;IF(MONTH('web survey'!Z22)&lt;10,"0"&amp;MONTH('web survey'!Z22),MONTH('web survey'!Z22))&amp;"-"&amp;IF(DAY('web survey'!Z22)&lt;10,"0"&amp;DAY('web survey'!Z22),DAY('web survey'!Z22))&amp;" "&amp;IF(HOUR('web survey'!Z22)&lt;10,"0"&amp;HOUR('web survey'!Z22),HOUR('web survey'!Z22))&amp;":"&amp;IF(MINUTE('web survey'!Z22)&lt;10,"0"&amp;MINUTE('web survey'!Z22),MINUTE('web survey'!Z22))&amp;(":00'")</f>
        <v>2024-08-21 18:02:00'</v>
      </c>
      <c r="L24" s="33"/>
      <c r="N24" s="35">
        <v>21</v>
      </c>
      <c r="O24" s="35" t="s">
        <v>63</v>
      </c>
      <c r="P24" s="37" t="s">
        <v>254</v>
      </c>
      <c r="Q24" s="39" t="s">
        <v>151</v>
      </c>
      <c r="R24" s="41" t="s">
        <v>46</v>
      </c>
      <c r="S24" s="39" t="s">
        <v>159</v>
      </c>
      <c r="T24" s="41" t="s">
        <v>46</v>
      </c>
      <c r="U24" s="39" t="s">
        <v>156</v>
      </c>
      <c r="V24" s="41" t="s">
        <v>46</v>
      </c>
      <c r="W24" s="39" t="s">
        <v>157</v>
      </c>
      <c r="X24" s="35" t="s">
        <v>253</v>
      </c>
    </row>
    <row r="25" spans="1:24" ht="28.2" customHeight="1" x14ac:dyDescent="0.3">
      <c r="A25" s="6">
        <f>IF(B25="","",ROW()-COUNTBLANK($B$4:B25)-3)</f>
        <v>22</v>
      </c>
      <c r="B25" s="6" t="str">
        <f>'web survey'!C23</f>
        <v>FU-Z1-Eng</v>
      </c>
      <c r="C25" s="29" t="str">
        <f>'web survey'!AA23</f>
        <v>203909204</v>
      </c>
      <c r="D25" s="18" t="str">
        <f>IF(B25="FU-ACInstall",VLOOKUP(VALUE('web survey'!D23),ref!$B$6:$C$7,2,0)&amp;" ("&amp;'web survey'!D23&amp;")",VLOOKUP(VALUE('web survey'!D23),ref!$E$6:$F$10,2,0)&amp;" ("&amp;'web survey'!D23&amp;")")</f>
        <v>Good (10)</v>
      </c>
      <c r="E25" s="27" t="str">
        <f>'web survey'!S23</f>
        <v/>
      </c>
      <c r="F25" s="18" t="str">
        <f>IF(B25="FU-ACInstall",VLOOKUP(VALUE('web survey'!E23),ref!$B$10:$C$12,2,0)&amp;" ("&amp;'web survey'!E23&amp;")",VLOOKUP(VALUE('web survey'!E23),ref!$E$13:$F$17,2,0)&amp;" ("&amp;'web survey'!E23&amp;")")</f>
        <v>Good (5)</v>
      </c>
      <c r="G25" s="27" t="str">
        <f>'web survey'!T23</f>
        <v/>
      </c>
      <c r="H25" s="18" t="str">
        <f>IF(B25="FU-ACInstall",VLOOKUP(VALUE('web survey'!F23),ref!$B$15:$C$17,2,0)&amp;" ("&amp;'web survey'!F23&amp;")",VLOOKUP(VALUE('web survey'!F23),ref!$E$20:$F$21,2,0)&amp;" ("&amp;'web survey'!F23&amp;")")</f>
        <v>Appropriate with SAP / in Warranty (10)</v>
      </c>
      <c r="I25" s="27" t="str">
        <f>'web survey'!U23</f>
        <v/>
      </c>
      <c r="J25" s="18" t="str">
        <f>IF(B25="FU-ACInstall","-",VLOOKUP(VALUE('web survey'!G23),ref!$E$24:$F$26,2,0)&amp;" ("&amp;'web survey'!G23&amp;")")</f>
        <v>Jelas (5)</v>
      </c>
      <c r="K25" s="6" t="str">
        <f>YEAR('web survey'!Z23)&amp;"-"&amp;IF(MONTH('web survey'!Z23)&lt;10,"0"&amp;MONTH('web survey'!Z23),MONTH('web survey'!Z23))&amp;"-"&amp;IF(DAY('web survey'!Z23)&lt;10,"0"&amp;DAY('web survey'!Z23),DAY('web survey'!Z23))&amp;" "&amp;IF(HOUR('web survey'!Z23)&lt;10,"0"&amp;HOUR('web survey'!Z23),HOUR('web survey'!Z23))&amp;":"&amp;IF(MINUTE('web survey'!Z23)&lt;10,"0"&amp;MINUTE('web survey'!Z23),MINUTE('web survey'!Z23))&amp;(":00'")</f>
        <v>2024-08-21 17:50:00'</v>
      </c>
      <c r="L25" s="33"/>
      <c r="N25" s="35">
        <v>22</v>
      </c>
      <c r="O25" s="35" t="s">
        <v>63</v>
      </c>
      <c r="P25" s="37" t="s">
        <v>258</v>
      </c>
      <c r="Q25" s="39" t="s">
        <v>151</v>
      </c>
      <c r="R25" s="41" t="s">
        <v>46</v>
      </c>
      <c r="S25" s="39" t="s">
        <v>155</v>
      </c>
      <c r="T25" s="41" t="s">
        <v>46</v>
      </c>
      <c r="U25" s="39" t="s">
        <v>156</v>
      </c>
      <c r="V25" s="41" t="s">
        <v>46</v>
      </c>
      <c r="W25" s="39" t="s">
        <v>157</v>
      </c>
      <c r="X25" s="35" t="s">
        <v>257</v>
      </c>
    </row>
    <row r="26" spans="1:24" ht="28.2" customHeight="1" x14ac:dyDescent="0.3">
      <c r="A26" s="6">
        <f>IF(B26="","",ROW()-COUNTBLANK($B$4:B26)-3)</f>
        <v>23</v>
      </c>
      <c r="B26" s="6" t="str">
        <f>'web survey'!C24</f>
        <v>FU-Z1-Eng</v>
      </c>
      <c r="C26" s="29" t="str">
        <f>'web survey'!AA24</f>
        <v>203908034</v>
      </c>
      <c r="D26" s="18" t="str">
        <f>IF(B26="FU-ACInstall",VLOOKUP(VALUE('web survey'!D24),ref!$B$6:$C$7,2,0)&amp;" ("&amp;'web survey'!D24&amp;")",VLOOKUP(VALUE('web survey'!D24),ref!$E$6:$F$10,2,0)&amp;" ("&amp;'web survey'!D24&amp;")")</f>
        <v>Good (10)</v>
      </c>
      <c r="E26" s="27" t="str">
        <f>'web survey'!S24</f>
        <v/>
      </c>
      <c r="F26" s="18" t="str">
        <f>IF(B26="FU-ACInstall",VLOOKUP(VALUE('web survey'!E24),ref!$B$10:$C$12,2,0)&amp;" ("&amp;'web survey'!E24&amp;")",VLOOKUP(VALUE('web survey'!E24),ref!$E$13:$F$17,2,0)&amp;" ("&amp;'web survey'!E24&amp;")")</f>
        <v>Very Good (10)</v>
      </c>
      <c r="G26" s="27" t="str">
        <f>'web survey'!T24</f>
        <v/>
      </c>
      <c r="H26" s="18" t="str">
        <f>IF(B26="FU-ACInstall",VLOOKUP(VALUE('web survey'!F24),ref!$B$15:$C$17,2,0)&amp;" ("&amp;'web survey'!F24&amp;")",VLOOKUP(VALUE('web survey'!F24),ref!$E$20:$F$21,2,0)&amp;" ("&amp;'web survey'!F24&amp;")")</f>
        <v>Appropriate with SAP / in Warranty (10)</v>
      </c>
      <c r="I26" s="27" t="str">
        <f>'web survey'!U24</f>
        <v/>
      </c>
      <c r="J26" s="18" t="str">
        <f>IF(B26="FU-ACInstall","-",VLOOKUP(VALUE('web survey'!G24),ref!$E$24:$F$26,2,0)&amp;" ("&amp;'web survey'!G24&amp;")")</f>
        <v>Jelas (5)</v>
      </c>
      <c r="K26" s="6" t="str">
        <f>YEAR('web survey'!Z24)&amp;"-"&amp;IF(MONTH('web survey'!Z24)&lt;10,"0"&amp;MONTH('web survey'!Z24),MONTH('web survey'!Z24))&amp;"-"&amp;IF(DAY('web survey'!Z24)&lt;10,"0"&amp;DAY('web survey'!Z24),DAY('web survey'!Z24))&amp;" "&amp;IF(HOUR('web survey'!Z24)&lt;10,"0"&amp;HOUR('web survey'!Z24),HOUR('web survey'!Z24))&amp;":"&amp;IF(MINUTE('web survey'!Z24)&lt;10,"0"&amp;MINUTE('web survey'!Z24),MINUTE('web survey'!Z24))&amp;(":00'")</f>
        <v>2024-08-21 17:31:00'</v>
      </c>
      <c r="L26" s="33"/>
      <c r="N26" s="35">
        <v>23</v>
      </c>
      <c r="O26" s="35" t="s">
        <v>63</v>
      </c>
      <c r="P26" s="37" t="s">
        <v>262</v>
      </c>
      <c r="Q26" s="39" t="s">
        <v>151</v>
      </c>
      <c r="R26" s="41" t="s">
        <v>46</v>
      </c>
      <c r="S26" s="39" t="s">
        <v>159</v>
      </c>
      <c r="T26" s="41" t="s">
        <v>46</v>
      </c>
      <c r="U26" s="39" t="s">
        <v>156</v>
      </c>
      <c r="V26" s="41" t="s">
        <v>46</v>
      </c>
      <c r="W26" s="39" t="s">
        <v>157</v>
      </c>
      <c r="X26" s="35" t="s">
        <v>261</v>
      </c>
    </row>
    <row r="27" spans="1:24" ht="28.2" customHeight="1" x14ac:dyDescent="0.3">
      <c r="A27" s="6">
        <f>IF(B27="","",ROW()-COUNTBLANK($B$4:B27)-3)</f>
        <v>24</v>
      </c>
      <c r="B27" s="6" t="str">
        <f>'web survey'!C25</f>
        <v>FU-Z1-Eng</v>
      </c>
      <c r="C27" s="29" t="str">
        <f>'web survey'!AA25</f>
        <v>203902632</v>
      </c>
      <c r="D27" s="18" t="str">
        <f>IF(B27="FU-ACInstall",VLOOKUP(VALUE('web survey'!D25),ref!$B$6:$C$7,2,0)&amp;" ("&amp;'web survey'!D25&amp;")",VLOOKUP(VALUE('web survey'!D25),ref!$E$6:$F$10,2,0)&amp;" ("&amp;'web survey'!D25&amp;")")</f>
        <v>Good (10)</v>
      </c>
      <c r="E27" s="27" t="str">
        <f>'web survey'!S25</f>
        <v/>
      </c>
      <c r="F27" s="18" t="str">
        <f>IF(B27="FU-ACInstall",VLOOKUP(VALUE('web survey'!E25),ref!$B$10:$C$12,2,0)&amp;" ("&amp;'web survey'!E25&amp;")",VLOOKUP(VALUE('web survey'!E25),ref!$E$13:$F$17,2,0)&amp;" ("&amp;'web survey'!E25&amp;")")</f>
        <v>Very Good (10)</v>
      </c>
      <c r="G27" s="27" t="str">
        <f>'web survey'!T25</f>
        <v/>
      </c>
      <c r="H27" s="18" t="str">
        <f>IF(B27="FU-ACInstall",VLOOKUP(VALUE('web survey'!F25),ref!$B$15:$C$17,2,0)&amp;" ("&amp;'web survey'!F25&amp;")",VLOOKUP(VALUE('web survey'!F25),ref!$E$20:$F$21,2,0)&amp;" ("&amp;'web survey'!F25&amp;")")</f>
        <v>Different with SAP (-10)</v>
      </c>
      <c r="I27" s="27" t="str">
        <f>'web survey'!U25</f>
        <v/>
      </c>
      <c r="J27" s="18" t="str">
        <f>IF(B27="FU-ACInstall","-",VLOOKUP(VALUE('web survey'!G25),ref!$E$24:$F$26,2,0)&amp;" ("&amp;'web survey'!G25&amp;")")</f>
        <v>Jelas (5)</v>
      </c>
      <c r="K27" s="6" t="str">
        <f>YEAR('web survey'!Z25)&amp;"-"&amp;IF(MONTH('web survey'!Z25)&lt;10,"0"&amp;MONTH('web survey'!Z25),MONTH('web survey'!Z25))&amp;"-"&amp;IF(DAY('web survey'!Z25)&lt;10,"0"&amp;DAY('web survey'!Z25),DAY('web survey'!Z25))&amp;" "&amp;IF(HOUR('web survey'!Z25)&lt;10,"0"&amp;HOUR('web survey'!Z25),HOUR('web survey'!Z25))&amp;":"&amp;IF(MINUTE('web survey'!Z25)&lt;10,"0"&amp;MINUTE('web survey'!Z25),MINUTE('web survey'!Z25))&amp;(":00'")</f>
        <v>2024-08-21 17:19:00'</v>
      </c>
      <c r="L27" s="33"/>
      <c r="N27" s="35">
        <v>24</v>
      </c>
      <c r="O27" s="35" t="s">
        <v>63</v>
      </c>
      <c r="P27" s="37" t="s">
        <v>266</v>
      </c>
      <c r="Q27" s="39" t="s">
        <v>151</v>
      </c>
      <c r="R27" s="41" t="s">
        <v>46</v>
      </c>
      <c r="S27" s="39" t="s">
        <v>159</v>
      </c>
      <c r="T27" s="41" t="s">
        <v>46</v>
      </c>
      <c r="U27" s="39" t="s">
        <v>160</v>
      </c>
      <c r="V27" s="41" t="s">
        <v>46</v>
      </c>
      <c r="W27" s="39" t="s">
        <v>157</v>
      </c>
      <c r="X27" s="35" t="s">
        <v>265</v>
      </c>
    </row>
    <row r="28" spans="1:24" ht="28.2" customHeight="1" x14ac:dyDescent="0.3">
      <c r="A28" s="6">
        <f>IF(B28="","",ROW()-COUNTBLANK($B$4:B28)-3)</f>
        <v>25</v>
      </c>
      <c r="B28" s="6" t="str">
        <f>'web survey'!C26</f>
        <v>FU-Z1-Eng</v>
      </c>
      <c r="C28" s="29" t="str">
        <f>'web survey'!AA26</f>
        <v>1115A2400677</v>
      </c>
      <c r="D28" s="18" t="str">
        <f>IF(B28="FU-ACInstall",VLOOKUP(VALUE('web survey'!D26),ref!$B$6:$C$7,2,0)&amp;" ("&amp;'web survey'!D26&amp;")",VLOOKUP(VALUE('web survey'!D26),ref!$E$6:$F$10,2,0)&amp;" ("&amp;'web survey'!D26&amp;")")</f>
        <v>Good (10)</v>
      </c>
      <c r="E28" s="27" t="str">
        <f>'web survey'!S26</f>
        <v/>
      </c>
      <c r="F28" s="18" t="str">
        <f>IF(B28="FU-ACInstall",VLOOKUP(VALUE('web survey'!E26),ref!$B$10:$C$12,2,0)&amp;" ("&amp;'web survey'!E26&amp;")",VLOOKUP(VALUE('web survey'!E26),ref!$E$13:$F$17,2,0)&amp;" ("&amp;'web survey'!E26&amp;")")</f>
        <v>Very Good (10)</v>
      </c>
      <c r="G28" s="27" t="str">
        <f>'web survey'!T26</f>
        <v/>
      </c>
      <c r="H28" s="18" t="str">
        <f>IF(B28="FU-ACInstall",VLOOKUP(VALUE('web survey'!F26),ref!$B$15:$C$17,2,0)&amp;" ("&amp;'web survey'!F26&amp;")",VLOOKUP(VALUE('web survey'!F26),ref!$E$20:$F$21,2,0)&amp;" ("&amp;'web survey'!F26&amp;")")</f>
        <v>Appropriate with SAP / in Warranty (10)</v>
      </c>
      <c r="I28" s="27" t="str">
        <f>'web survey'!U26</f>
        <v/>
      </c>
      <c r="J28" s="18" t="str">
        <f>IF(B28="FU-ACInstall","-",VLOOKUP(VALUE('web survey'!G26),ref!$E$24:$F$26,2,0)&amp;" ("&amp;'web survey'!G26&amp;")")</f>
        <v>Jelas (5)</v>
      </c>
      <c r="K28" s="6" t="str">
        <f>YEAR('web survey'!Z26)&amp;"-"&amp;IF(MONTH('web survey'!Z26)&lt;10,"0"&amp;MONTH('web survey'!Z26),MONTH('web survey'!Z26))&amp;"-"&amp;IF(DAY('web survey'!Z26)&lt;10,"0"&amp;DAY('web survey'!Z26),DAY('web survey'!Z26))&amp;" "&amp;IF(HOUR('web survey'!Z26)&lt;10,"0"&amp;HOUR('web survey'!Z26),HOUR('web survey'!Z26))&amp;":"&amp;IF(MINUTE('web survey'!Z26)&lt;10,"0"&amp;MINUTE('web survey'!Z26),MINUTE('web survey'!Z26))&amp;(":00'")</f>
        <v>2024-08-21 17:12:00'</v>
      </c>
      <c r="L28" s="33"/>
      <c r="N28" s="35">
        <v>25</v>
      </c>
      <c r="O28" s="35" t="s">
        <v>63</v>
      </c>
      <c r="P28" s="37" t="s">
        <v>271</v>
      </c>
      <c r="Q28" s="39" t="s">
        <v>151</v>
      </c>
      <c r="R28" s="41" t="s">
        <v>46</v>
      </c>
      <c r="S28" s="39" t="s">
        <v>159</v>
      </c>
      <c r="T28" s="41" t="s">
        <v>46</v>
      </c>
      <c r="U28" s="39" t="s">
        <v>156</v>
      </c>
      <c r="V28" s="41" t="s">
        <v>46</v>
      </c>
      <c r="W28" s="39" t="s">
        <v>157</v>
      </c>
      <c r="X28" s="35" t="s">
        <v>270</v>
      </c>
    </row>
    <row r="29" spans="1:24" ht="28.2" customHeight="1" x14ac:dyDescent="0.3">
      <c r="A29" s="6">
        <f>IF(B29="","",ROW()-COUNTBLANK($B$4:B29)-3)</f>
        <v>26</v>
      </c>
      <c r="B29" s="6" t="str">
        <f>'web survey'!C27</f>
        <v>FU-Z1-Eng</v>
      </c>
      <c r="C29" s="29" t="str">
        <f>'web survey'!AA27</f>
        <v>1100304632</v>
      </c>
      <c r="D29" s="18" t="str">
        <f>IF(B29="FU-ACInstall",VLOOKUP(VALUE('web survey'!D27),ref!$B$6:$C$7,2,0)&amp;" ("&amp;'web survey'!D27&amp;")",VLOOKUP(VALUE('web survey'!D27),ref!$E$6:$F$10,2,0)&amp;" ("&amp;'web survey'!D27&amp;")")</f>
        <v>Good (10)</v>
      </c>
      <c r="E29" s="27" t="str">
        <f>'web survey'!S27</f>
        <v/>
      </c>
      <c r="F29" s="18" t="str">
        <f>IF(B29="FU-ACInstall",VLOOKUP(VALUE('web survey'!E27),ref!$B$10:$C$12,2,0)&amp;" ("&amp;'web survey'!E27&amp;")",VLOOKUP(VALUE('web survey'!E27),ref!$E$13:$F$17,2,0)&amp;" ("&amp;'web survey'!E27&amp;")")</f>
        <v>Good (5)</v>
      </c>
      <c r="G29" s="27" t="str">
        <f>'web survey'!T27</f>
        <v/>
      </c>
      <c r="H29" s="18" t="str">
        <f>IF(B29="FU-ACInstall",VLOOKUP(VALUE('web survey'!F27),ref!$B$15:$C$17,2,0)&amp;" ("&amp;'web survey'!F27&amp;")",VLOOKUP(VALUE('web survey'!F27),ref!$E$20:$F$21,2,0)&amp;" ("&amp;'web survey'!F27&amp;")")</f>
        <v>Appropriate with SAP / in Warranty (10)</v>
      </c>
      <c r="I29" s="27" t="str">
        <f>'web survey'!U27</f>
        <v/>
      </c>
      <c r="J29" s="18" t="str">
        <f>IF(B29="FU-ACInstall","-",VLOOKUP(VALUE('web survey'!G27),ref!$E$24:$F$26,2,0)&amp;" ("&amp;'web survey'!G27&amp;")")</f>
        <v>Kurang jelas (3)</v>
      </c>
      <c r="K29" s="6" t="str">
        <f>YEAR('web survey'!Z27)&amp;"-"&amp;IF(MONTH('web survey'!Z27)&lt;10,"0"&amp;MONTH('web survey'!Z27),MONTH('web survey'!Z27))&amp;"-"&amp;IF(DAY('web survey'!Z27)&lt;10,"0"&amp;DAY('web survey'!Z27),DAY('web survey'!Z27))&amp;" "&amp;IF(HOUR('web survey'!Z27)&lt;10,"0"&amp;HOUR('web survey'!Z27),HOUR('web survey'!Z27))&amp;":"&amp;IF(MINUTE('web survey'!Z27)&lt;10,"0"&amp;MINUTE('web survey'!Z27),MINUTE('web survey'!Z27))&amp;(":00'")</f>
        <v>2024-08-21 17:12:00'</v>
      </c>
      <c r="L29" s="33"/>
      <c r="N29" s="35">
        <v>26</v>
      </c>
      <c r="O29" s="35" t="s">
        <v>63</v>
      </c>
      <c r="P29" s="37" t="s">
        <v>274</v>
      </c>
      <c r="Q29" s="39" t="s">
        <v>151</v>
      </c>
      <c r="R29" s="41" t="s">
        <v>46</v>
      </c>
      <c r="S29" s="39" t="s">
        <v>155</v>
      </c>
      <c r="T29" s="41" t="s">
        <v>46</v>
      </c>
      <c r="U29" s="39" t="s">
        <v>156</v>
      </c>
      <c r="V29" s="41" t="s">
        <v>46</v>
      </c>
      <c r="W29" s="39" t="s">
        <v>163</v>
      </c>
      <c r="X29" s="35" t="s">
        <v>270</v>
      </c>
    </row>
    <row r="30" spans="1:24" ht="28.2" customHeight="1" x14ac:dyDescent="0.3">
      <c r="A30" s="6">
        <f>IF(B30="","",ROW()-COUNTBLANK($B$4:B30)-3)</f>
        <v>27</v>
      </c>
      <c r="B30" s="6" t="str">
        <f>'web survey'!C28</f>
        <v>FU-Z1-Eng</v>
      </c>
      <c r="C30" s="29" t="str">
        <f>'web survey'!AA28</f>
        <v>203905676</v>
      </c>
      <c r="D30" s="18" t="str">
        <f>IF(B30="FU-ACInstall",VLOOKUP(VALUE('web survey'!D28),ref!$B$6:$C$7,2,0)&amp;" ("&amp;'web survey'!D28&amp;")",VLOOKUP(VALUE('web survey'!D28),ref!$E$6:$F$10,2,0)&amp;" ("&amp;'web survey'!D28&amp;")")</f>
        <v>Good (10)</v>
      </c>
      <c r="E30" s="27" t="str">
        <f>'web survey'!S28</f>
        <v/>
      </c>
      <c r="F30" s="18" t="str">
        <f>IF(B30="FU-ACInstall",VLOOKUP(VALUE('web survey'!E28),ref!$B$10:$C$12,2,0)&amp;" ("&amp;'web survey'!E28&amp;")",VLOOKUP(VALUE('web survey'!E28),ref!$E$13:$F$17,2,0)&amp;" ("&amp;'web survey'!E28&amp;")")</f>
        <v>Very Good (10)</v>
      </c>
      <c r="G30" s="27" t="str">
        <f>'web survey'!T28</f>
        <v/>
      </c>
      <c r="H30" s="18" t="str">
        <f>IF(B30="FU-ACInstall",VLOOKUP(VALUE('web survey'!F28),ref!$B$15:$C$17,2,0)&amp;" ("&amp;'web survey'!F28&amp;")",VLOOKUP(VALUE('web survey'!F28),ref!$E$20:$F$21,2,0)&amp;" ("&amp;'web survey'!F28&amp;")")</f>
        <v>Different with SAP (-10)</v>
      </c>
      <c r="I30" s="27" t="str">
        <f>'web survey'!U28</f>
        <v/>
      </c>
      <c r="J30" s="18" t="str">
        <f>IF(B30="FU-ACInstall","-",VLOOKUP(VALUE('web survey'!G28),ref!$E$24:$F$26,2,0)&amp;" ("&amp;'web survey'!G28&amp;")")</f>
        <v>Jelas (5)</v>
      </c>
      <c r="K30" s="6" t="str">
        <f>YEAR('web survey'!Z28)&amp;"-"&amp;IF(MONTH('web survey'!Z28)&lt;10,"0"&amp;MONTH('web survey'!Z28),MONTH('web survey'!Z28))&amp;"-"&amp;IF(DAY('web survey'!Z28)&lt;10,"0"&amp;DAY('web survey'!Z28),DAY('web survey'!Z28))&amp;" "&amp;IF(HOUR('web survey'!Z28)&lt;10,"0"&amp;HOUR('web survey'!Z28),HOUR('web survey'!Z28))&amp;":"&amp;IF(MINUTE('web survey'!Z28)&lt;10,"0"&amp;MINUTE('web survey'!Z28),MINUTE('web survey'!Z28))&amp;(":00'")</f>
        <v>2024-08-21 16:58:00'</v>
      </c>
      <c r="L30" s="33"/>
      <c r="N30" s="35">
        <v>27</v>
      </c>
      <c r="O30" s="35" t="s">
        <v>63</v>
      </c>
      <c r="P30" s="37" t="s">
        <v>278</v>
      </c>
      <c r="Q30" s="39" t="s">
        <v>151</v>
      </c>
      <c r="R30" s="41" t="s">
        <v>46</v>
      </c>
      <c r="S30" s="39" t="s">
        <v>159</v>
      </c>
      <c r="T30" s="41" t="s">
        <v>46</v>
      </c>
      <c r="U30" s="39" t="s">
        <v>160</v>
      </c>
      <c r="V30" s="41" t="s">
        <v>46</v>
      </c>
      <c r="W30" s="39" t="s">
        <v>157</v>
      </c>
      <c r="X30" s="35" t="s">
        <v>277</v>
      </c>
    </row>
    <row r="31" spans="1:24" ht="28.2" customHeight="1" x14ac:dyDescent="0.3">
      <c r="A31" s="6">
        <f>IF(B31="","",ROW()-COUNTBLANK($B$4:B31)-3)</f>
        <v>28</v>
      </c>
      <c r="B31" s="6" t="str">
        <f>'web survey'!C29</f>
        <v>FU-Z1-Eng</v>
      </c>
      <c r="C31" s="29" t="str">
        <f>'web survey'!AA29</f>
        <v>203907730</v>
      </c>
      <c r="D31" s="18" t="str">
        <f>IF(B31="FU-ACInstall",VLOOKUP(VALUE('web survey'!D29),ref!$B$6:$C$7,2,0)&amp;" ("&amp;'web survey'!D29&amp;")",VLOOKUP(VALUE('web survey'!D29),ref!$E$6:$F$10,2,0)&amp;" ("&amp;'web survey'!D29&amp;")")</f>
        <v>Not Good (-10)</v>
      </c>
      <c r="E31" s="27" t="str">
        <f>'web survey'!S29</f>
        <v>Instalasi awalnya</v>
      </c>
      <c r="F31" s="18" t="str">
        <f>IF(B31="FU-ACInstall",VLOOKUP(VALUE('web survey'!E29),ref!$B$10:$C$12,2,0)&amp;" ("&amp;'web survey'!E29&amp;")",VLOOKUP(VALUE('web survey'!E29),ref!$E$13:$F$17,2,0)&amp;" ("&amp;'web survey'!E29&amp;")")</f>
        <v>Very Good (10)</v>
      </c>
      <c r="G31" s="27" t="str">
        <f>'web survey'!T29</f>
        <v/>
      </c>
      <c r="H31" s="18" t="str">
        <f>IF(B31="FU-ACInstall",VLOOKUP(VALUE('web survey'!F29),ref!$B$15:$C$17,2,0)&amp;" ("&amp;'web survey'!F29&amp;")",VLOOKUP(VALUE('web survey'!F29),ref!$E$20:$F$21,2,0)&amp;" ("&amp;'web survey'!F29&amp;")")</f>
        <v>Appropriate with SAP / in Warranty (10)</v>
      </c>
      <c r="I31" s="27" t="str">
        <f>'web survey'!U29</f>
        <v/>
      </c>
      <c r="J31" s="18" t="str">
        <f>IF(B31="FU-ACInstall","-",VLOOKUP(VALUE('web survey'!G29),ref!$E$24:$F$26,2,0)&amp;" ("&amp;'web survey'!G29&amp;")")</f>
        <v>Jelas (5)</v>
      </c>
      <c r="K31" s="6" t="str">
        <f>YEAR('web survey'!Z29)&amp;"-"&amp;IF(MONTH('web survey'!Z29)&lt;10,"0"&amp;MONTH('web survey'!Z29),MONTH('web survey'!Z29))&amp;"-"&amp;IF(DAY('web survey'!Z29)&lt;10,"0"&amp;DAY('web survey'!Z29),DAY('web survey'!Z29))&amp;" "&amp;IF(HOUR('web survey'!Z29)&lt;10,"0"&amp;HOUR('web survey'!Z29),HOUR('web survey'!Z29))&amp;":"&amp;IF(MINUTE('web survey'!Z29)&lt;10,"0"&amp;MINUTE('web survey'!Z29),MINUTE('web survey'!Z29))&amp;(":00'")</f>
        <v>2024-08-21 16:52:00'</v>
      </c>
      <c r="L31" s="33"/>
      <c r="N31" s="35">
        <v>28</v>
      </c>
      <c r="O31" s="35" t="s">
        <v>63</v>
      </c>
      <c r="P31" s="37" t="s">
        <v>283</v>
      </c>
      <c r="Q31" s="39" t="s">
        <v>162</v>
      </c>
      <c r="R31" s="41" t="s">
        <v>281</v>
      </c>
      <c r="S31" s="39" t="s">
        <v>159</v>
      </c>
      <c r="T31" s="41" t="s">
        <v>46</v>
      </c>
      <c r="U31" s="39" t="s">
        <v>156</v>
      </c>
      <c r="V31" s="41" t="s">
        <v>46</v>
      </c>
      <c r="W31" s="39" t="s">
        <v>157</v>
      </c>
      <c r="X31" s="35" t="s">
        <v>282</v>
      </c>
    </row>
    <row r="32" spans="1:24" ht="28.2" customHeight="1" x14ac:dyDescent="0.3">
      <c r="A32" s="6">
        <f>IF(B32="","",ROW()-COUNTBLANK($B$4:B32)-3)</f>
        <v>29</v>
      </c>
      <c r="B32" s="6" t="str">
        <f>'web survey'!C30</f>
        <v>FU-Z1-Eng</v>
      </c>
      <c r="C32" s="29" t="str">
        <f>'web survey'!AA30</f>
        <v>203900339</v>
      </c>
      <c r="D32" s="18" t="str">
        <f>IF(B32="FU-ACInstall",VLOOKUP(VALUE('web survey'!D30),ref!$B$6:$C$7,2,0)&amp;" ("&amp;'web survey'!D30&amp;")",VLOOKUP(VALUE('web survey'!D30),ref!$E$6:$F$10,2,0)&amp;" ("&amp;'web survey'!D30&amp;")")</f>
        <v>Good (10)</v>
      </c>
      <c r="E32" s="27" t="str">
        <f>'web survey'!S30</f>
        <v/>
      </c>
      <c r="F32" s="18" t="str">
        <f>IF(B32="FU-ACInstall",VLOOKUP(VALUE('web survey'!E30),ref!$B$10:$C$12,2,0)&amp;" ("&amp;'web survey'!E30&amp;")",VLOOKUP(VALUE('web survey'!E30),ref!$E$13:$F$17,2,0)&amp;" ("&amp;'web survey'!E30&amp;")")</f>
        <v>Very Good (10)</v>
      </c>
      <c r="G32" s="27" t="str">
        <f>'web survey'!T30</f>
        <v/>
      </c>
      <c r="H32" s="18" t="str">
        <f>IF(B32="FU-ACInstall",VLOOKUP(VALUE('web survey'!F30),ref!$B$15:$C$17,2,0)&amp;" ("&amp;'web survey'!F30&amp;")",VLOOKUP(VALUE('web survey'!F30),ref!$E$20:$F$21,2,0)&amp;" ("&amp;'web survey'!F30&amp;")")</f>
        <v>Appropriate with SAP / in Warranty (10)</v>
      </c>
      <c r="I32" s="27" t="str">
        <f>'web survey'!U30</f>
        <v/>
      </c>
      <c r="J32" s="18" t="str">
        <f>IF(B32="FU-ACInstall","-",VLOOKUP(VALUE('web survey'!G30),ref!$E$24:$F$26,2,0)&amp;" ("&amp;'web survey'!G30&amp;")")</f>
        <v>Jelas (5)</v>
      </c>
      <c r="K32" s="6" t="str">
        <f>YEAR('web survey'!Z30)&amp;"-"&amp;IF(MONTH('web survey'!Z30)&lt;10,"0"&amp;MONTH('web survey'!Z30),MONTH('web survey'!Z30))&amp;"-"&amp;IF(DAY('web survey'!Z30)&lt;10,"0"&amp;DAY('web survey'!Z30),DAY('web survey'!Z30))&amp;" "&amp;IF(HOUR('web survey'!Z30)&lt;10,"0"&amp;HOUR('web survey'!Z30),HOUR('web survey'!Z30))&amp;":"&amp;IF(MINUTE('web survey'!Z30)&lt;10,"0"&amp;MINUTE('web survey'!Z30),MINUTE('web survey'!Z30))&amp;(":00'")</f>
        <v>2024-08-21 16:31:00'</v>
      </c>
      <c r="L32" s="33"/>
      <c r="N32" s="35">
        <v>29</v>
      </c>
      <c r="O32" s="35" t="s">
        <v>63</v>
      </c>
      <c r="P32" s="37" t="s">
        <v>287</v>
      </c>
      <c r="Q32" s="39" t="s">
        <v>151</v>
      </c>
      <c r="R32" s="41" t="s">
        <v>46</v>
      </c>
      <c r="S32" s="39" t="s">
        <v>159</v>
      </c>
      <c r="T32" s="41" t="s">
        <v>46</v>
      </c>
      <c r="U32" s="39" t="s">
        <v>156</v>
      </c>
      <c r="V32" s="41" t="s">
        <v>46</v>
      </c>
      <c r="W32" s="39" t="s">
        <v>157</v>
      </c>
      <c r="X32" s="35" t="s">
        <v>286</v>
      </c>
    </row>
    <row r="33" spans="1:24" ht="28.2" customHeight="1" x14ac:dyDescent="0.3">
      <c r="A33" s="6">
        <f>IF(B33="","",ROW()-COUNTBLANK($B$4:B33)-3)</f>
        <v>30</v>
      </c>
      <c r="B33" s="6" t="str">
        <f>'web survey'!C31</f>
        <v>FU-Z1-Eng</v>
      </c>
      <c r="C33" s="29" t="str">
        <f>'web survey'!AA31</f>
        <v>203900431</v>
      </c>
      <c r="D33" s="18" t="str">
        <f>IF(B33="FU-ACInstall",VLOOKUP(VALUE('web survey'!D31),ref!$B$6:$C$7,2,0)&amp;" ("&amp;'web survey'!D31&amp;")",VLOOKUP(VALUE('web survey'!D31),ref!$E$6:$F$10,2,0)&amp;" ("&amp;'web survey'!D31&amp;")")</f>
        <v>Good (10)</v>
      </c>
      <c r="E33" s="27" t="str">
        <f>'web survey'!S31</f>
        <v/>
      </c>
      <c r="F33" s="18" t="str">
        <f>IF(B33="FU-ACInstall",VLOOKUP(VALUE('web survey'!E31),ref!$B$10:$C$12,2,0)&amp;" ("&amp;'web survey'!E31&amp;")",VLOOKUP(VALUE('web survey'!E31),ref!$E$13:$F$17,2,0)&amp;" ("&amp;'web survey'!E31&amp;")")</f>
        <v>Very Good (10)</v>
      </c>
      <c r="G33" s="27" t="str">
        <f>'web survey'!T31</f>
        <v/>
      </c>
      <c r="H33" s="18" t="str">
        <f>IF(B33="FU-ACInstall",VLOOKUP(VALUE('web survey'!F31),ref!$B$15:$C$17,2,0)&amp;" ("&amp;'web survey'!F31&amp;")",VLOOKUP(VALUE('web survey'!F31),ref!$E$20:$F$21,2,0)&amp;" ("&amp;'web survey'!F31&amp;")")</f>
        <v>Appropriate with SAP / in Warranty (10)</v>
      </c>
      <c r="I33" s="27" t="str">
        <f>'web survey'!U31</f>
        <v/>
      </c>
      <c r="J33" s="18" t="str">
        <f>IF(B33="FU-ACInstall","-",VLOOKUP(VALUE('web survey'!G31),ref!$E$24:$F$26,2,0)&amp;" ("&amp;'web survey'!G31&amp;")")</f>
        <v>Jelas (5)</v>
      </c>
      <c r="K33" s="6" t="str">
        <f>YEAR('web survey'!Z31)&amp;"-"&amp;IF(MONTH('web survey'!Z31)&lt;10,"0"&amp;MONTH('web survey'!Z31),MONTH('web survey'!Z31))&amp;"-"&amp;IF(DAY('web survey'!Z31)&lt;10,"0"&amp;DAY('web survey'!Z31),DAY('web survey'!Z31))&amp;" "&amp;IF(HOUR('web survey'!Z31)&lt;10,"0"&amp;HOUR('web survey'!Z31),HOUR('web survey'!Z31))&amp;":"&amp;IF(MINUTE('web survey'!Z31)&lt;10,"0"&amp;MINUTE('web survey'!Z31),MINUTE('web survey'!Z31))&amp;(":00'")</f>
        <v>2024-08-21 16:23:00'</v>
      </c>
      <c r="L33" s="33"/>
      <c r="N33" s="35">
        <v>30</v>
      </c>
      <c r="O33" s="35" t="s">
        <v>63</v>
      </c>
      <c r="P33" s="37" t="s">
        <v>291</v>
      </c>
      <c r="Q33" s="39" t="s">
        <v>151</v>
      </c>
      <c r="R33" s="41" t="s">
        <v>46</v>
      </c>
      <c r="S33" s="39" t="s">
        <v>159</v>
      </c>
      <c r="T33" s="41" t="s">
        <v>46</v>
      </c>
      <c r="U33" s="39" t="s">
        <v>156</v>
      </c>
      <c r="V33" s="41" t="s">
        <v>46</v>
      </c>
      <c r="W33" s="39" t="s">
        <v>157</v>
      </c>
      <c r="X33" s="35" t="s">
        <v>290</v>
      </c>
    </row>
    <row r="34" spans="1:24" ht="28.2" customHeight="1" x14ac:dyDescent="0.3">
      <c r="A34" s="6">
        <f>IF(B34="","",ROW()-COUNTBLANK($B$4:B34)-3)</f>
        <v>31</v>
      </c>
      <c r="B34" s="6" t="str">
        <f>'web survey'!C32</f>
        <v>FU-Z1-Eng</v>
      </c>
      <c r="C34" s="29" t="str">
        <f>'web survey'!AA32</f>
        <v>1916A2400623</v>
      </c>
      <c r="D34" s="18" t="str">
        <f>IF(B34="FU-ACInstall",VLOOKUP(VALUE('web survey'!D32),ref!$B$6:$C$7,2,0)&amp;" ("&amp;'web survey'!D32&amp;")",VLOOKUP(VALUE('web survey'!D32),ref!$E$6:$F$10,2,0)&amp;" ("&amp;'web survey'!D32&amp;")")</f>
        <v>Good (10)</v>
      </c>
      <c r="E34" s="27" t="str">
        <f>'web survey'!S32</f>
        <v/>
      </c>
      <c r="F34" s="18" t="str">
        <f>IF(B34="FU-ACInstall",VLOOKUP(VALUE('web survey'!E32),ref!$B$10:$C$12,2,0)&amp;" ("&amp;'web survey'!E32&amp;")",VLOOKUP(VALUE('web survey'!E32),ref!$E$13:$F$17,2,0)&amp;" ("&amp;'web survey'!E32&amp;")")</f>
        <v>Very Good (10)</v>
      </c>
      <c r="G34" s="27" t="str">
        <f>'web survey'!T32</f>
        <v/>
      </c>
      <c r="H34" s="18" t="str">
        <f>IF(B34="FU-ACInstall",VLOOKUP(VALUE('web survey'!F32),ref!$B$15:$C$17,2,0)&amp;" ("&amp;'web survey'!F32&amp;")",VLOOKUP(VALUE('web survey'!F32),ref!$E$20:$F$21,2,0)&amp;" ("&amp;'web survey'!F32&amp;")")</f>
        <v>Appropriate with SAP / in Warranty (10)</v>
      </c>
      <c r="I34" s="27" t="str">
        <f>'web survey'!U32</f>
        <v/>
      </c>
      <c r="J34" s="18" t="str">
        <f>IF(B34="FU-ACInstall","-",VLOOKUP(VALUE('web survey'!G32),ref!$E$24:$F$26,2,0)&amp;" ("&amp;'web survey'!G32&amp;")")</f>
        <v>Tidak ada penjelasan (-5)</v>
      </c>
      <c r="K34" s="6" t="str">
        <f>YEAR('web survey'!Z32)&amp;"-"&amp;IF(MONTH('web survey'!Z32)&lt;10,"0"&amp;MONTH('web survey'!Z32),MONTH('web survey'!Z32))&amp;"-"&amp;IF(DAY('web survey'!Z32)&lt;10,"0"&amp;DAY('web survey'!Z32),DAY('web survey'!Z32))&amp;" "&amp;IF(HOUR('web survey'!Z32)&lt;10,"0"&amp;HOUR('web survey'!Z32),HOUR('web survey'!Z32))&amp;":"&amp;IF(MINUTE('web survey'!Z32)&lt;10,"0"&amp;MINUTE('web survey'!Z32),MINUTE('web survey'!Z32))&amp;(":00'")</f>
        <v>2024-08-21 16:17:00'</v>
      </c>
      <c r="L34" s="33"/>
      <c r="N34" s="35">
        <v>31</v>
      </c>
      <c r="O34" s="35" t="s">
        <v>63</v>
      </c>
      <c r="P34" s="37" t="s">
        <v>295</v>
      </c>
      <c r="Q34" s="39" t="s">
        <v>151</v>
      </c>
      <c r="R34" s="41" t="s">
        <v>46</v>
      </c>
      <c r="S34" s="39" t="s">
        <v>159</v>
      </c>
      <c r="T34" s="41" t="s">
        <v>46</v>
      </c>
      <c r="U34" s="39" t="s">
        <v>156</v>
      </c>
      <c r="V34" s="41" t="s">
        <v>46</v>
      </c>
      <c r="W34" s="39" t="s">
        <v>161</v>
      </c>
      <c r="X34" s="35" t="s">
        <v>294</v>
      </c>
    </row>
    <row r="35" spans="1:24" ht="28.2" customHeight="1" x14ac:dyDescent="0.3">
      <c r="A35" s="6">
        <f>IF(B35="","",ROW()-COUNTBLANK($B$4:B35)-3)</f>
        <v>32</v>
      </c>
      <c r="B35" s="6" t="str">
        <f>'web survey'!C33</f>
        <v>FU-Z1-Eng</v>
      </c>
      <c r="C35" s="29" t="str">
        <f>'web survey'!AA33</f>
        <v>203895647</v>
      </c>
      <c r="D35" s="18" t="str">
        <f>IF(B35="FU-ACInstall",VLOOKUP(VALUE('web survey'!D33),ref!$B$6:$C$7,2,0)&amp;" ("&amp;'web survey'!D33&amp;")",VLOOKUP(VALUE('web survey'!D33),ref!$E$6:$F$10,2,0)&amp;" ("&amp;'web survey'!D33&amp;")")</f>
        <v>Good (10)</v>
      </c>
      <c r="E35" s="27" t="str">
        <f>'web survey'!S33</f>
        <v/>
      </c>
      <c r="F35" s="18" t="str">
        <f>IF(B35="FU-ACInstall",VLOOKUP(VALUE('web survey'!E33),ref!$B$10:$C$12,2,0)&amp;" ("&amp;'web survey'!E33&amp;")",VLOOKUP(VALUE('web survey'!E33),ref!$E$13:$F$17,2,0)&amp;" ("&amp;'web survey'!E33&amp;")")</f>
        <v>Very Good (10)</v>
      </c>
      <c r="G35" s="27" t="str">
        <f>'web survey'!T33</f>
        <v/>
      </c>
      <c r="H35" s="18" t="str">
        <f>IF(B35="FU-ACInstall",VLOOKUP(VALUE('web survey'!F33),ref!$B$15:$C$17,2,0)&amp;" ("&amp;'web survey'!F33&amp;")",VLOOKUP(VALUE('web survey'!F33),ref!$E$20:$F$21,2,0)&amp;" ("&amp;'web survey'!F33&amp;")")</f>
        <v>Appropriate with SAP / in Warranty (10)</v>
      </c>
      <c r="I35" s="27" t="str">
        <f>'web survey'!U33</f>
        <v/>
      </c>
      <c r="J35" s="18" t="str">
        <f>IF(B35="FU-ACInstall","-",VLOOKUP(VALUE('web survey'!G33),ref!$E$24:$F$26,2,0)&amp;" ("&amp;'web survey'!G33&amp;")")</f>
        <v>Jelas (5)</v>
      </c>
      <c r="K35" s="6" t="str">
        <f>YEAR('web survey'!Z33)&amp;"-"&amp;IF(MONTH('web survey'!Z33)&lt;10,"0"&amp;MONTH('web survey'!Z33),MONTH('web survey'!Z33))&amp;"-"&amp;IF(DAY('web survey'!Z33)&lt;10,"0"&amp;DAY('web survey'!Z33),DAY('web survey'!Z33))&amp;" "&amp;IF(HOUR('web survey'!Z33)&lt;10,"0"&amp;HOUR('web survey'!Z33),HOUR('web survey'!Z33))&amp;":"&amp;IF(MINUTE('web survey'!Z33)&lt;10,"0"&amp;MINUTE('web survey'!Z33),MINUTE('web survey'!Z33))&amp;(":00'")</f>
        <v>2024-08-21 16:14:00'</v>
      </c>
      <c r="L35" s="33"/>
      <c r="N35" s="35">
        <v>32</v>
      </c>
      <c r="O35" s="35" t="s">
        <v>63</v>
      </c>
      <c r="P35" s="37" t="s">
        <v>299</v>
      </c>
      <c r="Q35" s="39" t="s">
        <v>151</v>
      </c>
      <c r="R35" s="41" t="s">
        <v>46</v>
      </c>
      <c r="S35" s="39" t="s">
        <v>159</v>
      </c>
      <c r="T35" s="41" t="s">
        <v>46</v>
      </c>
      <c r="U35" s="39" t="s">
        <v>156</v>
      </c>
      <c r="V35" s="41" t="s">
        <v>46</v>
      </c>
      <c r="W35" s="39" t="s">
        <v>157</v>
      </c>
      <c r="X35" s="35" t="s">
        <v>298</v>
      </c>
    </row>
    <row r="36" spans="1:24" ht="28.2" customHeight="1" x14ac:dyDescent="0.3">
      <c r="A36" s="6">
        <f>IF(B36="","",ROW()-COUNTBLANK($B$4:B36)-3)</f>
        <v>33</v>
      </c>
      <c r="B36" s="6" t="str">
        <f>'web survey'!C34</f>
        <v>FU-Z1-Eng</v>
      </c>
      <c r="C36" s="29" t="str">
        <f>'web survey'!AA34</f>
        <v>203907620</v>
      </c>
      <c r="D36" s="18" t="str">
        <f>IF(B36="FU-ACInstall",VLOOKUP(VALUE('web survey'!D34),ref!$B$6:$C$7,2,0)&amp;" ("&amp;'web survey'!D34&amp;")",VLOOKUP(VALUE('web survey'!D34),ref!$E$6:$F$10,2,0)&amp;" ("&amp;'web survey'!D34&amp;")")</f>
        <v>Good (10)</v>
      </c>
      <c r="E36" s="27" t="str">
        <f>'web survey'!S34</f>
        <v/>
      </c>
      <c r="F36" s="18" t="str">
        <f>IF(B36="FU-ACInstall",VLOOKUP(VALUE('web survey'!E34),ref!$B$10:$C$12,2,0)&amp;" ("&amp;'web survey'!E34&amp;")",VLOOKUP(VALUE('web survey'!E34),ref!$E$13:$F$17,2,0)&amp;" ("&amp;'web survey'!E34&amp;")")</f>
        <v>Very Good (10)</v>
      </c>
      <c r="G36" s="27" t="str">
        <f>'web survey'!T34</f>
        <v/>
      </c>
      <c r="H36" s="18" t="str">
        <f>IF(B36="FU-ACInstall",VLOOKUP(VALUE('web survey'!F34),ref!$B$15:$C$17,2,0)&amp;" ("&amp;'web survey'!F34&amp;")",VLOOKUP(VALUE('web survey'!F34),ref!$E$20:$F$21,2,0)&amp;" ("&amp;'web survey'!F34&amp;")")</f>
        <v>Appropriate with SAP / in Warranty (10)</v>
      </c>
      <c r="I36" s="27" t="str">
        <f>'web survey'!U34</f>
        <v/>
      </c>
      <c r="J36" s="18" t="str">
        <f>IF(B36="FU-ACInstall","-",VLOOKUP(VALUE('web survey'!G34),ref!$E$24:$F$26,2,0)&amp;" ("&amp;'web survey'!G34&amp;")")</f>
        <v>Jelas (5)</v>
      </c>
      <c r="K36" s="6" t="str">
        <f>YEAR('web survey'!Z34)&amp;"-"&amp;IF(MONTH('web survey'!Z34)&lt;10,"0"&amp;MONTH('web survey'!Z34),MONTH('web survey'!Z34))&amp;"-"&amp;IF(DAY('web survey'!Z34)&lt;10,"0"&amp;DAY('web survey'!Z34),DAY('web survey'!Z34))&amp;" "&amp;IF(HOUR('web survey'!Z34)&lt;10,"0"&amp;HOUR('web survey'!Z34),HOUR('web survey'!Z34))&amp;":"&amp;IF(MINUTE('web survey'!Z34)&lt;10,"0"&amp;MINUTE('web survey'!Z34),MINUTE('web survey'!Z34))&amp;(":00'")</f>
        <v>2024-08-21 16:12:00'</v>
      </c>
      <c r="L36" s="33"/>
      <c r="N36" s="35">
        <v>33</v>
      </c>
      <c r="O36" s="35" t="s">
        <v>63</v>
      </c>
      <c r="P36" s="37" t="s">
        <v>303</v>
      </c>
      <c r="Q36" s="39" t="s">
        <v>151</v>
      </c>
      <c r="R36" s="41" t="s">
        <v>46</v>
      </c>
      <c r="S36" s="39" t="s">
        <v>159</v>
      </c>
      <c r="T36" s="41" t="s">
        <v>46</v>
      </c>
      <c r="U36" s="39" t="s">
        <v>156</v>
      </c>
      <c r="V36" s="41" t="s">
        <v>46</v>
      </c>
      <c r="W36" s="39" t="s">
        <v>157</v>
      </c>
      <c r="X36" s="35" t="s">
        <v>302</v>
      </c>
    </row>
    <row r="37" spans="1:24" ht="28.2" customHeight="1" x14ac:dyDescent="0.3">
      <c r="A37" s="6">
        <f>IF(B37="","",ROW()-COUNTBLANK($B$4:B37)-3)</f>
        <v>34</v>
      </c>
      <c r="B37" s="6" t="str">
        <f>'web survey'!C35</f>
        <v>FU-Z1-Eng</v>
      </c>
      <c r="C37" s="29" t="str">
        <f>'web survey'!AA35</f>
        <v>100893588</v>
      </c>
      <c r="D37" s="18" t="str">
        <f>IF(B37="FU-ACInstall",VLOOKUP(VALUE('web survey'!D35),ref!$B$6:$C$7,2,0)&amp;" ("&amp;'web survey'!D35&amp;")",VLOOKUP(VALUE('web survey'!D35),ref!$E$6:$F$10,2,0)&amp;" ("&amp;'web survey'!D35&amp;")")</f>
        <v>Good (10)</v>
      </c>
      <c r="E37" s="27" t="str">
        <f>'web survey'!S35</f>
        <v/>
      </c>
      <c r="F37" s="18" t="str">
        <f>IF(B37="FU-ACInstall",VLOOKUP(VALUE('web survey'!E35),ref!$B$10:$C$12,2,0)&amp;" ("&amp;'web survey'!E35&amp;")",VLOOKUP(VALUE('web survey'!E35),ref!$E$13:$F$17,2,0)&amp;" ("&amp;'web survey'!E35&amp;")")</f>
        <v>Very Good (10)</v>
      </c>
      <c r="G37" s="27" t="str">
        <f>'web survey'!T35</f>
        <v/>
      </c>
      <c r="H37" s="18" t="str">
        <f>IF(B37="FU-ACInstall",VLOOKUP(VALUE('web survey'!F35),ref!$B$15:$C$17,2,0)&amp;" ("&amp;'web survey'!F35&amp;")",VLOOKUP(VALUE('web survey'!F35),ref!$E$20:$F$21,2,0)&amp;" ("&amp;'web survey'!F35&amp;")")</f>
        <v>Appropriate with SAP / in Warranty (10)</v>
      </c>
      <c r="I37" s="27" t="str">
        <f>'web survey'!U35</f>
        <v/>
      </c>
      <c r="J37" s="18" t="str">
        <f>IF(B37="FU-ACInstall","-",VLOOKUP(VALUE('web survey'!G35),ref!$E$24:$F$26,2,0)&amp;" ("&amp;'web survey'!G35&amp;")")</f>
        <v>Jelas (5)</v>
      </c>
      <c r="K37" s="6" t="str">
        <f>YEAR('web survey'!Z35)&amp;"-"&amp;IF(MONTH('web survey'!Z35)&lt;10,"0"&amp;MONTH('web survey'!Z35),MONTH('web survey'!Z35))&amp;"-"&amp;IF(DAY('web survey'!Z35)&lt;10,"0"&amp;DAY('web survey'!Z35),DAY('web survey'!Z35))&amp;" "&amp;IF(HOUR('web survey'!Z35)&lt;10,"0"&amp;HOUR('web survey'!Z35),HOUR('web survey'!Z35))&amp;":"&amp;IF(MINUTE('web survey'!Z35)&lt;10,"0"&amp;MINUTE('web survey'!Z35),MINUTE('web survey'!Z35))&amp;(":00'")</f>
        <v>2024-08-21 16:05:00'</v>
      </c>
      <c r="L37" s="33"/>
      <c r="N37" s="35">
        <v>34</v>
      </c>
      <c r="O37" s="35" t="s">
        <v>63</v>
      </c>
      <c r="P37" s="37" t="s">
        <v>307</v>
      </c>
      <c r="Q37" s="39" t="s">
        <v>151</v>
      </c>
      <c r="R37" s="41" t="s">
        <v>46</v>
      </c>
      <c r="S37" s="39" t="s">
        <v>159</v>
      </c>
      <c r="T37" s="41" t="s">
        <v>46</v>
      </c>
      <c r="U37" s="39" t="s">
        <v>156</v>
      </c>
      <c r="V37" s="41" t="s">
        <v>46</v>
      </c>
      <c r="W37" s="39" t="s">
        <v>157</v>
      </c>
      <c r="X37" s="35" t="s">
        <v>306</v>
      </c>
    </row>
    <row r="38" spans="1:24" ht="28.2" customHeight="1" x14ac:dyDescent="0.3">
      <c r="A38" s="6">
        <f>IF(B38="","",ROW()-COUNTBLANK($B$4:B38)-3)</f>
        <v>35</v>
      </c>
      <c r="B38" s="6" t="str">
        <f>'web survey'!C36</f>
        <v>FU-Z1-Eng</v>
      </c>
      <c r="C38" s="29" t="str">
        <f>'web survey'!AA36</f>
        <v>203907538</v>
      </c>
      <c r="D38" s="18" t="str">
        <f>IF(B38="FU-ACInstall",VLOOKUP(VALUE('web survey'!D36),ref!$B$6:$C$7,2,0)&amp;" ("&amp;'web survey'!D36&amp;")",VLOOKUP(VALUE('web survey'!D36),ref!$E$6:$F$10,2,0)&amp;" ("&amp;'web survey'!D36&amp;")")</f>
        <v>Good (10)</v>
      </c>
      <c r="E38" s="27" t="str">
        <f>'web survey'!S36</f>
        <v/>
      </c>
      <c r="F38" s="18" t="str">
        <f>IF(B38="FU-ACInstall",VLOOKUP(VALUE('web survey'!E36),ref!$B$10:$C$12,2,0)&amp;" ("&amp;'web survey'!E36&amp;")",VLOOKUP(VALUE('web survey'!E36),ref!$E$13:$F$17,2,0)&amp;" ("&amp;'web survey'!E36&amp;")")</f>
        <v>Good (5)</v>
      </c>
      <c r="G38" s="27" t="str">
        <f>'web survey'!T36</f>
        <v/>
      </c>
      <c r="H38" s="18" t="str">
        <f>IF(B38="FU-ACInstall",VLOOKUP(VALUE('web survey'!F36),ref!$B$15:$C$17,2,0)&amp;" ("&amp;'web survey'!F36&amp;")",VLOOKUP(VALUE('web survey'!F36),ref!$E$20:$F$21,2,0)&amp;" ("&amp;'web survey'!F36&amp;")")</f>
        <v>Appropriate with SAP / in Warranty (10)</v>
      </c>
      <c r="I38" s="27" t="str">
        <f>'web survey'!U36</f>
        <v/>
      </c>
      <c r="J38" s="18" t="str">
        <f>IF(B38="FU-ACInstall","-",VLOOKUP(VALUE('web survey'!G36),ref!$E$24:$F$26,2,0)&amp;" ("&amp;'web survey'!G36&amp;")")</f>
        <v>Jelas (5)</v>
      </c>
      <c r="K38" s="6" t="str">
        <f>YEAR('web survey'!Z36)&amp;"-"&amp;IF(MONTH('web survey'!Z36)&lt;10,"0"&amp;MONTH('web survey'!Z36),MONTH('web survey'!Z36))&amp;"-"&amp;IF(DAY('web survey'!Z36)&lt;10,"0"&amp;DAY('web survey'!Z36),DAY('web survey'!Z36))&amp;" "&amp;IF(HOUR('web survey'!Z36)&lt;10,"0"&amp;HOUR('web survey'!Z36),HOUR('web survey'!Z36))&amp;":"&amp;IF(MINUTE('web survey'!Z36)&lt;10,"0"&amp;MINUTE('web survey'!Z36),MINUTE('web survey'!Z36))&amp;(":00'")</f>
        <v>2024-08-21 15:56:00'</v>
      </c>
      <c r="L38" s="33"/>
      <c r="N38" s="35">
        <v>35</v>
      </c>
      <c r="O38" s="35" t="s">
        <v>63</v>
      </c>
      <c r="P38" s="37" t="s">
        <v>311</v>
      </c>
      <c r="Q38" s="39" t="s">
        <v>151</v>
      </c>
      <c r="R38" s="41" t="s">
        <v>46</v>
      </c>
      <c r="S38" s="39" t="s">
        <v>155</v>
      </c>
      <c r="T38" s="41" t="s">
        <v>46</v>
      </c>
      <c r="U38" s="39" t="s">
        <v>156</v>
      </c>
      <c r="V38" s="41" t="s">
        <v>46</v>
      </c>
      <c r="W38" s="39" t="s">
        <v>157</v>
      </c>
      <c r="X38" s="35" t="s">
        <v>310</v>
      </c>
    </row>
    <row r="39" spans="1:24" ht="28.2" customHeight="1" x14ac:dyDescent="0.3">
      <c r="A39" s="6">
        <f>IF(B39="","",ROW()-COUNTBLANK($B$4:B39)-3)</f>
        <v>36</v>
      </c>
      <c r="B39" s="6" t="str">
        <f>'web survey'!C37</f>
        <v>FU-Z1-Eng</v>
      </c>
      <c r="C39" s="29" t="str">
        <f>'web survey'!AA37</f>
        <v>203901930</v>
      </c>
      <c r="D39" s="18" t="str">
        <f>IF(B39="FU-ACInstall",VLOOKUP(VALUE('web survey'!D37),ref!$B$6:$C$7,2,0)&amp;" ("&amp;'web survey'!D37&amp;")",VLOOKUP(VALUE('web survey'!D37),ref!$E$6:$F$10,2,0)&amp;" ("&amp;'web survey'!D37&amp;")")</f>
        <v>Good (10)</v>
      </c>
      <c r="E39" s="27" t="str">
        <f>'web survey'!S37</f>
        <v/>
      </c>
      <c r="F39" s="18" t="str">
        <f>IF(B39="FU-ACInstall",VLOOKUP(VALUE('web survey'!E37),ref!$B$10:$C$12,2,0)&amp;" ("&amp;'web survey'!E37&amp;")",VLOOKUP(VALUE('web survey'!E37),ref!$E$13:$F$17,2,0)&amp;" ("&amp;'web survey'!E37&amp;")")</f>
        <v>Average (3)</v>
      </c>
      <c r="G39" s="27" t="str">
        <f>'web survey'!T37</f>
        <v/>
      </c>
      <c r="H39" s="18" t="str">
        <f>IF(B39="FU-ACInstall",VLOOKUP(VALUE('web survey'!F37),ref!$B$15:$C$17,2,0)&amp;" ("&amp;'web survey'!F37&amp;")",VLOOKUP(VALUE('web survey'!F37),ref!$E$20:$F$21,2,0)&amp;" ("&amp;'web survey'!F37&amp;")")</f>
        <v>Appropriate with SAP / in Warranty (10)</v>
      </c>
      <c r="I39" s="27" t="str">
        <f>'web survey'!U37</f>
        <v/>
      </c>
      <c r="J39" s="18" t="str">
        <f>IF(B39="FU-ACInstall","-",VLOOKUP(VALUE('web survey'!G37),ref!$E$24:$F$26,2,0)&amp;" ("&amp;'web survey'!G37&amp;")")</f>
        <v>Jelas (5)</v>
      </c>
      <c r="K39" s="6" t="str">
        <f>YEAR('web survey'!Z37)&amp;"-"&amp;IF(MONTH('web survey'!Z37)&lt;10,"0"&amp;MONTH('web survey'!Z37),MONTH('web survey'!Z37))&amp;"-"&amp;IF(DAY('web survey'!Z37)&lt;10,"0"&amp;DAY('web survey'!Z37),DAY('web survey'!Z37))&amp;" "&amp;IF(HOUR('web survey'!Z37)&lt;10,"0"&amp;HOUR('web survey'!Z37),HOUR('web survey'!Z37))&amp;":"&amp;IF(MINUTE('web survey'!Z37)&lt;10,"0"&amp;MINUTE('web survey'!Z37),MINUTE('web survey'!Z37))&amp;(":00'")</f>
        <v>2024-08-21 15:54:00'</v>
      </c>
      <c r="L39" s="33"/>
      <c r="N39" s="35">
        <v>36</v>
      </c>
      <c r="O39" s="35" t="s">
        <v>63</v>
      </c>
      <c r="P39" s="37" t="s">
        <v>315</v>
      </c>
      <c r="Q39" s="39" t="s">
        <v>151</v>
      </c>
      <c r="R39" s="41" t="s">
        <v>46</v>
      </c>
      <c r="S39" s="39" t="s">
        <v>158</v>
      </c>
      <c r="T39" s="41" t="s">
        <v>46</v>
      </c>
      <c r="U39" s="39" t="s">
        <v>156</v>
      </c>
      <c r="V39" s="41" t="s">
        <v>46</v>
      </c>
      <c r="W39" s="39" t="s">
        <v>157</v>
      </c>
      <c r="X39" s="35" t="s">
        <v>314</v>
      </c>
    </row>
    <row r="40" spans="1:24" ht="28.2" customHeight="1" x14ac:dyDescent="0.3">
      <c r="A40" s="6">
        <f>IF(B40="","",ROW()-COUNTBLANK($B$4:B40)-3)</f>
        <v>37</v>
      </c>
      <c r="B40" s="6" t="str">
        <f>'web survey'!C38</f>
        <v>FU-Z1-Eng</v>
      </c>
      <c r="C40" s="29" t="str">
        <f>'web survey'!AA38</f>
        <v>203907595</v>
      </c>
      <c r="D40" s="18" t="str">
        <f>IF(B40="FU-ACInstall",VLOOKUP(VALUE('web survey'!D38),ref!$B$6:$C$7,2,0)&amp;" ("&amp;'web survey'!D38&amp;")",VLOOKUP(VALUE('web survey'!D38),ref!$E$6:$F$10,2,0)&amp;" ("&amp;'web survey'!D38&amp;")")</f>
        <v>Good (10)</v>
      </c>
      <c r="E40" s="27" t="str">
        <f>'web survey'!S38</f>
        <v/>
      </c>
      <c r="F40" s="18" t="str">
        <f>IF(B40="FU-ACInstall",VLOOKUP(VALUE('web survey'!E38),ref!$B$10:$C$12,2,0)&amp;" ("&amp;'web survey'!E38&amp;")",VLOOKUP(VALUE('web survey'!E38),ref!$E$13:$F$17,2,0)&amp;" ("&amp;'web survey'!E38&amp;")")</f>
        <v>Very Good (10)</v>
      </c>
      <c r="G40" s="27" t="str">
        <f>'web survey'!T38</f>
        <v/>
      </c>
      <c r="H40" s="18" t="str">
        <f>IF(B40="FU-ACInstall",VLOOKUP(VALUE('web survey'!F38),ref!$B$15:$C$17,2,0)&amp;" ("&amp;'web survey'!F38&amp;")",VLOOKUP(VALUE('web survey'!F38),ref!$E$20:$F$21,2,0)&amp;" ("&amp;'web survey'!F38&amp;")")</f>
        <v>Appropriate with SAP / in Warranty (10)</v>
      </c>
      <c r="I40" s="27" t="str">
        <f>'web survey'!U38</f>
        <v/>
      </c>
      <c r="J40" s="18" t="str">
        <f>IF(B40="FU-ACInstall","-",VLOOKUP(VALUE('web survey'!G38),ref!$E$24:$F$26,2,0)&amp;" ("&amp;'web survey'!G38&amp;")")</f>
        <v>Jelas (5)</v>
      </c>
      <c r="K40" s="6" t="str">
        <f>YEAR('web survey'!Z38)&amp;"-"&amp;IF(MONTH('web survey'!Z38)&lt;10,"0"&amp;MONTH('web survey'!Z38),MONTH('web survey'!Z38))&amp;"-"&amp;IF(DAY('web survey'!Z38)&lt;10,"0"&amp;DAY('web survey'!Z38),DAY('web survey'!Z38))&amp;" "&amp;IF(HOUR('web survey'!Z38)&lt;10,"0"&amp;HOUR('web survey'!Z38),HOUR('web survey'!Z38))&amp;":"&amp;IF(MINUTE('web survey'!Z38)&lt;10,"0"&amp;MINUTE('web survey'!Z38),MINUTE('web survey'!Z38))&amp;(":00'")</f>
        <v>2024-08-21 15:53:00'</v>
      </c>
      <c r="L40" s="33"/>
      <c r="N40" s="35">
        <v>37</v>
      </c>
      <c r="O40" s="35" t="s">
        <v>63</v>
      </c>
      <c r="P40" s="37" t="s">
        <v>319</v>
      </c>
      <c r="Q40" s="39" t="s">
        <v>151</v>
      </c>
      <c r="R40" s="41" t="s">
        <v>46</v>
      </c>
      <c r="S40" s="39" t="s">
        <v>159</v>
      </c>
      <c r="T40" s="41" t="s">
        <v>46</v>
      </c>
      <c r="U40" s="39" t="s">
        <v>156</v>
      </c>
      <c r="V40" s="41" t="s">
        <v>46</v>
      </c>
      <c r="W40" s="39" t="s">
        <v>157</v>
      </c>
      <c r="X40" s="35" t="s">
        <v>318</v>
      </c>
    </row>
    <row r="41" spans="1:24" ht="28.2" customHeight="1" x14ac:dyDescent="0.3">
      <c r="A41" s="6">
        <f>IF(B41="","",ROW()-COUNTBLANK($B$4:B41)-3)</f>
        <v>38</v>
      </c>
      <c r="B41" s="6" t="str">
        <f>'web survey'!C39</f>
        <v>FU-Z1-Eng</v>
      </c>
      <c r="C41" s="29" t="str">
        <f>'web survey'!AA39</f>
        <v>100891707</v>
      </c>
      <c r="D41" s="18" t="str">
        <f>IF(B41="FU-ACInstall",VLOOKUP(VALUE('web survey'!D39),ref!$B$6:$C$7,2,0)&amp;" ("&amp;'web survey'!D39&amp;")",VLOOKUP(VALUE('web survey'!D39),ref!$E$6:$F$10,2,0)&amp;" ("&amp;'web survey'!D39&amp;")")</f>
        <v>Good (10)</v>
      </c>
      <c r="E41" s="27" t="str">
        <f>'web survey'!S39</f>
        <v/>
      </c>
      <c r="F41" s="18" t="str">
        <f>IF(B41="FU-ACInstall",VLOOKUP(VALUE('web survey'!E39),ref!$B$10:$C$12,2,0)&amp;" ("&amp;'web survey'!E39&amp;")",VLOOKUP(VALUE('web survey'!E39),ref!$E$13:$F$17,2,0)&amp;" ("&amp;'web survey'!E39&amp;")")</f>
        <v>Good (5)</v>
      </c>
      <c r="G41" s="27" t="str">
        <f>'web survey'!T39</f>
        <v/>
      </c>
      <c r="H41" s="18" t="str">
        <f>IF(B41="FU-ACInstall",VLOOKUP(VALUE('web survey'!F39),ref!$B$15:$C$17,2,0)&amp;" ("&amp;'web survey'!F39&amp;")",VLOOKUP(VALUE('web survey'!F39),ref!$E$20:$F$21,2,0)&amp;" ("&amp;'web survey'!F39&amp;")")</f>
        <v>Different with SAP (-10)</v>
      </c>
      <c r="I41" s="27" t="str">
        <f>'web survey'!U39</f>
        <v/>
      </c>
      <c r="J41" s="18" t="str">
        <f>IF(B41="FU-ACInstall","-",VLOOKUP(VALUE('web survey'!G39),ref!$E$24:$F$26,2,0)&amp;" ("&amp;'web survey'!G39&amp;")")</f>
        <v>Jelas (5)</v>
      </c>
      <c r="K41" s="6" t="str">
        <f>YEAR('web survey'!Z39)&amp;"-"&amp;IF(MONTH('web survey'!Z39)&lt;10,"0"&amp;MONTH('web survey'!Z39),MONTH('web survey'!Z39))&amp;"-"&amp;IF(DAY('web survey'!Z39)&lt;10,"0"&amp;DAY('web survey'!Z39),DAY('web survey'!Z39))&amp;" "&amp;IF(HOUR('web survey'!Z39)&lt;10,"0"&amp;HOUR('web survey'!Z39),HOUR('web survey'!Z39))&amp;":"&amp;IF(MINUTE('web survey'!Z39)&lt;10,"0"&amp;MINUTE('web survey'!Z39),MINUTE('web survey'!Z39))&amp;(":00'")</f>
        <v>2024-08-21 15:50:00'</v>
      </c>
      <c r="L41" s="33"/>
      <c r="N41" s="35">
        <v>38</v>
      </c>
      <c r="O41" s="35" t="s">
        <v>63</v>
      </c>
      <c r="P41" s="37" t="s">
        <v>323</v>
      </c>
      <c r="Q41" s="39" t="s">
        <v>151</v>
      </c>
      <c r="R41" s="41" t="s">
        <v>46</v>
      </c>
      <c r="S41" s="39" t="s">
        <v>155</v>
      </c>
      <c r="T41" s="41" t="s">
        <v>46</v>
      </c>
      <c r="U41" s="39" t="s">
        <v>160</v>
      </c>
      <c r="V41" s="41" t="s">
        <v>46</v>
      </c>
      <c r="W41" s="39" t="s">
        <v>157</v>
      </c>
      <c r="X41" s="35" t="s">
        <v>322</v>
      </c>
    </row>
    <row r="42" spans="1:24" ht="28.2" customHeight="1" x14ac:dyDescent="0.3">
      <c r="A42" s="6">
        <f>IF(B42="","",ROW()-COUNTBLANK($B$4:B42)-3)</f>
        <v>39</v>
      </c>
      <c r="B42" s="6" t="str">
        <f>'web survey'!C40</f>
        <v>FU-Z1-Eng</v>
      </c>
      <c r="C42" s="29" t="str">
        <f>'web survey'!AA40</f>
        <v>203909251</v>
      </c>
      <c r="D42" s="18" t="str">
        <f>IF(B42="FU-ACInstall",VLOOKUP(VALUE('web survey'!D40),ref!$B$6:$C$7,2,0)&amp;" ("&amp;'web survey'!D40&amp;")",VLOOKUP(VALUE('web survey'!D40),ref!$E$6:$F$10,2,0)&amp;" ("&amp;'web survey'!D40&amp;")")</f>
        <v>Good (10)</v>
      </c>
      <c r="E42" s="27" t="str">
        <f>'web survey'!S40</f>
        <v/>
      </c>
      <c r="F42" s="18" t="str">
        <f>IF(B42="FU-ACInstall",VLOOKUP(VALUE('web survey'!E40),ref!$B$10:$C$12,2,0)&amp;" ("&amp;'web survey'!E40&amp;")",VLOOKUP(VALUE('web survey'!E40),ref!$E$13:$F$17,2,0)&amp;" ("&amp;'web survey'!E40&amp;")")</f>
        <v>Very Good (10)</v>
      </c>
      <c r="G42" s="27" t="str">
        <f>'web survey'!T40</f>
        <v/>
      </c>
      <c r="H42" s="18" t="str">
        <f>IF(B42="FU-ACInstall",VLOOKUP(VALUE('web survey'!F40),ref!$B$15:$C$17,2,0)&amp;" ("&amp;'web survey'!F40&amp;")",VLOOKUP(VALUE('web survey'!F40),ref!$E$20:$F$21,2,0)&amp;" ("&amp;'web survey'!F40&amp;")")</f>
        <v>Different with SAP (-10)</v>
      </c>
      <c r="I42" s="27" t="str">
        <f>'web survey'!U40</f>
        <v/>
      </c>
      <c r="J42" s="18" t="str">
        <f>IF(B42="FU-ACInstall","-",VLOOKUP(VALUE('web survey'!G40),ref!$E$24:$F$26,2,0)&amp;" ("&amp;'web survey'!G40&amp;")")</f>
        <v>Jelas (5)</v>
      </c>
      <c r="K42" s="6" t="str">
        <f>YEAR('web survey'!Z40)&amp;"-"&amp;IF(MONTH('web survey'!Z40)&lt;10,"0"&amp;MONTH('web survey'!Z40),MONTH('web survey'!Z40))&amp;"-"&amp;IF(DAY('web survey'!Z40)&lt;10,"0"&amp;DAY('web survey'!Z40),DAY('web survey'!Z40))&amp;" "&amp;IF(HOUR('web survey'!Z40)&lt;10,"0"&amp;HOUR('web survey'!Z40),HOUR('web survey'!Z40))&amp;":"&amp;IF(MINUTE('web survey'!Z40)&lt;10,"0"&amp;MINUTE('web survey'!Z40),MINUTE('web survey'!Z40))&amp;(":00'")</f>
        <v>2024-08-21 15:49:00'</v>
      </c>
      <c r="L42" s="33"/>
      <c r="N42" s="35">
        <v>39</v>
      </c>
      <c r="O42" s="35" t="s">
        <v>63</v>
      </c>
      <c r="P42" s="37" t="s">
        <v>327</v>
      </c>
      <c r="Q42" s="39" t="s">
        <v>151</v>
      </c>
      <c r="R42" s="41" t="s">
        <v>46</v>
      </c>
      <c r="S42" s="39" t="s">
        <v>159</v>
      </c>
      <c r="T42" s="41" t="s">
        <v>46</v>
      </c>
      <c r="U42" s="39" t="s">
        <v>160</v>
      </c>
      <c r="V42" s="41" t="s">
        <v>46</v>
      </c>
      <c r="W42" s="39" t="s">
        <v>157</v>
      </c>
      <c r="X42" s="35" t="s">
        <v>326</v>
      </c>
    </row>
    <row r="43" spans="1:24" ht="28.2" customHeight="1" x14ac:dyDescent="0.3">
      <c r="A43" s="6">
        <f>IF(B43="","",ROW()-COUNTBLANK($B$4:B43)-3)</f>
        <v>40</v>
      </c>
      <c r="B43" s="6" t="str">
        <f>'web survey'!C41</f>
        <v>FU-Z1-Eng</v>
      </c>
      <c r="C43" s="29" t="str">
        <f>'web survey'!AA41</f>
        <v>203904127</v>
      </c>
      <c r="D43" s="18" t="str">
        <f>IF(B43="FU-ACInstall",VLOOKUP(VALUE('web survey'!D41),ref!$B$6:$C$7,2,0)&amp;" ("&amp;'web survey'!D41&amp;")",VLOOKUP(VALUE('web survey'!D41),ref!$E$6:$F$10,2,0)&amp;" ("&amp;'web survey'!D41&amp;")")</f>
        <v>Good (10)</v>
      </c>
      <c r="E43" s="27" t="str">
        <f>'web survey'!S41</f>
        <v/>
      </c>
      <c r="F43" s="18" t="str">
        <f>IF(B43="FU-ACInstall",VLOOKUP(VALUE('web survey'!E41),ref!$B$10:$C$12,2,0)&amp;" ("&amp;'web survey'!E41&amp;")",VLOOKUP(VALUE('web survey'!E41),ref!$E$13:$F$17,2,0)&amp;" ("&amp;'web survey'!E41&amp;")")</f>
        <v>Very Good (10)</v>
      </c>
      <c r="G43" s="27" t="str">
        <f>'web survey'!T41</f>
        <v/>
      </c>
      <c r="H43" s="18" t="str">
        <f>IF(B43="FU-ACInstall",VLOOKUP(VALUE('web survey'!F41),ref!$B$15:$C$17,2,0)&amp;" ("&amp;'web survey'!F41&amp;")",VLOOKUP(VALUE('web survey'!F41),ref!$E$20:$F$21,2,0)&amp;" ("&amp;'web survey'!F41&amp;")")</f>
        <v>Different with SAP (-10)</v>
      </c>
      <c r="I43" s="27" t="str">
        <f>'web survey'!U41</f>
        <v/>
      </c>
      <c r="J43" s="18" t="str">
        <f>IF(B43="FU-ACInstall","-",VLOOKUP(VALUE('web survey'!G41),ref!$E$24:$F$26,2,0)&amp;" ("&amp;'web survey'!G41&amp;")")</f>
        <v>Jelas (5)</v>
      </c>
      <c r="K43" s="6" t="str">
        <f>YEAR('web survey'!Z41)&amp;"-"&amp;IF(MONTH('web survey'!Z41)&lt;10,"0"&amp;MONTH('web survey'!Z41),MONTH('web survey'!Z41))&amp;"-"&amp;IF(DAY('web survey'!Z41)&lt;10,"0"&amp;DAY('web survey'!Z41),DAY('web survey'!Z41))&amp;" "&amp;IF(HOUR('web survey'!Z41)&lt;10,"0"&amp;HOUR('web survey'!Z41),HOUR('web survey'!Z41))&amp;":"&amp;IF(MINUTE('web survey'!Z41)&lt;10,"0"&amp;MINUTE('web survey'!Z41),MINUTE('web survey'!Z41))&amp;(":00'")</f>
        <v>2024-08-21 15:44:00'</v>
      </c>
      <c r="L43" s="33"/>
      <c r="N43" s="35">
        <v>40</v>
      </c>
      <c r="O43" s="35" t="s">
        <v>63</v>
      </c>
      <c r="P43" s="37" t="s">
        <v>332</v>
      </c>
      <c r="Q43" s="39" t="s">
        <v>151</v>
      </c>
      <c r="R43" s="41" t="s">
        <v>46</v>
      </c>
      <c r="S43" s="39" t="s">
        <v>159</v>
      </c>
      <c r="T43" s="41" t="s">
        <v>46</v>
      </c>
      <c r="U43" s="39" t="s">
        <v>160</v>
      </c>
      <c r="V43" s="41" t="s">
        <v>46</v>
      </c>
      <c r="W43" s="39" t="s">
        <v>157</v>
      </c>
      <c r="X43" s="35" t="s">
        <v>331</v>
      </c>
    </row>
    <row r="44" spans="1:24" ht="28.2" customHeight="1" x14ac:dyDescent="0.3">
      <c r="A44" s="6">
        <f>IF(B44="","",ROW()-COUNTBLANK($B$4:B44)-3)</f>
        <v>41</v>
      </c>
      <c r="B44" s="6" t="str">
        <f>'web survey'!C42</f>
        <v>FU-Z1-Eng</v>
      </c>
      <c r="C44" s="29" t="str">
        <f>'web survey'!AA42</f>
        <v>203907870</v>
      </c>
      <c r="D44" s="18" t="str">
        <f>IF(B44="FU-ACInstall",VLOOKUP(VALUE('web survey'!D42),ref!$B$6:$C$7,2,0)&amp;" ("&amp;'web survey'!D42&amp;")",VLOOKUP(VALUE('web survey'!D42),ref!$E$6:$F$10,2,0)&amp;" ("&amp;'web survey'!D42&amp;")")</f>
        <v>Good (10)</v>
      </c>
      <c r="E44" s="27" t="str">
        <f>'web survey'!S42</f>
        <v/>
      </c>
      <c r="F44" s="18" t="str">
        <f>IF(B44="FU-ACInstall",VLOOKUP(VALUE('web survey'!E42),ref!$B$10:$C$12,2,0)&amp;" ("&amp;'web survey'!E42&amp;")",VLOOKUP(VALUE('web survey'!E42),ref!$E$13:$F$17,2,0)&amp;" ("&amp;'web survey'!E42&amp;")")</f>
        <v>Very Good (10)</v>
      </c>
      <c r="G44" s="27" t="str">
        <f>'web survey'!T42</f>
        <v/>
      </c>
      <c r="H44" s="18" t="str">
        <f>IF(B44="FU-ACInstall",VLOOKUP(VALUE('web survey'!F42),ref!$B$15:$C$17,2,0)&amp;" ("&amp;'web survey'!F42&amp;")",VLOOKUP(VALUE('web survey'!F42),ref!$E$20:$F$21,2,0)&amp;" ("&amp;'web survey'!F42&amp;")")</f>
        <v>Appropriate with SAP / in Warranty (10)</v>
      </c>
      <c r="I44" s="27" t="str">
        <f>'web survey'!U42</f>
        <v/>
      </c>
      <c r="J44" s="18" t="str">
        <f>IF(B44="FU-ACInstall","-",VLOOKUP(VALUE('web survey'!G42),ref!$E$24:$F$26,2,0)&amp;" ("&amp;'web survey'!G42&amp;")")</f>
        <v>Jelas (5)</v>
      </c>
      <c r="K44" s="6" t="str">
        <f>YEAR('web survey'!Z42)&amp;"-"&amp;IF(MONTH('web survey'!Z42)&lt;10,"0"&amp;MONTH('web survey'!Z42),MONTH('web survey'!Z42))&amp;"-"&amp;IF(DAY('web survey'!Z42)&lt;10,"0"&amp;DAY('web survey'!Z42),DAY('web survey'!Z42))&amp;" "&amp;IF(HOUR('web survey'!Z42)&lt;10,"0"&amp;HOUR('web survey'!Z42),HOUR('web survey'!Z42))&amp;":"&amp;IF(MINUTE('web survey'!Z42)&lt;10,"0"&amp;MINUTE('web survey'!Z42),MINUTE('web survey'!Z42))&amp;(":00'")</f>
        <v>2024-08-21 15:42:00'</v>
      </c>
      <c r="L44" s="33"/>
      <c r="N44" s="35">
        <v>41</v>
      </c>
      <c r="O44" s="35" t="s">
        <v>63</v>
      </c>
      <c r="P44" s="37" t="s">
        <v>336</v>
      </c>
      <c r="Q44" s="39" t="s">
        <v>151</v>
      </c>
      <c r="R44" s="41" t="s">
        <v>46</v>
      </c>
      <c r="S44" s="39" t="s">
        <v>159</v>
      </c>
      <c r="T44" s="41" t="s">
        <v>46</v>
      </c>
      <c r="U44" s="39" t="s">
        <v>156</v>
      </c>
      <c r="V44" s="41" t="s">
        <v>46</v>
      </c>
      <c r="W44" s="39" t="s">
        <v>157</v>
      </c>
      <c r="X44" s="35" t="s">
        <v>335</v>
      </c>
    </row>
    <row r="45" spans="1:24" ht="28.2" customHeight="1" x14ac:dyDescent="0.3">
      <c r="A45" s="6">
        <f>IF(B45="","",ROW()-COUNTBLANK($B$4:B45)-3)</f>
        <v>42</v>
      </c>
      <c r="B45" s="6" t="str">
        <f>'web survey'!C43</f>
        <v>FU-Z1-Eng</v>
      </c>
      <c r="C45" s="29" t="str">
        <f>'web survey'!AA43</f>
        <v>203907488</v>
      </c>
      <c r="D45" s="18" t="str">
        <f>IF(B45="FU-ACInstall",VLOOKUP(VALUE('web survey'!D43),ref!$B$6:$C$7,2,0)&amp;" ("&amp;'web survey'!D43&amp;")",VLOOKUP(VALUE('web survey'!D43),ref!$E$6:$F$10,2,0)&amp;" ("&amp;'web survey'!D43&amp;")")</f>
        <v>Good (10)</v>
      </c>
      <c r="E45" s="27" t="str">
        <f>'web survey'!S43</f>
        <v/>
      </c>
      <c r="F45" s="18" t="str">
        <f>IF(B45="FU-ACInstall",VLOOKUP(VALUE('web survey'!E43),ref!$B$10:$C$12,2,0)&amp;" ("&amp;'web survey'!E43&amp;")",VLOOKUP(VALUE('web survey'!E43),ref!$E$13:$F$17,2,0)&amp;" ("&amp;'web survey'!E43&amp;")")</f>
        <v>Very Good (10)</v>
      </c>
      <c r="G45" s="27" t="str">
        <f>'web survey'!T43</f>
        <v/>
      </c>
      <c r="H45" s="18" t="str">
        <f>IF(B45="FU-ACInstall",VLOOKUP(VALUE('web survey'!F43),ref!$B$15:$C$17,2,0)&amp;" ("&amp;'web survey'!F43&amp;")",VLOOKUP(VALUE('web survey'!F43),ref!$E$20:$F$21,2,0)&amp;" ("&amp;'web survey'!F43&amp;")")</f>
        <v>Different with SAP (-10)</v>
      </c>
      <c r="I45" s="27" t="str">
        <f>'web survey'!U43</f>
        <v/>
      </c>
      <c r="J45" s="18" t="str">
        <f>IF(B45="FU-ACInstall","-",VLOOKUP(VALUE('web survey'!G43),ref!$E$24:$F$26,2,0)&amp;" ("&amp;'web survey'!G43&amp;")")</f>
        <v>Jelas (5)</v>
      </c>
      <c r="K45" s="6" t="str">
        <f>YEAR('web survey'!Z43)&amp;"-"&amp;IF(MONTH('web survey'!Z43)&lt;10,"0"&amp;MONTH('web survey'!Z43),MONTH('web survey'!Z43))&amp;"-"&amp;IF(DAY('web survey'!Z43)&lt;10,"0"&amp;DAY('web survey'!Z43),DAY('web survey'!Z43))&amp;" "&amp;IF(HOUR('web survey'!Z43)&lt;10,"0"&amp;HOUR('web survey'!Z43),HOUR('web survey'!Z43))&amp;":"&amp;IF(MINUTE('web survey'!Z43)&lt;10,"0"&amp;MINUTE('web survey'!Z43),MINUTE('web survey'!Z43))&amp;(":00'")</f>
        <v>2024-08-21 15:39:00'</v>
      </c>
      <c r="L45" s="33"/>
      <c r="N45" s="35">
        <v>42</v>
      </c>
      <c r="O45" s="35" t="s">
        <v>63</v>
      </c>
      <c r="P45" s="37" t="s">
        <v>340</v>
      </c>
      <c r="Q45" s="39" t="s">
        <v>151</v>
      </c>
      <c r="R45" s="41" t="s">
        <v>46</v>
      </c>
      <c r="S45" s="39" t="s">
        <v>159</v>
      </c>
      <c r="T45" s="41" t="s">
        <v>46</v>
      </c>
      <c r="U45" s="39" t="s">
        <v>160</v>
      </c>
      <c r="V45" s="41" t="s">
        <v>46</v>
      </c>
      <c r="W45" s="39" t="s">
        <v>157</v>
      </c>
      <c r="X45" s="35" t="s">
        <v>339</v>
      </c>
    </row>
    <row r="46" spans="1:24" ht="28.2" customHeight="1" x14ac:dyDescent="0.3">
      <c r="A46" s="6">
        <f>IF(B46="","",ROW()-COUNTBLANK($B$4:B46)-3)</f>
        <v>43</v>
      </c>
      <c r="B46" s="6" t="str">
        <f>'web survey'!C44</f>
        <v>FU-Z1-Eng</v>
      </c>
      <c r="C46" s="29" t="str">
        <f>'web survey'!AA44</f>
        <v>203909040</v>
      </c>
      <c r="D46" s="18" t="str">
        <f>IF(B46="FU-ACInstall",VLOOKUP(VALUE('web survey'!D44),ref!$B$6:$C$7,2,0)&amp;" ("&amp;'web survey'!D44&amp;")",VLOOKUP(VALUE('web survey'!D44),ref!$E$6:$F$10,2,0)&amp;" ("&amp;'web survey'!D44&amp;")")</f>
        <v>Good (10)</v>
      </c>
      <c r="E46" s="27" t="str">
        <f>'web survey'!S44</f>
        <v/>
      </c>
      <c r="F46" s="18" t="str">
        <f>IF(B46="FU-ACInstall",VLOOKUP(VALUE('web survey'!E44),ref!$B$10:$C$12,2,0)&amp;" ("&amp;'web survey'!E44&amp;")",VLOOKUP(VALUE('web survey'!E44),ref!$E$13:$F$17,2,0)&amp;" ("&amp;'web survey'!E44&amp;")")</f>
        <v>Good (5)</v>
      </c>
      <c r="G46" s="27" t="str">
        <f>'web survey'!T44</f>
        <v/>
      </c>
      <c r="H46" s="18" t="str">
        <f>IF(B46="FU-ACInstall",VLOOKUP(VALUE('web survey'!F44),ref!$B$15:$C$17,2,0)&amp;" ("&amp;'web survey'!F44&amp;")",VLOOKUP(VALUE('web survey'!F44),ref!$E$20:$F$21,2,0)&amp;" ("&amp;'web survey'!F44&amp;")")</f>
        <v>Appropriate with SAP / in Warranty (10)</v>
      </c>
      <c r="I46" s="27" t="str">
        <f>'web survey'!U44</f>
        <v/>
      </c>
      <c r="J46" s="18" t="str">
        <f>IF(B46="FU-ACInstall","-",VLOOKUP(VALUE('web survey'!G44),ref!$E$24:$F$26,2,0)&amp;" ("&amp;'web survey'!G44&amp;")")</f>
        <v>Jelas (5)</v>
      </c>
      <c r="K46" s="6" t="str">
        <f>YEAR('web survey'!Z44)&amp;"-"&amp;IF(MONTH('web survey'!Z44)&lt;10,"0"&amp;MONTH('web survey'!Z44),MONTH('web survey'!Z44))&amp;"-"&amp;IF(DAY('web survey'!Z44)&lt;10,"0"&amp;DAY('web survey'!Z44),DAY('web survey'!Z44))&amp;" "&amp;IF(HOUR('web survey'!Z44)&lt;10,"0"&amp;HOUR('web survey'!Z44),HOUR('web survey'!Z44))&amp;":"&amp;IF(MINUTE('web survey'!Z44)&lt;10,"0"&amp;MINUTE('web survey'!Z44),MINUTE('web survey'!Z44))&amp;(":00'")</f>
        <v>2024-08-21 15:37:00'</v>
      </c>
      <c r="L46" s="33"/>
      <c r="N46" s="35">
        <v>43</v>
      </c>
      <c r="O46" s="35" t="s">
        <v>63</v>
      </c>
      <c r="P46" s="37" t="s">
        <v>344</v>
      </c>
      <c r="Q46" s="39" t="s">
        <v>151</v>
      </c>
      <c r="R46" s="41" t="s">
        <v>46</v>
      </c>
      <c r="S46" s="39" t="s">
        <v>155</v>
      </c>
      <c r="T46" s="41" t="s">
        <v>46</v>
      </c>
      <c r="U46" s="39" t="s">
        <v>156</v>
      </c>
      <c r="V46" s="41" t="s">
        <v>46</v>
      </c>
      <c r="W46" s="39" t="s">
        <v>157</v>
      </c>
      <c r="X46" s="35" t="s">
        <v>343</v>
      </c>
    </row>
    <row r="47" spans="1:24" ht="28.2" customHeight="1" x14ac:dyDescent="0.3">
      <c r="A47" s="6">
        <f>IF(B47="","",ROW()-COUNTBLANK($B$4:B47)-3)</f>
        <v>44</v>
      </c>
      <c r="B47" s="6" t="str">
        <f>'web survey'!C45</f>
        <v>FU-Z1-Eng</v>
      </c>
      <c r="C47" s="29" t="str">
        <f>'web survey'!AA45</f>
        <v>203909061</v>
      </c>
      <c r="D47" s="18" t="str">
        <f>IF(B47="FU-ACInstall",VLOOKUP(VALUE('web survey'!D45),ref!$B$6:$C$7,2,0)&amp;" ("&amp;'web survey'!D45&amp;")",VLOOKUP(VALUE('web survey'!D45),ref!$E$6:$F$10,2,0)&amp;" ("&amp;'web survey'!D45&amp;")")</f>
        <v>Good (10)</v>
      </c>
      <c r="E47" s="27" t="str">
        <f>'web survey'!S45</f>
        <v/>
      </c>
      <c r="F47" s="18" t="str">
        <f>IF(B47="FU-ACInstall",VLOOKUP(VALUE('web survey'!E45),ref!$B$10:$C$12,2,0)&amp;" ("&amp;'web survey'!E45&amp;")",VLOOKUP(VALUE('web survey'!E45),ref!$E$13:$F$17,2,0)&amp;" ("&amp;'web survey'!E45&amp;")")</f>
        <v>Good (5)</v>
      </c>
      <c r="G47" s="27" t="str">
        <f>'web survey'!T45</f>
        <v/>
      </c>
      <c r="H47" s="18" t="str">
        <f>IF(B47="FU-ACInstall",VLOOKUP(VALUE('web survey'!F45),ref!$B$15:$C$17,2,0)&amp;" ("&amp;'web survey'!F45&amp;")",VLOOKUP(VALUE('web survey'!F45),ref!$E$20:$F$21,2,0)&amp;" ("&amp;'web survey'!F45&amp;")")</f>
        <v>Appropriate with SAP / in Warranty (10)</v>
      </c>
      <c r="I47" s="27" t="str">
        <f>'web survey'!U45</f>
        <v/>
      </c>
      <c r="J47" s="18" t="str">
        <f>IF(B47="FU-ACInstall","-",VLOOKUP(VALUE('web survey'!G45),ref!$E$24:$F$26,2,0)&amp;" ("&amp;'web survey'!G45&amp;")")</f>
        <v>Jelas (5)</v>
      </c>
      <c r="K47" s="6" t="str">
        <f>YEAR('web survey'!Z45)&amp;"-"&amp;IF(MONTH('web survey'!Z45)&lt;10,"0"&amp;MONTH('web survey'!Z45),MONTH('web survey'!Z45))&amp;"-"&amp;IF(DAY('web survey'!Z45)&lt;10,"0"&amp;DAY('web survey'!Z45),DAY('web survey'!Z45))&amp;" "&amp;IF(HOUR('web survey'!Z45)&lt;10,"0"&amp;HOUR('web survey'!Z45),HOUR('web survey'!Z45))&amp;":"&amp;IF(MINUTE('web survey'!Z45)&lt;10,"0"&amp;MINUTE('web survey'!Z45),MINUTE('web survey'!Z45))&amp;(":00'")</f>
        <v>2024-08-21 15:33:00'</v>
      </c>
      <c r="L47" s="33"/>
      <c r="N47" s="35">
        <v>44</v>
      </c>
      <c r="O47" s="35" t="s">
        <v>63</v>
      </c>
      <c r="P47" s="37" t="s">
        <v>348</v>
      </c>
      <c r="Q47" s="39" t="s">
        <v>151</v>
      </c>
      <c r="R47" s="41" t="s">
        <v>46</v>
      </c>
      <c r="S47" s="39" t="s">
        <v>155</v>
      </c>
      <c r="T47" s="41" t="s">
        <v>46</v>
      </c>
      <c r="U47" s="39" t="s">
        <v>156</v>
      </c>
      <c r="V47" s="41" t="s">
        <v>46</v>
      </c>
      <c r="W47" s="39" t="s">
        <v>157</v>
      </c>
      <c r="X47" s="35" t="s">
        <v>347</v>
      </c>
    </row>
    <row r="48" spans="1:24" ht="28.2" customHeight="1" x14ac:dyDescent="0.3">
      <c r="A48" s="6">
        <f>IF(B48="","",ROW()-COUNTBLANK($B$4:B48)-3)</f>
        <v>45</v>
      </c>
      <c r="B48" s="6" t="str">
        <f>'web survey'!C46</f>
        <v>FU-Z1-Eng</v>
      </c>
      <c r="C48" s="29" t="str">
        <f>'web survey'!AA46</f>
        <v>203908849</v>
      </c>
      <c r="D48" s="18" t="str">
        <f>IF(B48="FU-ACInstall",VLOOKUP(VALUE('web survey'!D46),ref!$B$6:$C$7,2,0)&amp;" ("&amp;'web survey'!D46&amp;")",VLOOKUP(VALUE('web survey'!D46),ref!$E$6:$F$10,2,0)&amp;" ("&amp;'web survey'!D46&amp;")")</f>
        <v>Good (10)</v>
      </c>
      <c r="E48" s="27" t="str">
        <f>'web survey'!S46</f>
        <v/>
      </c>
      <c r="F48" s="18" t="str">
        <f>IF(B48="FU-ACInstall",VLOOKUP(VALUE('web survey'!E46),ref!$B$10:$C$12,2,0)&amp;" ("&amp;'web survey'!E46&amp;")",VLOOKUP(VALUE('web survey'!E46),ref!$E$13:$F$17,2,0)&amp;" ("&amp;'web survey'!E46&amp;")")</f>
        <v>Very Good (10)</v>
      </c>
      <c r="G48" s="27" t="str">
        <f>'web survey'!T46</f>
        <v/>
      </c>
      <c r="H48" s="18" t="str">
        <f>IF(B48="FU-ACInstall",VLOOKUP(VALUE('web survey'!F46),ref!$B$15:$C$17,2,0)&amp;" ("&amp;'web survey'!F46&amp;")",VLOOKUP(VALUE('web survey'!F46),ref!$E$20:$F$21,2,0)&amp;" ("&amp;'web survey'!F46&amp;")")</f>
        <v>Appropriate with SAP / in Warranty (10)</v>
      </c>
      <c r="I48" s="27" t="str">
        <f>'web survey'!U46</f>
        <v/>
      </c>
      <c r="J48" s="18" t="str">
        <f>IF(B48="FU-ACInstall","-",VLOOKUP(VALUE('web survey'!G46),ref!$E$24:$F$26,2,0)&amp;" ("&amp;'web survey'!G46&amp;")")</f>
        <v>Jelas (5)</v>
      </c>
      <c r="K48" s="6" t="str">
        <f>YEAR('web survey'!Z46)&amp;"-"&amp;IF(MONTH('web survey'!Z46)&lt;10,"0"&amp;MONTH('web survey'!Z46),MONTH('web survey'!Z46))&amp;"-"&amp;IF(DAY('web survey'!Z46)&lt;10,"0"&amp;DAY('web survey'!Z46),DAY('web survey'!Z46))&amp;" "&amp;IF(HOUR('web survey'!Z46)&lt;10,"0"&amp;HOUR('web survey'!Z46),HOUR('web survey'!Z46))&amp;":"&amp;IF(MINUTE('web survey'!Z46)&lt;10,"0"&amp;MINUTE('web survey'!Z46),MINUTE('web survey'!Z46))&amp;(":00'")</f>
        <v>2024-08-21 15:29:00'</v>
      </c>
      <c r="L48" s="33"/>
      <c r="N48" s="35">
        <v>45</v>
      </c>
      <c r="O48" s="35" t="s">
        <v>63</v>
      </c>
      <c r="P48" s="37" t="s">
        <v>352</v>
      </c>
      <c r="Q48" s="39" t="s">
        <v>151</v>
      </c>
      <c r="R48" s="41" t="s">
        <v>46</v>
      </c>
      <c r="S48" s="39" t="s">
        <v>159</v>
      </c>
      <c r="T48" s="41" t="s">
        <v>46</v>
      </c>
      <c r="U48" s="39" t="s">
        <v>156</v>
      </c>
      <c r="V48" s="41" t="s">
        <v>46</v>
      </c>
      <c r="W48" s="39" t="s">
        <v>157</v>
      </c>
      <c r="X48" s="35" t="s">
        <v>351</v>
      </c>
    </row>
    <row r="49" spans="1:24" ht="28.2" customHeight="1" x14ac:dyDescent="0.3">
      <c r="A49" s="6">
        <f>IF(B49="","",ROW()-COUNTBLANK($B$4:B49)-3)</f>
        <v>46</v>
      </c>
      <c r="B49" s="6" t="str">
        <f>'web survey'!C47</f>
        <v>FU-Z1-Eng</v>
      </c>
      <c r="C49" s="29" t="str">
        <f>'web survey'!AA47</f>
        <v>203898537</v>
      </c>
      <c r="D49" s="18" t="str">
        <f>IF(B49="FU-ACInstall",VLOOKUP(VALUE('web survey'!D47),ref!$B$6:$C$7,2,0)&amp;" ("&amp;'web survey'!D47&amp;")",VLOOKUP(VALUE('web survey'!D47),ref!$E$6:$F$10,2,0)&amp;" ("&amp;'web survey'!D47&amp;")")</f>
        <v>Good (10)</v>
      </c>
      <c r="E49" s="27" t="str">
        <f>'web survey'!S47</f>
        <v/>
      </c>
      <c r="F49" s="18" t="str">
        <f>IF(B49="FU-ACInstall",VLOOKUP(VALUE('web survey'!E47),ref!$B$10:$C$12,2,0)&amp;" ("&amp;'web survey'!E47&amp;")",VLOOKUP(VALUE('web survey'!E47),ref!$E$13:$F$17,2,0)&amp;" ("&amp;'web survey'!E47&amp;")")</f>
        <v>Good (5)</v>
      </c>
      <c r="G49" s="27" t="str">
        <f>'web survey'!T47</f>
        <v/>
      </c>
      <c r="H49" s="18" t="str">
        <f>IF(B49="FU-ACInstall",VLOOKUP(VALUE('web survey'!F47),ref!$B$15:$C$17,2,0)&amp;" ("&amp;'web survey'!F47&amp;")",VLOOKUP(VALUE('web survey'!F47),ref!$E$20:$F$21,2,0)&amp;" ("&amp;'web survey'!F47&amp;")")</f>
        <v>Appropriate with SAP / in Warranty (10)</v>
      </c>
      <c r="I49" s="27" t="str">
        <f>'web survey'!U47</f>
        <v/>
      </c>
      <c r="J49" s="18" t="str">
        <f>IF(B49="FU-ACInstall","-",VLOOKUP(VALUE('web survey'!G47),ref!$E$24:$F$26,2,0)&amp;" ("&amp;'web survey'!G47&amp;")")</f>
        <v>Jelas (5)</v>
      </c>
      <c r="K49" s="6" t="str">
        <f>YEAR('web survey'!Z47)&amp;"-"&amp;IF(MONTH('web survey'!Z47)&lt;10,"0"&amp;MONTH('web survey'!Z47),MONTH('web survey'!Z47))&amp;"-"&amp;IF(DAY('web survey'!Z47)&lt;10,"0"&amp;DAY('web survey'!Z47),DAY('web survey'!Z47))&amp;" "&amp;IF(HOUR('web survey'!Z47)&lt;10,"0"&amp;HOUR('web survey'!Z47),HOUR('web survey'!Z47))&amp;":"&amp;IF(MINUTE('web survey'!Z47)&lt;10,"0"&amp;MINUTE('web survey'!Z47),MINUTE('web survey'!Z47))&amp;(":00'")</f>
        <v>2024-08-21 15:29:00'</v>
      </c>
      <c r="L49" s="33"/>
      <c r="N49" s="35">
        <v>46</v>
      </c>
      <c r="O49" s="35" t="s">
        <v>63</v>
      </c>
      <c r="P49" s="37" t="s">
        <v>355</v>
      </c>
      <c r="Q49" s="39" t="s">
        <v>151</v>
      </c>
      <c r="R49" s="41" t="s">
        <v>46</v>
      </c>
      <c r="S49" s="39" t="s">
        <v>155</v>
      </c>
      <c r="T49" s="41" t="s">
        <v>46</v>
      </c>
      <c r="U49" s="39" t="s">
        <v>156</v>
      </c>
      <c r="V49" s="41" t="s">
        <v>46</v>
      </c>
      <c r="W49" s="39" t="s">
        <v>157</v>
      </c>
      <c r="X49" s="35" t="s">
        <v>351</v>
      </c>
    </row>
    <row r="50" spans="1:24" ht="28.2" customHeight="1" x14ac:dyDescent="0.3">
      <c r="A50" s="6">
        <f>IF(B50="","",ROW()-COUNTBLANK($B$4:B50)-3)</f>
        <v>47</v>
      </c>
      <c r="B50" s="6" t="str">
        <f>'web survey'!C48</f>
        <v>FU-Z1-Eng</v>
      </c>
      <c r="C50" s="29" t="str">
        <f>'web survey'!AA48</f>
        <v>100892787</v>
      </c>
      <c r="D50" s="18" t="str">
        <f>IF(B50="FU-ACInstall",VLOOKUP(VALUE('web survey'!D48),ref!$B$6:$C$7,2,0)&amp;" ("&amp;'web survey'!D48&amp;")",VLOOKUP(VALUE('web survey'!D48),ref!$E$6:$F$10,2,0)&amp;" ("&amp;'web survey'!D48&amp;")")</f>
        <v>Good (10)</v>
      </c>
      <c r="E50" s="27" t="str">
        <f>'web survey'!S48</f>
        <v/>
      </c>
      <c r="F50" s="18" t="str">
        <f>IF(B50="FU-ACInstall",VLOOKUP(VALUE('web survey'!E48),ref!$B$10:$C$12,2,0)&amp;" ("&amp;'web survey'!E48&amp;")",VLOOKUP(VALUE('web survey'!E48),ref!$E$13:$F$17,2,0)&amp;" ("&amp;'web survey'!E48&amp;")")</f>
        <v>Very Good (10)</v>
      </c>
      <c r="G50" s="27" t="str">
        <f>'web survey'!T48</f>
        <v/>
      </c>
      <c r="H50" s="18" t="str">
        <f>IF(B50="FU-ACInstall",VLOOKUP(VALUE('web survey'!F48),ref!$B$15:$C$17,2,0)&amp;" ("&amp;'web survey'!F48&amp;")",VLOOKUP(VALUE('web survey'!F48),ref!$E$20:$F$21,2,0)&amp;" ("&amp;'web survey'!F48&amp;")")</f>
        <v>Appropriate with SAP / in Warranty (10)</v>
      </c>
      <c r="I50" s="27" t="str">
        <f>'web survey'!U48</f>
        <v/>
      </c>
      <c r="J50" s="18" t="str">
        <f>IF(B50="FU-ACInstall","-",VLOOKUP(VALUE('web survey'!G48),ref!$E$24:$F$26,2,0)&amp;" ("&amp;'web survey'!G48&amp;")")</f>
        <v>Jelas (5)</v>
      </c>
      <c r="K50" s="6" t="str">
        <f>YEAR('web survey'!Z48)&amp;"-"&amp;IF(MONTH('web survey'!Z48)&lt;10,"0"&amp;MONTH('web survey'!Z48),MONTH('web survey'!Z48))&amp;"-"&amp;IF(DAY('web survey'!Z48)&lt;10,"0"&amp;DAY('web survey'!Z48),DAY('web survey'!Z48))&amp;" "&amp;IF(HOUR('web survey'!Z48)&lt;10,"0"&amp;HOUR('web survey'!Z48),HOUR('web survey'!Z48))&amp;":"&amp;IF(MINUTE('web survey'!Z48)&lt;10,"0"&amp;MINUTE('web survey'!Z48),MINUTE('web survey'!Z48))&amp;(":00'")</f>
        <v>2024-08-21 15:29:00'</v>
      </c>
      <c r="L50" s="33"/>
      <c r="N50" s="35">
        <v>47</v>
      </c>
      <c r="O50" s="35" t="s">
        <v>63</v>
      </c>
      <c r="P50" s="37" t="s">
        <v>359</v>
      </c>
      <c r="Q50" s="39" t="s">
        <v>151</v>
      </c>
      <c r="R50" s="41" t="s">
        <v>46</v>
      </c>
      <c r="S50" s="39" t="s">
        <v>159</v>
      </c>
      <c r="T50" s="41" t="s">
        <v>46</v>
      </c>
      <c r="U50" s="39" t="s">
        <v>156</v>
      </c>
      <c r="V50" s="41" t="s">
        <v>46</v>
      </c>
      <c r="W50" s="39" t="s">
        <v>157</v>
      </c>
      <c r="X50" s="35" t="s">
        <v>351</v>
      </c>
    </row>
    <row r="51" spans="1:24" ht="28.2" customHeight="1" x14ac:dyDescent="0.3">
      <c r="A51" s="6">
        <f>IF(B51="","",ROW()-COUNTBLANK($B$4:B51)-3)</f>
        <v>48</v>
      </c>
      <c r="B51" s="6" t="str">
        <f>'web survey'!C49</f>
        <v>FU-Z1-Eng</v>
      </c>
      <c r="C51" s="29" t="str">
        <f>'web survey'!AA49</f>
        <v>100893605</v>
      </c>
      <c r="D51" s="18" t="str">
        <f>IF(B51="FU-ACInstall",VLOOKUP(VALUE('web survey'!D49),ref!$B$6:$C$7,2,0)&amp;" ("&amp;'web survey'!D49&amp;")",VLOOKUP(VALUE('web survey'!D49),ref!$E$6:$F$10,2,0)&amp;" ("&amp;'web survey'!D49&amp;")")</f>
        <v>Good (10)</v>
      </c>
      <c r="E51" s="27" t="str">
        <f>'web survey'!S49</f>
        <v/>
      </c>
      <c r="F51" s="18" t="str">
        <f>IF(B51="FU-ACInstall",VLOOKUP(VALUE('web survey'!E49),ref!$B$10:$C$12,2,0)&amp;" ("&amp;'web survey'!E49&amp;")",VLOOKUP(VALUE('web survey'!E49),ref!$E$13:$F$17,2,0)&amp;" ("&amp;'web survey'!E49&amp;")")</f>
        <v>Very Good (10)</v>
      </c>
      <c r="G51" s="27" t="str">
        <f>'web survey'!T49</f>
        <v/>
      </c>
      <c r="H51" s="18" t="str">
        <f>IF(B51="FU-ACInstall",VLOOKUP(VALUE('web survey'!F49),ref!$B$15:$C$17,2,0)&amp;" ("&amp;'web survey'!F49&amp;")",VLOOKUP(VALUE('web survey'!F49),ref!$E$20:$F$21,2,0)&amp;" ("&amp;'web survey'!F49&amp;")")</f>
        <v>Appropriate with SAP / in Warranty (10)</v>
      </c>
      <c r="I51" s="27" t="str">
        <f>'web survey'!U49</f>
        <v/>
      </c>
      <c r="J51" s="18" t="str">
        <f>IF(B51="FU-ACInstall","-",VLOOKUP(VALUE('web survey'!G49),ref!$E$24:$F$26,2,0)&amp;" ("&amp;'web survey'!G49&amp;")")</f>
        <v>Jelas (5)</v>
      </c>
      <c r="K51" s="6" t="str">
        <f>YEAR('web survey'!Z49)&amp;"-"&amp;IF(MONTH('web survey'!Z49)&lt;10,"0"&amp;MONTH('web survey'!Z49),MONTH('web survey'!Z49))&amp;"-"&amp;IF(DAY('web survey'!Z49)&lt;10,"0"&amp;DAY('web survey'!Z49),DAY('web survey'!Z49))&amp;" "&amp;IF(HOUR('web survey'!Z49)&lt;10,"0"&amp;HOUR('web survey'!Z49),HOUR('web survey'!Z49))&amp;":"&amp;IF(MINUTE('web survey'!Z49)&lt;10,"0"&amp;MINUTE('web survey'!Z49),MINUTE('web survey'!Z49))&amp;(":00'")</f>
        <v>2024-08-21 15:28:00'</v>
      </c>
      <c r="L51" s="33"/>
      <c r="N51" s="35">
        <v>48</v>
      </c>
      <c r="O51" s="35" t="s">
        <v>63</v>
      </c>
      <c r="P51" s="37" t="s">
        <v>364</v>
      </c>
      <c r="Q51" s="39" t="s">
        <v>151</v>
      </c>
      <c r="R51" s="41" t="s">
        <v>46</v>
      </c>
      <c r="S51" s="39" t="s">
        <v>159</v>
      </c>
      <c r="T51" s="41" t="s">
        <v>46</v>
      </c>
      <c r="U51" s="39" t="s">
        <v>156</v>
      </c>
      <c r="V51" s="41" t="s">
        <v>46</v>
      </c>
      <c r="W51" s="39" t="s">
        <v>157</v>
      </c>
      <c r="X51" s="35" t="s">
        <v>363</v>
      </c>
    </row>
    <row r="52" spans="1:24" ht="28.2" customHeight="1" x14ac:dyDescent="0.3">
      <c r="A52" s="6">
        <f>IF(B52="","",ROW()-COUNTBLANK($B$4:B52)-3)</f>
        <v>49</v>
      </c>
      <c r="B52" s="6" t="str">
        <f>'web survey'!C50</f>
        <v>FU-Z1-Eng</v>
      </c>
      <c r="C52" s="29" t="str">
        <f>'web survey'!AA50</f>
        <v>203900466</v>
      </c>
      <c r="D52" s="18" t="str">
        <f>IF(B52="FU-ACInstall",VLOOKUP(VALUE('web survey'!D50),ref!$B$6:$C$7,2,0)&amp;" ("&amp;'web survey'!D50&amp;")",VLOOKUP(VALUE('web survey'!D50),ref!$E$6:$F$10,2,0)&amp;" ("&amp;'web survey'!D50&amp;")")</f>
        <v>Good (10)</v>
      </c>
      <c r="E52" s="27" t="str">
        <f>'web survey'!S50</f>
        <v/>
      </c>
      <c r="F52" s="18" t="str">
        <f>IF(B52="FU-ACInstall",VLOOKUP(VALUE('web survey'!E50),ref!$B$10:$C$12,2,0)&amp;" ("&amp;'web survey'!E50&amp;")",VLOOKUP(VALUE('web survey'!E50),ref!$E$13:$F$17,2,0)&amp;" ("&amp;'web survey'!E50&amp;")")</f>
        <v>Good (5)</v>
      </c>
      <c r="G52" s="27" t="str">
        <f>'web survey'!T50</f>
        <v/>
      </c>
      <c r="H52" s="18" t="str">
        <f>IF(B52="FU-ACInstall",VLOOKUP(VALUE('web survey'!F50),ref!$B$15:$C$17,2,0)&amp;" ("&amp;'web survey'!F50&amp;")",VLOOKUP(VALUE('web survey'!F50),ref!$E$20:$F$21,2,0)&amp;" ("&amp;'web survey'!F50&amp;")")</f>
        <v>Appropriate with SAP / in Warranty (10)</v>
      </c>
      <c r="I52" s="27" t="str">
        <f>'web survey'!U50</f>
        <v/>
      </c>
      <c r="J52" s="18" t="str">
        <f>IF(B52="FU-ACInstall","-",VLOOKUP(VALUE('web survey'!G50),ref!$E$24:$F$26,2,0)&amp;" ("&amp;'web survey'!G50&amp;")")</f>
        <v>Jelas (5)</v>
      </c>
      <c r="K52" s="6" t="str">
        <f>YEAR('web survey'!Z50)&amp;"-"&amp;IF(MONTH('web survey'!Z50)&lt;10,"0"&amp;MONTH('web survey'!Z50),MONTH('web survey'!Z50))&amp;"-"&amp;IF(DAY('web survey'!Z50)&lt;10,"0"&amp;DAY('web survey'!Z50),DAY('web survey'!Z50))&amp;" "&amp;IF(HOUR('web survey'!Z50)&lt;10,"0"&amp;HOUR('web survey'!Z50),HOUR('web survey'!Z50))&amp;":"&amp;IF(MINUTE('web survey'!Z50)&lt;10,"0"&amp;MINUTE('web survey'!Z50),MINUTE('web survey'!Z50))&amp;(":00'")</f>
        <v>2024-08-21 15:28:00'</v>
      </c>
      <c r="L52" s="33"/>
      <c r="N52" s="35">
        <v>49</v>
      </c>
      <c r="O52" s="35" t="s">
        <v>63</v>
      </c>
      <c r="P52" s="37" t="s">
        <v>367</v>
      </c>
      <c r="Q52" s="39" t="s">
        <v>151</v>
      </c>
      <c r="R52" s="41" t="s">
        <v>46</v>
      </c>
      <c r="S52" s="39" t="s">
        <v>155</v>
      </c>
      <c r="T52" s="41" t="s">
        <v>46</v>
      </c>
      <c r="U52" s="39" t="s">
        <v>156</v>
      </c>
      <c r="V52" s="41" t="s">
        <v>46</v>
      </c>
      <c r="W52" s="39" t="s">
        <v>157</v>
      </c>
      <c r="X52" s="35" t="s">
        <v>363</v>
      </c>
    </row>
    <row r="53" spans="1:24" ht="28.2" customHeight="1" x14ac:dyDescent="0.3">
      <c r="A53" s="6">
        <f>IF(B53="","",ROW()-COUNTBLANK($B$4:B53)-3)</f>
        <v>50</v>
      </c>
      <c r="B53" s="6" t="str">
        <f>'web survey'!C51</f>
        <v>FU-Z1-Eng</v>
      </c>
      <c r="C53" s="29" t="str">
        <f>'web survey'!AA51</f>
        <v>203909526</v>
      </c>
      <c r="D53" s="18" t="str">
        <f>IF(B53="FU-ACInstall",VLOOKUP(VALUE('web survey'!D51),ref!$B$6:$C$7,2,0)&amp;" ("&amp;'web survey'!D51&amp;")",VLOOKUP(VALUE('web survey'!D51),ref!$E$6:$F$10,2,0)&amp;" ("&amp;'web survey'!D51&amp;")")</f>
        <v>Good (10)</v>
      </c>
      <c r="E53" s="27" t="str">
        <f>'web survey'!S51</f>
        <v/>
      </c>
      <c r="F53" s="18" t="str">
        <f>IF(B53="FU-ACInstall",VLOOKUP(VALUE('web survey'!E51),ref!$B$10:$C$12,2,0)&amp;" ("&amp;'web survey'!E51&amp;")",VLOOKUP(VALUE('web survey'!E51),ref!$E$13:$F$17,2,0)&amp;" ("&amp;'web survey'!E51&amp;")")</f>
        <v>Very Good (10)</v>
      </c>
      <c r="G53" s="27" t="str">
        <f>'web survey'!T51</f>
        <v/>
      </c>
      <c r="H53" s="18" t="str">
        <f>IF(B53="FU-ACInstall",VLOOKUP(VALUE('web survey'!F51),ref!$B$15:$C$17,2,0)&amp;" ("&amp;'web survey'!F51&amp;")",VLOOKUP(VALUE('web survey'!F51),ref!$E$20:$F$21,2,0)&amp;" ("&amp;'web survey'!F51&amp;")")</f>
        <v>Appropriate with SAP / in Warranty (10)</v>
      </c>
      <c r="I53" s="27" t="str">
        <f>'web survey'!U51</f>
        <v/>
      </c>
      <c r="J53" s="18" t="str">
        <f>IF(B53="FU-ACInstall","-",VLOOKUP(VALUE('web survey'!G51),ref!$E$24:$F$26,2,0)&amp;" ("&amp;'web survey'!G51&amp;")")</f>
        <v>Jelas (5)</v>
      </c>
      <c r="K53" s="6" t="str">
        <f>YEAR('web survey'!Z51)&amp;"-"&amp;IF(MONTH('web survey'!Z51)&lt;10,"0"&amp;MONTH('web survey'!Z51),MONTH('web survey'!Z51))&amp;"-"&amp;IF(DAY('web survey'!Z51)&lt;10,"0"&amp;DAY('web survey'!Z51),DAY('web survey'!Z51))&amp;" "&amp;IF(HOUR('web survey'!Z51)&lt;10,"0"&amp;HOUR('web survey'!Z51),HOUR('web survey'!Z51))&amp;":"&amp;IF(MINUTE('web survey'!Z51)&lt;10,"0"&amp;MINUTE('web survey'!Z51),MINUTE('web survey'!Z51))&amp;(":00'")</f>
        <v>2024-08-21 15:27:00'</v>
      </c>
      <c r="L53" s="33"/>
      <c r="N53" s="35">
        <v>50</v>
      </c>
      <c r="O53" s="35" t="s">
        <v>63</v>
      </c>
      <c r="P53" s="37" t="s">
        <v>371</v>
      </c>
      <c r="Q53" s="39" t="s">
        <v>151</v>
      </c>
      <c r="R53" s="41" t="s">
        <v>46</v>
      </c>
      <c r="S53" s="39" t="s">
        <v>159</v>
      </c>
      <c r="T53" s="41" t="s">
        <v>46</v>
      </c>
      <c r="U53" s="39" t="s">
        <v>156</v>
      </c>
      <c r="V53" s="41" t="s">
        <v>46</v>
      </c>
      <c r="W53" s="39" t="s">
        <v>157</v>
      </c>
      <c r="X53" s="35" t="s">
        <v>370</v>
      </c>
    </row>
    <row r="54" spans="1:24" ht="28.2" customHeight="1" x14ac:dyDescent="0.3">
      <c r="A54" s="6">
        <f>IF(B54="","",ROW()-COUNTBLANK($B$4:B54)-3)</f>
        <v>51</v>
      </c>
      <c r="B54" s="6" t="str">
        <f>'web survey'!C52</f>
        <v>FU-Z1-Eng</v>
      </c>
      <c r="C54" s="29" t="str">
        <f>'web survey'!AA52</f>
        <v>1106A2406737</v>
      </c>
      <c r="D54" s="18" t="str">
        <f>IF(B54="FU-ACInstall",VLOOKUP(VALUE('web survey'!D52),ref!$B$6:$C$7,2,0)&amp;" ("&amp;'web survey'!D52&amp;")",VLOOKUP(VALUE('web survey'!D52),ref!$E$6:$F$10,2,0)&amp;" ("&amp;'web survey'!D52&amp;")")</f>
        <v>Good (10)</v>
      </c>
      <c r="E54" s="27" t="str">
        <f>'web survey'!S52</f>
        <v/>
      </c>
      <c r="F54" s="18" t="str">
        <f>IF(B54="FU-ACInstall",VLOOKUP(VALUE('web survey'!E52),ref!$B$10:$C$12,2,0)&amp;" ("&amp;'web survey'!E52&amp;")",VLOOKUP(VALUE('web survey'!E52),ref!$E$13:$F$17,2,0)&amp;" ("&amp;'web survey'!E52&amp;")")</f>
        <v>Very Good (10)</v>
      </c>
      <c r="G54" s="27" t="str">
        <f>'web survey'!T52</f>
        <v/>
      </c>
      <c r="H54" s="18" t="str">
        <f>IF(B54="FU-ACInstall",VLOOKUP(VALUE('web survey'!F52),ref!$B$15:$C$17,2,0)&amp;" ("&amp;'web survey'!F52&amp;")",VLOOKUP(VALUE('web survey'!F52),ref!$E$20:$F$21,2,0)&amp;" ("&amp;'web survey'!F52&amp;")")</f>
        <v>Appropriate with SAP / in Warranty (10)</v>
      </c>
      <c r="I54" s="27" t="str">
        <f>'web survey'!U52</f>
        <v/>
      </c>
      <c r="J54" s="18" t="str">
        <f>IF(B54="FU-ACInstall","-",VLOOKUP(VALUE('web survey'!G52),ref!$E$24:$F$26,2,0)&amp;" ("&amp;'web survey'!G52&amp;")")</f>
        <v>Jelas (5)</v>
      </c>
      <c r="K54" s="6" t="str">
        <f>YEAR('web survey'!Z52)&amp;"-"&amp;IF(MONTH('web survey'!Z52)&lt;10,"0"&amp;MONTH('web survey'!Z52),MONTH('web survey'!Z52))&amp;"-"&amp;IF(DAY('web survey'!Z52)&lt;10,"0"&amp;DAY('web survey'!Z52),DAY('web survey'!Z52))&amp;" "&amp;IF(HOUR('web survey'!Z52)&lt;10,"0"&amp;HOUR('web survey'!Z52),HOUR('web survey'!Z52))&amp;":"&amp;IF(MINUTE('web survey'!Z52)&lt;10,"0"&amp;MINUTE('web survey'!Z52),MINUTE('web survey'!Z52))&amp;(":00'")</f>
        <v>2024-08-21 15:24:00'</v>
      </c>
      <c r="L54" s="33"/>
      <c r="N54" s="35">
        <v>51</v>
      </c>
      <c r="O54" s="35" t="s">
        <v>63</v>
      </c>
      <c r="P54" s="37" t="s">
        <v>375</v>
      </c>
      <c r="Q54" s="39" t="s">
        <v>151</v>
      </c>
      <c r="R54" s="41" t="s">
        <v>46</v>
      </c>
      <c r="S54" s="39" t="s">
        <v>159</v>
      </c>
      <c r="T54" s="41" t="s">
        <v>46</v>
      </c>
      <c r="U54" s="39" t="s">
        <v>156</v>
      </c>
      <c r="V54" s="41" t="s">
        <v>46</v>
      </c>
      <c r="W54" s="39" t="s">
        <v>157</v>
      </c>
      <c r="X54" s="35" t="s">
        <v>374</v>
      </c>
    </row>
    <row r="55" spans="1:24" ht="28.2" customHeight="1" x14ac:dyDescent="0.3">
      <c r="A55" s="6">
        <f>IF(B55="","",ROW()-COUNTBLANK($B$4:B55)-3)</f>
        <v>52</v>
      </c>
      <c r="B55" s="6" t="str">
        <f>'web survey'!C53</f>
        <v>FU-Z1-Eng</v>
      </c>
      <c r="C55" s="29" t="str">
        <f>'web survey'!AA53</f>
        <v>203909099</v>
      </c>
      <c r="D55" s="18" t="str">
        <f>IF(B55="FU-ACInstall",VLOOKUP(VALUE('web survey'!D53),ref!$B$6:$C$7,2,0)&amp;" ("&amp;'web survey'!D53&amp;")",VLOOKUP(VALUE('web survey'!D53),ref!$E$6:$F$10,2,0)&amp;" ("&amp;'web survey'!D53&amp;")")</f>
        <v>Good (10)</v>
      </c>
      <c r="E55" s="27" t="str">
        <f>'web survey'!S53</f>
        <v/>
      </c>
      <c r="F55" s="18" t="str">
        <f>IF(B55="FU-ACInstall",VLOOKUP(VALUE('web survey'!E53),ref!$B$10:$C$12,2,0)&amp;" ("&amp;'web survey'!E53&amp;")",VLOOKUP(VALUE('web survey'!E53),ref!$E$13:$F$17,2,0)&amp;" ("&amp;'web survey'!E53&amp;")")</f>
        <v>Very Good (10)</v>
      </c>
      <c r="G55" s="27" t="str">
        <f>'web survey'!T53</f>
        <v/>
      </c>
      <c r="H55" s="18" t="str">
        <f>IF(B55="FU-ACInstall",VLOOKUP(VALUE('web survey'!F53),ref!$B$15:$C$17,2,0)&amp;" ("&amp;'web survey'!F53&amp;")",VLOOKUP(VALUE('web survey'!F53),ref!$E$20:$F$21,2,0)&amp;" ("&amp;'web survey'!F53&amp;")")</f>
        <v>Appropriate with SAP / in Warranty (10)</v>
      </c>
      <c r="I55" s="27" t="str">
        <f>'web survey'!U53</f>
        <v/>
      </c>
      <c r="J55" s="18" t="str">
        <f>IF(B55="FU-ACInstall","-",VLOOKUP(VALUE('web survey'!G53),ref!$E$24:$F$26,2,0)&amp;" ("&amp;'web survey'!G53&amp;")")</f>
        <v>Jelas (5)</v>
      </c>
      <c r="K55" s="6" t="str">
        <f>YEAR('web survey'!Z53)&amp;"-"&amp;IF(MONTH('web survey'!Z53)&lt;10,"0"&amp;MONTH('web survey'!Z53),MONTH('web survey'!Z53))&amp;"-"&amp;IF(DAY('web survey'!Z53)&lt;10,"0"&amp;DAY('web survey'!Z53),DAY('web survey'!Z53))&amp;" "&amp;IF(HOUR('web survey'!Z53)&lt;10,"0"&amp;HOUR('web survey'!Z53),HOUR('web survey'!Z53))&amp;":"&amp;IF(MINUTE('web survey'!Z53)&lt;10,"0"&amp;MINUTE('web survey'!Z53),MINUTE('web survey'!Z53))&amp;(":00'")</f>
        <v>2024-08-21 15:22:00'</v>
      </c>
      <c r="L55" s="33"/>
      <c r="N55" s="35">
        <v>52</v>
      </c>
      <c r="O55" s="35" t="s">
        <v>63</v>
      </c>
      <c r="P55" s="37" t="s">
        <v>379</v>
      </c>
      <c r="Q55" s="39" t="s">
        <v>151</v>
      </c>
      <c r="R55" s="41" t="s">
        <v>46</v>
      </c>
      <c r="S55" s="39" t="s">
        <v>159</v>
      </c>
      <c r="T55" s="41" t="s">
        <v>46</v>
      </c>
      <c r="U55" s="39" t="s">
        <v>156</v>
      </c>
      <c r="V55" s="41" t="s">
        <v>46</v>
      </c>
      <c r="W55" s="39" t="s">
        <v>157</v>
      </c>
      <c r="X55" s="35" t="s">
        <v>378</v>
      </c>
    </row>
    <row r="56" spans="1:24" ht="28.2" customHeight="1" x14ac:dyDescent="0.3">
      <c r="A56" s="6">
        <f>IF(B56="","",ROW()-COUNTBLANK($B$4:B56)-3)</f>
        <v>53</v>
      </c>
      <c r="B56" s="6" t="str">
        <f>'web survey'!C54</f>
        <v>FU-Z1-Eng</v>
      </c>
      <c r="C56" s="29" t="str">
        <f>'web survey'!AA54</f>
        <v>1917A2400287</v>
      </c>
      <c r="D56" s="18" t="str">
        <f>IF(B56="FU-ACInstall",VLOOKUP(VALUE('web survey'!D54),ref!$B$6:$C$7,2,0)&amp;" ("&amp;'web survey'!D54&amp;")",VLOOKUP(VALUE('web survey'!D54),ref!$E$6:$F$10,2,0)&amp;" ("&amp;'web survey'!D54&amp;")")</f>
        <v>Good (10)</v>
      </c>
      <c r="E56" s="27" t="str">
        <f>'web survey'!S54</f>
        <v/>
      </c>
      <c r="F56" s="18" t="str">
        <f>IF(B56="FU-ACInstall",VLOOKUP(VALUE('web survey'!E54),ref!$B$10:$C$12,2,0)&amp;" ("&amp;'web survey'!E54&amp;")",VLOOKUP(VALUE('web survey'!E54),ref!$E$13:$F$17,2,0)&amp;" ("&amp;'web survey'!E54&amp;")")</f>
        <v>Very Good (10)</v>
      </c>
      <c r="G56" s="27" t="str">
        <f>'web survey'!T54</f>
        <v/>
      </c>
      <c r="H56" s="18" t="str">
        <f>IF(B56="FU-ACInstall",VLOOKUP(VALUE('web survey'!F54),ref!$B$15:$C$17,2,0)&amp;" ("&amp;'web survey'!F54&amp;")",VLOOKUP(VALUE('web survey'!F54),ref!$E$20:$F$21,2,0)&amp;" ("&amp;'web survey'!F54&amp;")")</f>
        <v>Appropriate with SAP / in Warranty (10)</v>
      </c>
      <c r="I56" s="27" t="str">
        <f>'web survey'!U54</f>
        <v/>
      </c>
      <c r="J56" s="18" t="str">
        <f>IF(B56="FU-ACInstall","-",VLOOKUP(VALUE('web survey'!G54),ref!$E$24:$F$26,2,0)&amp;" ("&amp;'web survey'!G54&amp;")")</f>
        <v>Jelas (5)</v>
      </c>
      <c r="K56" s="6" t="str">
        <f>YEAR('web survey'!Z54)&amp;"-"&amp;IF(MONTH('web survey'!Z54)&lt;10,"0"&amp;MONTH('web survey'!Z54),MONTH('web survey'!Z54))&amp;"-"&amp;IF(DAY('web survey'!Z54)&lt;10,"0"&amp;DAY('web survey'!Z54),DAY('web survey'!Z54))&amp;" "&amp;IF(HOUR('web survey'!Z54)&lt;10,"0"&amp;HOUR('web survey'!Z54),HOUR('web survey'!Z54))&amp;":"&amp;IF(MINUTE('web survey'!Z54)&lt;10,"0"&amp;MINUTE('web survey'!Z54),MINUTE('web survey'!Z54))&amp;(":00'")</f>
        <v>2024-08-21 15:21:00'</v>
      </c>
      <c r="L56" s="33"/>
      <c r="N56" s="35">
        <v>53</v>
      </c>
      <c r="O56" s="35" t="s">
        <v>63</v>
      </c>
      <c r="P56" s="37" t="s">
        <v>383</v>
      </c>
      <c r="Q56" s="39" t="s">
        <v>151</v>
      </c>
      <c r="R56" s="41" t="s">
        <v>46</v>
      </c>
      <c r="S56" s="39" t="s">
        <v>159</v>
      </c>
      <c r="T56" s="41" t="s">
        <v>46</v>
      </c>
      <c r="U56" s="39" t="s">
        <v>156</v>
      </c>
      <c r="V56" s="41" t="s">
        <v>46</v>
      </c>
      <c r="W56" s="39" t="s">
        <v>157</v>
      </c>
      <c r="X56" s="35" t="s">
        <v>382</v>
      </c>
    </row>
    <row r="57" spans="1:24" ht="28.2" customHeight="1" x14ac:dyDescent="0.3">
      <c r="A57" s="6">
        <f>IF(B57="","",ROW()-COUNTBLANK($B$4:B57)-3)</f>
        <v>54</v>
      </c>
      <c r="B57" s="6" t="str">
        <f>'web survey'!C55</f>
        <v>FU-Z1-Eng</v>
      </c>
      <c r="C57" s="29" t="str">
        <f>'web survey'!AA55</f>
        <v>203907759</v>
      </c>
      <c r="D57" s="18" t="str">
        <f>IF(B57="FU-ACInstall",VLOOKUP(VALUE('web survey'!D55),ref!$B$6:$C$7,2,0)&amp;" ("&amp;'web survey'!D55&amp;")",VLOOKUP(VALUE('web survey'!D55),ref!$E$6:$F$10,2,0)&amp;" ("&amp;'web survey'!D55&amp;")")</f>
        <v>Good (10)</v>
      </c>
      <c r="E57" s="27" t="str">
        <f>'web survey'!S55</f>
        <v/>
      </c>
      <c r="F57" s="18" t="str">
        <f>IF(B57="FU-ACInstall",VLOOKUP(VALUE('web survey'!E55),ref!$B$10:$C$12,2,0)&amp;" ("&amp;'web survey'!E55&amp;")",VLOOKUP(VALUE('web survey'!E55),ref!$E$13:$F$17,2,0)&amp;" ("&amp;'web survey'!E55&amp;")")</f>
        <v>Good (5)</v>
      </c>
      <c r="G57" s="27" t="str">
        <f>'web survey'!T55</f>
        <v/>
      </c>
      <c r="H57" s="18" t="str">
        <f>IF(B57="FU-ACInstall",VLOOKUP(VALUE('web survey'!F55),ref!$B$15:$C$17,2,0)&amp;" ("&amp;'web survey'!F55&amp;")",VLOOKUP(VALUE('web survey'!F55),ref!$E$20:$F$21,2,0)&amp;" ("&amp;'web survey'!F55&amp;")")</f>
        <v>Appropriate with SAP / in Warranty (10)</v>
      </c>
      <c r="I57" s="27" t="str">
        <f>'web survey'!U55</f>
        <v/>
      </c>
      <c r="J57" s="18" t="str">
        <f>IF(B57="FU-ACInstall","-",VLOOKUP(VALUE('web survey'!G55),ref!$E$24:$F$26,2,0)&amp;" ("&amp;'web survey'!G55&amp;")")</f>
        <v>Jelas (5)</v>
      </c>
      <c r="K57" s="6" t="str">
        <f>YEAR('web survey'!Z55)&amp;"-"&amp;IF(MONTH('web survey'!Z55)&lt;10,"0"&amp;MONTH('web survey'!Z55),MONTH('web survey'!Z55))&amp;"-"&amp;IF(DAY('web survey'!Z55)&lt;10,"0"&amp;DAY('web survey'!Z55),DAY('web survey'!Z55))&amp;" "&amp;IF(HOUR('web survey'!Z55)&lt;10,"0"&amp;HOUR('web survey'!Z55),HOUR('web survey'!Z55))&amp;":"&amp;IF(MINUTE('web survey'!Z55)&lt;10,"0"&amp;MINUTE('web survey'!Z55),MINUTE('web survey'!Z55))&amp;(":00'")</f>
        <v>2024-08-21 15:21:00'</v>
      </c>
      <c r="L57" s="33"/>
      <c r="N57" s="35">
        <v>54</v>
      </c>
      <c r="O57" s="35" t="s">
        <v>63</v>
      </c>
      <c r="P57" s="37" t="s">
        <v>387</v>
      </c>
      <c r="Q57" s="39" t="s">
        <v>151</v>
      </c>
      <c r="R57" s="41" t="s">
        <v>46</v>
      </c>
      <c r="S57" s="39" t="s">
        <v>155</v>
      </c>
      <c r="T57" s="41" t="s">
        <v>46</v>
      </c>
      <c r="U57" s="39" t="s">
        <v>156</v>
      </c>
      <c r="V57" s="41" t="s">
        <v>46</v>
      </c>
      <c r="W57" s="39" t="s">
        <v>157</v>
      </c>
      <c r="X57" s="35" t="s">
        <v>382</v>
      </c>
    </row>
    <row r="58" spans="1:24" ht="28.2" customHeight="1" x14ac:dyDescent="0.3">
      <c r="A58" s="6">
        <f>IF(B58="","",ROW()-COUNTBLANK($B$4:B58)-3)</f>
        <v>55</v>
      </c>
      <c r="B58" s="6" t="str">
        <f>'web survey'!C56</f>
        <v>FU-Z1-Eng</v>
      </c>
      <c r="C58" s="29" t="str">
        <f>'web survey'!AA56</f>
        <v>1106A2406900</v>
      </c>
      <c r="D58" s="18" t="str">
        <f>IF(B58="FU-ACInstall",VLOOKUP(VALUE('web survey'!D56),ref!$B$6:$C$7,2,0)&amp;" ("&amp;'web survey'!D56&amp;")",VLOOKUP(VALUE('web survey'!D56),ref!$E$6:$F$10,2,0)&amp;" ("&amp;'web survey'!D56&amp;")")</f>
        <v>Good (10)</v>
      </c>
      <c r="E58" s="27" t="str">
        <f>'web survey'!S56</f>
        <v/>
      </c>
      <c r="F58" s="18" t="str">
        <f>IF(B58="FU-ACInstall",VLOOKUP(VALUE('web survey'!E56),ref!$B$10:$C$12,2,0)&amp;" ("&amp;'web survey'!E56&amp;")",VLOOKUP(VALUE('web survey'!E56),ref!$E$13:$F$17,2,0)&amp;" ("&amp;'web survey'!E56&amp;")")</f>
        <v>Good (5)</v>
      </c>
      <c r="G58" s="27" t="str">
        <f>'web survey'!T56</f>
        <v/>
      </c>
      <c r="H58" s="18" t="str">
        <f>IF(B58="FU-ACInstall",VLOOKUP(VALUE('web survey'!F56),ref!$B$15:$C$17,2,0)&amp;" ("&amp;'web survey'!F56&amp;")",VLOOKUP(VALUE('web survey'!F56),ref!$E$20:$F$21,2,0)&amp;" ("&amp;'web survey'!F56&amp;")")</f>
        <v>Appropriate with SAP / in Warranty (10)</v>
      </c>
      <c r="I58" s="27" t="str">
        <f>'web survey'!U56</f>
        <v/>
      </c>
      <c r="J58" s="18" t="str">
        <f>IF(B58="FU-ACInstall","-",VLOOKUP(VALUE('web survey'!G56),ref!$E$24:$F$26,2,0)&amp;" ("&amp;'web survey'!G56&amp;")")</f>
        <v>Jelas (5)</v>
      </c>
      <c r="K58" s="6" t="str">
        <f>YEAR('web survey'!Z56)&amp;"-"&amp;IF(MONTH('web survey'!Z56)&lt;10,"0"&amp;MONTH('web survey'!Z56),MONTH('web survey'!Z56))&amp;"-"&amp;IF(DAY('web survey'!Z56)&lt;10,"0"&amp;DAY('web survey'!Z56),DAY('web survey'!Z56))&amp;" "&amp;IF(HOUR('web survey'!Z56)&lt;10,"0"&amp;HOUR('web survey'!Z56),HOUR('web survey'!Z56))&amp;":"&amp;IF(MINUTE('web survey'!Z56)&lt;10,"0"&amp;MINUTE('web survey'!Z56),MINUTE('web survey'!Z56))&amp;(":00'")</f>
        <v>2024-08-21 15:20:00'</v>
      </c>
      <c r="L58" s="33"/>
      <c r="N58" s="35">
        <v>55</v>
      </c>
      <c r="O58" s="35" t="s">
        <v>63</v>
      </c>
      <c r="P58" s="37" t="s">
        <v>391</v>
      </c>
      <c r="Q58" s="39" t="s">
        <v>151</v>
      </c>
      <c r="R58" s="41" t="s">
        <v>46</v>
      </c>
      <c r="S58" s="39" t="s">
        <v>155</v>
      </c>
      <c r="T58" s="41" t="s">
        <v>46</v>
      </c>
      <c r="U58" s="39" t="s">
        <v>156</v>
      </c>
      <c r="V58" s="41" t="s">
        <v>46</v>
      </c>
      <c r="W58" s="39" t="s">
        <v>157</v>
      </c>
      <c r="X58" s="35" t="s">
        <v>390</v>
      </c>
    </row>
    <row r="59" spans="1:24" ht="28.2" customHeight="1" x14ac:dyDescent="0.3">
      <c r="A59" s="6">
        <f>IF(B59="","",ROW()-COUNTBLANK($B$4:B59)-3)</f>
        <v>56</v>
      </c>
      <c r="B59" s="6" t="str">
        <f>'web survey'!C57</f>
        <v>FU-Z1-Eng</v>
      </c>
      <c r="C59" s="29" t="str">
        <f>'web survey'!AA57</f>
        <v>203909111</v>
      </c>
      <c r="D59" s="18" t="str">
        <f>IF(B59="FU-ACInstall",VLOOKUP(VALUE('web survey'!D57),ref!$B$6:$C$7,2,0)&amp;" ("&amp;'web survey'!D57&amp;")",VLOOKUP(VALUE('web survey'!D57),ref!$E$6:$F$10,2,0)&amp;" ("&amp;'web survey'!D57&amp;")")</f>
        <v>Good (10)</v>
      </c>
      <c r="E59" s="27" t="str">
        <f>'web survey'!S57</f>
        <v/>
      </c>
      <c r="F59" s="18" t="str">
        <f>IF(B59="FU-ACInstall",VLOOKUP(VALUE('web survey'!E57),ref!$B$10:$C$12,2,0)&amp;" ("&amp;'web survey'!E57&amp;")",VLOOKUP(VALUE('web survey'!E57),ref!$E$13:$F$17,2,0)&amp;" ("&amp;'web survey'!E57&amp;")")</f>
        <v>Very Good (10)</v>
      </c>
      <c r="G59" s="27" t="str">
        <f>'web survey'!T57</f>
        <v/>
      </c>
      <c r="H59" s="18" t="str">
        <f>IF(B59="FU-ACInstall",VLOOKUP(VALUE('web survey'!F57),ref!$B$15:$C$17,2,0)&amp;" ("&amp;'web survey'!F57&amp;")",VLOOKUP(VALUE('web survey'!F57),ref!$E$20:$F$21,2,0)&amp;" ("&amp;'web survey'!F57&amp;")")</f>
        <v>Appropriate with SAP / in Warranty (10)</v>
      </c>
      <c r="I59" s="27" t="str">
        <f>'web survey'!U57</f>
        <v/>
      </c>
      <c r="J59" s="18" t="str">
        <f>IF(B59="FU-ACInstall","-",VLOOKUP(VALUE('web survey'!G57),ref!$E$24:$F$26,2,0)&amp;" ("&amp;'web survey'!G57&amp;")")</f>
        <v>Jelas (5)</v>
      </c>
      <c r="K59" s="6" t="str">
        <f>YEAR('web survey'!Z57)&amp;"-"&amp;IF(MONTH('web survey'!Z57)&lt;10,"0"&amp;MONTH('web survey'!Z57),MONTH('web survey'!Z57))&amp;"-"&amp;IF(DAY('web survey'!Z57)&lt;10,"0"&amp;DAY('web survey'!Z57),DAY('web survey'!Z57))&amp;" "&amp;IF(HOUR('web survey'!Z57)&lt;10,"0"&amp;HOUR('web survey'!Z57),HOUR('web survey'!Z57))&amp;":"&amp;IF(MINUTE('web survey'!Z57)&lt;10,"0"&amp;MINUTE('web survey'!Z57),MINUTE('web survey'!Z57))&amp;(":00'")</f>
        <v>2024-08-21 15:20:00'</v>
      </c>
      <c r="L59" s="33"/>
      <c r="N59" s="35">
        <v>56</v>
      </c>
      <c r="O59" s="35" t="s">
        <v>63</v>
      </c>
      <c r="P59" s="37" t="s">
        <v>395</v>
      </c>
      <c r="Q59" s="39" t="s">
        <v>151</v>
      </c>
      <c r="R59" s="41" t="s">
        <v>46</v>
      </c>
      <c r="S59" s="39" t="s">
        <v>159</v>
      </c>
      <c r="T59" s="41" t="s">
        <v>46</v>
      </c>
      <c r="U59" s="39" t="s">
        <v>156</v>
      </c>
      <c r="V59" s="41" t="s">
        <v>46</v>
      </c>
      <c r="W59" s="39" t="s">
        <v>157</v>
      </c>
      <c r="X59" s="35" t="s">
        <v>390</v>
      </c>
    </row>
    <row r="60" spans="1:24" ht="28.2" customHeight="1" x14ac:dyDescent="0.3">
      <c r="A60" s="6">
        <f>IF(B60="","",ROW()-COUNTBLANK($B$4:B60)-3)</f>
        <v>57</v>
      </c>
      <c r="B60" s="6" t="str">
        <f>'web survey'!C58</f>
        <v>FU-Z1-Eng</v>
      </c>
      <c r="C60" s="29" t="str">
        <f>'web survey'!AA58</f>
        <v>1106A2406778</v>
      </c>
      <c r="D60" s="18" t="str">
        <f>IF(B60="FU-ACInstall",VLOOKUP(VALUE('web survey'!D58),ref!$B$6:$C$7,2,0)&amp;" ("&amp;'web survey'!D58&amp;")",VLOOKUP(VALUE('web survey'!D58),ref!$E$6:$F$10,2,0)&amp;" ("&amp;'web survey'!D58&amp;")")</f>
        <v>Good (10)</v>
      </c>
      <c r="E60" s="27" t="str">
        <f>'web survey'!S58</f>
        <v/>
      </c>
      <c r="F60" s="18" t="str">
        <f>IF(B60="FU-ACInstall",VLOOKUP(VALUE('web survey'!E58),ref!$B$10:$C$12,2,0)&amp;" ("&amp;'web survey'!E58&amp;")",VLOOKUP(VALUE('web survey'!E58),ref!$E$13:$F$17,2,0)&amp;" ("&amp;'web survey'!E58&amp;")")</f>
        <v>Very Good (10)</v>
      </c>
      <c r="G60" s="27" t="str">
        <f>'web survey'!T58</f>
        <v/>
      </c>
      <c r="H60" s="18" t="str">
        <f>IF(B60="FU-ACInstall",VLOOKUP(VALUE('web survey'!F58),ref!$B$15:$C$17,2,0)&amp;" ("&amp;'web survey'!F58&amp;")",VLOOKUP(VALUE('web survey'!F58),ref!$E$20:$F$21,2,0)&amp;" ("&amp;'web survey'!F58&amp;")")</f>
        <v>Appropriate with SAP / in Warranty (10)</v>
      </c>
      <c r="I60" s="27" t="str">
        <f>'web survey'!U58</f>
        <v/>
      </c>
      <c r="J60" s="18" t="str">
        <f>IF(B60="FU-ACInstall","-",VLOOKUP(VALUE('web survey'!G58),ref!$E$24:$F$26,2,0)&amp;" ("&amp;'web survey'!G58&amp;")")</f>
        <v>Jelas (5)</v>
      </c>
      <c r="K60" s="6" t="str">
        <f>YEAR('web survey'!Z58)&amp;"-"&amp;IF(MONTH('web survey'!Z58)&lt;10,"0"&amp;MONTH('web survey'!Z58),MONTH('web survey'!Z58))&amp;"-"&amp;IF(DAY('web survey'!Z58)&lt;10,"0"&amp;DAY('web survey'!Z58),DAY('web survey'!Z58))&amp;" "&amp;IF(HOUR('web survey'!Z58)&lt;10,"0"&amp;HOUR('web survey'!Z58),HOUR('web survey'!Z58))&amp;":"&amp;IF(MINUTE('web survey'!Z58)&lt;10,"0"&amp;MINUTE('web survey'!Z58),MINUTE('web survey'!Z58))&amp;(":00'")</f>
        <v>2024-08-21 15:17:00'</v>
      </c>
      <c r="L60" s="33"/>
      <c r="N60" s="35">
        <v>57</v>
      </c>
      <c r="O60" s="35" t="s">
        <v>63</v>
      </c>
      <c r="P60" s="37" t="s">
        <v>399</v>
      </c>
      <c r="Q60" s="39" t="s">
        <v>151</v>
      </c>
      <c r="R60" s="41" t="s">
        <v>46</v>
      </c>
      <c r="S60" s="39" t="s">
        <v>159</v>
      </c>
      <c r="T60" s="41" t="s">
        <v>46</v>
      </c>
      <c r="U60" s="39" t="s">
        <v>156</v>
      </c>
      <c r="V60" s="41" t="s">
        <v>46</v>
      </c>
      <c r="W60" s="39" t="s">
        <v>157</v>
      </c>
      <c r="X60" s="35" t="s">
        <v>398</v>
      </c>
    </row>
    <row r="61" spans="1:24" ht="28.2" customHeight="1" x14ac:dyDescent="0.3">
      <c r="A61" s="6">
        <f>IF(B61="","",ROW()-COUNTBLANK($B$4:B61)-3)</f>
        <v>58</v>
      </c>
      <c r="B61" s="6" t="str">
        <f>'web survey'!C59</f>
        <v>FU-Z1-Eng</v>
      </c>
      <c r="C61" s="29" t="str">
        <f>'web survey'!AA59</f>
        <v>203778516</v>
      </c>
      <c r="D61" s="18" t="str">
        <f>IF(B61="FU-ACInstall",VLOOKUP(VALUE('web survey'!D59),ref!$B$6:$C$7,2,0)&amp;" ("&amp;'web survey'!D59&amp;")",VLOOKUP(VALUE('web survey'!D59),ref!$E$6:$F$10,2,0)&amp;" ("&amp;'web survey'!D59&amp;")")</f>
        <v>Not Good (-10)</v>
      </c>
      <c r="E61" s="27" t="str">
        <f>'web survey'!S59</f>
        <v/>
      </c>
      <c r="F61" s="18" t="str">
        <f>IF(B61="FU-ACInstall",VLOOKUP(VALUE('web survey'!E59),ref!$B$10:$C$12,2,0)&amp;" ("&amp;'web survey'!E59&amp;")",VLOOKUP(VALUE('web survey'!E59),ref!$E$13:$F$17,2,0)&amp;" ("&amp;'web survey'!E59&amp;")")</f>
        <v>Average (3)</v>
      </c>
      <c r="G61" s="27" t="str">
        <f>'web survey'!T59</f>
        <v/>
      </c>
      <c r="H61" s="18" t="str">
        <f>IF(B61="FU-ACInstall",VLOOKUP(VALUE('web survey'!F59),ref!$B$15:$C$17,2,0)&amp;" ("&amp;'web survey'!F59&amp;")",VLOOKUP(VALUE('web survey'!F59),ref!$E$20:$F$21,2,0)&amp;" ("&amp;'web survey'!F59&amp;")")</f>
        <v>Different with SAP (-10)</v>
      </c>
      <c r="I61" s="27" t="str">
        <f>'web survey'!U59</f>
        <v/>
      </c>
      <c r="J61" s="18" t="str">
        <f>IF(B61="FU-ACInstall","-",VLOOKUP(VALUE('web survey'!G59),ref!$E$24:$F$26,2,0)&amp;" ("&amp;'web survey'!G59&amp;")")</f>
        <v>Kurang jelas (3)</v>
      </c>
      <c r="K61" s="6" t="str">
        <f>YEAR('web survey'!Z59)&amp;"-"&amp;IF(MONTH('web survey'!Z59)&lt;10,"0"&amp;MONTH('web survey'!Z59),MONTH('web survey'!Z59))&amp;"-"&amp;IF(DAY('web survey'!Z59)&lt;10,"0"&amp;DAY('web survey'!Z59),DAY('web survey'!Z59))&amp;" "&amp;IF(HOUR('web survey'!Z59)&lt;10,"0"&amp;HOUR('web survey'!Z59),HOUR('web survey'!Z59))&amp;":"&amp;IF(MINUTE('web survey'!Z59)&lt;10,"0"&amp;MINUTE('web survey'!Z59),MINUTE('web survey'!Z59))&amp;(":00'")</f>
        <v>2024-08-21 15:15:00'</v>
      </c>
      <c r="L61" s="33"/>
      <c r="N61" s="35">
        <v>58</v>
      </c>
      <c r="O61" s="35" t="s">
        <v>63</v>
      </c>
      <c r="P61" s="37" t="s">
        <v>403</v>
      </c>
      <c r="Q61" s="39" t="s">
        <v>162</v>
      </c>
      <c r="R61" s="41" t="s">
        <v>46</v>
      </c>
      <c r="S61" s="39" t="s">
        <v>158</v>
      </c>
      <c r="T61" s="41" t="s">
        <v>46</v>
      </c>
      <c r="U61" s="39" t="s">
        <v>160</v>
      </c>
      <c r="V61" s="41" t="s">
        <v>46</v>
      </c>
      <c r="W61" s="39" t="s">
        <v>163</v>
      </c>
      <c r="X61" s="35" t="s">
        <v>402</v>
      </c>
    </row>
    <row r="62" spans="1:24" ht="28.2" customHeight="1" x14ac:dyDescent="0.3">
      <c r="A62" s="6">
        <f>IF(B62="","",ROW()-COUNTBLANK($B$4:B62)-3)</f>
        <v>59</v>
      </c>
      <c r="B62" s="6" t="str">
        <f>'web survey'!C60</f>
        <v>FU-Z1-Eng</v>
      </c>
      <c r="C62" s="29" t="str">
        <f>'web survey'!AA60</f>
        <v>203909525</v>
      </c>
      <c r="D62" s="18" t="str">
        <f>IF(B62="FU-ACInstall",VLOOKUP(VALUE('web survey'!D60),ref!$B$6:$C$7,2,0)&amp;" ("&amp;'web survey'!D60&amp;")",VLOOKUP(VALUE('web survey'!D60),ref!$E$6:$F$10,2,0)&amp;" ("&amp;'web survey'!D60&amp;")")</f>
        <v>Good (10)</v>
      </c>
      <c r="E62" s="27" t="str">
        <f>'web survey'!S60</f>
        <v/>
      </c>
      <c r="F62" s="18" t="str">
        <f>IF(B62="FU-ACInstall",VLOOKUP(VALUE('web survey'!E60),ref!$B$10:$C$12,2,0)&amp;" ("&amp;'web survey'!E60&amp;")",VLOOKUP(VALUE('web survey'!E60),ref!$E$13:$F$17,2,0)&amp;" ("&amp;'web survey'!E60&amp;")")</f>
        <v>Good (5)</v>
      </c>
      <c r="G62" s="27" t="str">
        <f>'web survey'!T60</f>
        <v/>
      </c>
      <c r="H62" s="18" t="str">
        <f>IF(B62="FU-ACInstall",VLOOKUP(VALUE('web survey'!F60),ref!$B$15:$C$17,2,0)&amp;" ("&amp;'web survey'!F60&amp;")",VLOOKUP(VALUE('web survey'!F60),ref!$E$20:$F$21,2,0)&amp;" ("&amp;'web survey'!F60&amp;")")</f>
        <v>Appropriate with SAP / in Warranty (10)</v>
      </c>
      <c r="I62" s="27" t="str">
        <f>'web survey'!U60</f>
        <v/>
      </c>
      <c r="J62" s="18" t="str">
        <f>IF(B62="FU-ACInstall","-",VLOOKUP(VALUE('web survey'!G60),ref!$E$24:$F$26,2,0)&amp;" ("&amp;'web survey'!G60&amp;")")</f>
        <v>Jelas (5)</v>
      </c>
      <c r="K62" s="6" t="str">
        <f>YEAR('web survey'!Z60)&amp;"-"&amp;IF(MONTH('web survey'!Z60)&lt;10,"0"&amp;MONTH('web survey'!Z60),MONTH('web survey'!Z60))&amp;"-"&amp;IF(DAY('web survey'!Z60)&lt;10,"0"&amp;DAY('web survey'!Z60),DAY('web survey'!Z60))&amp;" "&amp;IF(HOUR('web survey'!Z60)&lt;10,"0"&amp;HOUR('web survey'!Z60),HOUR('web survey'!Z60))&amp;":"&amp;IF(MINUTE('web survey'!Z60)&lt;10,"0"&amp;MINUTE('web survey'!Z60),MINUTE('web survey'!Z60))&amp;(":00'")</f>
        <v>2024-08-21 15:15:00'</v>
      </c>
      <c r="L62" s="33"/>
      <c r="N62" s="35">
        <v>59</v>
      </c>
      <c r="O62" s="35" t="s">
        <v>63</v>
      </c>
      <c r="P62" s="37" t="s">
        <v>406</v>
      </c>
      <c r="Q62" s="39" t="s">
        <v>151</v>
      </c>
      <c r="R62" s="41" t="s">
        <v>46</v>
      </c>
      <c r="S62" s="39" t="s">
        <v>155</v>
      </c>
      <c r="T62" s="41" t="s">
        <v>46</v>
      </c>
      <c r="U62" s="39" t="s">
        <v>156</v>
      </c>
      <c r="V62" s="41" t="s">
        <v>46</v>
      </c>
      <c r="W62" s="39" t="s">
        <v>157</v>
      </c>
      <c r="X62" s="35" t="s">
        <v>402</v>
      </c>
    </row>
    <row r="63" spans="1:24" ht="28.2" customHeight="1" x14ac:dyDescent="0.3">
      <c r="A63" s="6">
        <f>IF(B63="","",ROW()-COUNTBLANK($B$4:B63)-3)</f>
        <v>60</v>
      </c>
      <c r="B63" s="6" t="str">
        <f>'web survey'!C61</f>
        <v>FU-Z1-Eng</v>
      </c>
      <c r="C63" s="29" t="str">
        <f>'web survey'!AA61</f>
        <v>100893639</v>
      </c>
      <c r="D63" s="18" t="str">
        <f>IF(B63="FU-ACInstall",VLOOKUP(VALUE('web survey'!D61),ref!$B$6:$C$7,2,0)&amp;" ("&amp;'web survey'!D61&amp;")",VLOOKUP(VALUE('web survey'!D61),ref!$E$6:$F$10,2,0)&amp;" ("&amp;'web survey'!D61&amp;")")</f>
        <v>Good (10)</v>
      </c>
      <c r="E63" s="27" t="str">
        <f>'web survey'!S61</f>
        <v/>
      </c>
      <c r="F63" s="18" t="str">
        <f>IF(B63="FU-ACInstall",VLOOKUP(VALUE('web survey'!E61),ref!$B$10:$C$12,2,0)&amp;" ("&amp;'web survey'!E61&amp;")",VLOOKUP(VALUE('web survey'!E61),ref!$E$13:$F$17,2,0)&amp;" ("&amp;'web survey'!E61&amp;")")</f>
        <v>Very Good (10)</v>
      </c>
      <c r="G63" s="27" t="str">
        <f>'web survey'!T61</f>
        <v/>
      </c>
      <c r="H63" s="18" t="str">
        <f>IF(B63="FU-ACInstall",VLOOKUP(VALUE('web survey'!F61),ref!$B$15:$C$17,2,0)&amp;" ("&amp;'web survey'!F61&amp;")",VLOOKUP(VALUE('web survey'!F61),ref!$E$20:$F$21,2,0)&amp;" ("&amp;'web survey'!F61&amp;")")</f>
        <v>Appropriate with SAP / in Warranty (10)</v>
      </c>
      <c r="I63" s="27" t="str">
        <f>'web survey'!U61</f>
        <v/>
      </c>
      <c r="J63" s="18" t="str">
        <f>IF(B63="FU-ACInstall","-",VLOOKUP(VALUE('web survey'!G61),ref!$E$24:$F$26,2,0)&amp;" ("&amp;'web survey'!G61&amp;")")</f>
        <v>Jelas (5)</v>
      </c>
      <c r="K63" s="6" t="str">
        <f>YEAR('web survey'!Z61)&amp;"-"&amp;IF(MONTH('web survey'!Z61)&lt;10,"0"&amp;MONTH('web survey'!Z61),MONTH('web survey'!Z61))&amp;"-"&amp;IF(DAY('web survey'!Z61)&lt;10,"0"&amp;DAY('web survey'!Z61),DAY('web survey'!Z61))&amp;" "&amp;IF(HOUR('web survey'!Z61)&lt;10,"0"&amp;HOUR('web survey'!Z61),HOUR('web survey'!Z61))&amp;":"&amp;IF(MINUTE('web survey'!Z61)&lt;10,"0"&amp;MINUTE('web survey'!Z61),MINUTE('web survey'!Z61))&amp;(":00'")</f>
        <v>2024-08-21 15:15:00'</v>
      </c>
      <c r="L63" s="33"/>
      <c r="N63" s="35">
        <v>60</v>
      </c>
      <c r="O63" s="35" t="s">
        <v>63</v>
      </c>
      <c r="P63" s="37" t="s">
        <v>410</v>
      </c>
      <c r="Q63" s="39" t="s">
        <v>151</v>
      </c>
      <c r="R63" s="41" t="s">
        <v>46</v>
      </c>
      <c r="S63" s="39" t="s">
        <v>159</v>
      </c>
      <c r="T63" s="41" t="s">
        <v>46</v>
      </c>
      <c r="U63" s="39" t="s">
        <v>156</v>
      </c>
      <c r="V63" s="41" t="s">
        <v>46</v>
      </c>
      <c r="W63" s="39" t="s">
        <v>157</v>
      </c>
      <c r="X63" s="35" t="s">
        <v>402</v>
      </c>
    </row>
    <row r="64" spans="1:24" ht="28.2" customHeight="1" x14ac:dyDescent="0.3">
      <c r="A64" s="6">
        <f>IF(B64="","",ROW()-COUNTBLANK($B$4:B64)-3)</f>
        <v>61</v>
      </c>
      <c r="B64" s="6" t="str">
        <f>'web survey'!C62</f>
        <v>FU-Z1-Eng</v>
      </c>
      <c r="C64" s="29" t="str">
        <f>'web survey'!AA62</f>
        <v>203907152</v>
      </c>
      <c r="D64" s="18" t="str">
        <f>IF(B64="FU-ACInstall",VLOOKUP(VALUE('web survey'!D62),ref!$B$6:$C$7,2,0)&amp;" ("&amp;'web survey'!D62&amp;")",VLOOKUP(VALUE('web survey'!D62),ref!$E$6:$F$10,2,0)&amp;" ("&amp;'web survey'!D62&amp;")")</f>
        <v>Good (10)</v>
      </c>
      <c r="E64" s="27" t="str">
        <f>'web survey'!S62</f>
        <v/>
      </c>
      <c r="F64" s="18" t="str">
        <f>IF(B64="FU-ACInstall",VLOOKUP(VALUE('web survey'!E62),ref!$B$10:$C$12,2,0)&amp;" ("&amp;'web survey'!E62&amp;")",VLOOKUP(VALUE('web survey'!E62),ref!$E$13:$F$17,2,0)&amp;" ("&amp;'web survey'!E62&amp;")")</f>
        <v>Good (5)</v>
      </c>
      <c r="G64" s="27" t="str">
        <f>'web survey'!T62</f>
        <v/>
      </c>
      <c r="H64" s="18" t="str">
        <f>IF(B64="FU-ACInstall",VLOOKUP(VALUE('web survey'!F62),ref!$B$15:$C$17,2,0)&amp;" ("&amp;'web survey'!F62&amp;")",VLOOKUP(VALUE('web survey'!F62),ref!$E$20:$F$21,2,0)&amp;" ("&amp;'web survey'!F62&amp;")")</f>
        <v>Appropriate with SAP / in Warranty (10)</v>
      </c>
      <c r="I64" s="27" t="str">
        <f>'web survey'!U62</f>
        <v/>
      </c>
      <c r="J64" s="18" t="str">
        <f>IF(B64="FU-ACInstall","-",VLOOKUP(VALUE('web survey'!G62),ref!$E$24:$F$26,2,0)&amp;" ("&amp;'web survey'!G62&amp;")")</f>
        <v>Jelas (5)</v>
      </c>
      <c r="K64" s="6" t="str">
        <f>YEAR('web survey'!Z62)&amp;"-"&amp;IF(MONTH('web survey'!Z62)&lt;10,"0"&amp;MONTH('web survey'!Z62),MONTH('web survey'!Z62))&amp;"-"&amp;IF(DAY('web survey'!Z62)&lt;10,"0"&amp;DAY('web survey'!Z62),DAY('web survey'!Z62))&amp;" "&amp;IF(HOUR('web survey'!Z62)&lt;10,"0"&amp;HOUR('web survey'!Z62),HOUR('web survey'!Z62))&amp;":"&amp;IF(MINUTE('web survey'!Z62)&lt;10,"0"&amp;MINUTE('web survey'!Z62),MINUTE('web survey'!Z62))&amp;(":00'")</f>
        <v>2024-08-21 15:14:00'</v>
      </c>
      <c r="L64" s="33"/>
      <c r="N64" s="35">
        <v>61</v>
      </c>
      <c r="O64" s="35" t="s">
        <v>63</v>
      </c>
      <c r="P64" s="37" t="s">
        <v>414</v>
      </c>
      <c r="Q64" s="39" t="s">
        <v>151</v>
      </c>
      <c r="R64" s="41" t="s">
        <v>46</v>
      </c>
      <c r="S64" s="39" t="s">
        <v>155</v>
      </c>
      <c r="T64" s="41" t="s">
        <v>46</v>
      </c>
      <c r="U64" s="39" t="s">
        <v>156</v>
      </c>
      <c r="V64" s="41" t="s">
        <v>46</v>
      </c>
      <c r="W64" s="39" t="s">
        <v>157</v>
      </c>
      <c r="X64" s="35" t="s">
        <v>413</v>
      </c>
    </row>
    <row r="65" spans="1:24" ht="28.2" customHeight="1" x14ac:dyDescent="0.3">
      <c r="A65" s="6">
        <f>IF(B65="","",ROW()-COUNTBLANK($B$4:B65)-3)</f>
        <v>62</v>
      </c>
      <c r="B65" s="6" t="str">
        <f>'web survey'!C63</f>
        <v>FU-Z1-Eng</v>
      </c>
      <c r="C65" s="29" t="str">
        <f>'web survey'!AA63</f>
        <v>203907272</v>
      </c>
      <c r="D65" s="18" t="str">
        <f>IF(B65="FU-ACInstall",VLOOKUP(VALUE('web survey'!D63),ref!$B$6:$C$7,2,0)&amp;" ("&amp;'web survey'!D63&amp;")",VLOOKUP(VALUE('web survey'!D63),ref!$E$6:$F$10,2,0)&amp;" ("&amp;'web survey'!D63&amp;")")</f>
        <v>Not Good (-10)</v>
      </c>
      <c r="E65" s="27" t="str">
        <f>'web survey'!S63</f>
        <v>Gak jelas</v>
      </c>
      <c r="F65" s="18" t="str">
        <f>IF(B65="FU-ACInstall",VLOOKUP(VALUE('web survey'!E63),ref!$B$10:$C$12,2,0)&amp;" ("&amp;'web survey'!E63&amp;")",VLOOKUP(VALUE('web survey'!E63),ref!$E$13:$F$17,2,0)&amp;" ("&amp;'web survey'!E63&amp;")")</f>
        <v>Average (3)</v>
      </c>
      <c r="G65" s="27" t="str">
        <f>'web survey'!T63</f>
        <v/>
      </c>
      <c r="H65" s="18" t="str">
        <f>IF(B65="FU-ACInstall",VLOOKUP(VALUE('web survey'!F63),ref!$B$15:$C$17,2,0)&amp;" ("&amp;'web survey'!F63&amp;")",VLOOKUP(VALUE('web survey'!F63),ref!$E$20:$F$21,2,0)&amp;" ("&amp;'web survey'!F63&amp;")")</f>
        <v>Different with SAP (-10)</v>
      </c>
      <c r="I65" s="27" t="str">
        <f>'web survey'!U63</f>
        <v/>
      </c>
      <c r="J65" s="18" t="str">
        <f>IF(B65="FU-ACInstall","-",VLOOKUP(VALUE('web survey'!G63),ref!$E$24:$F$26,2,0)&amp;" ("&amp;'web survey'!G63&amp;")")</f>
        <v>Kurang jelas (3)</v>
      </c>
      <c r="K65" s="6" t="str">
        <f>YEAR('web survey'!Z63)&amp;"-"&amp;IF(MONTH('web survey'!Z63)&lt;10,"0"&amp;MONTH('web survey'!Z63),MONTH('web survey'!Z63))&amp;"-"&amp;IF(DAY('web survey'!Z63)&lt;10,"0"&amp;DAY('web survey'!Z63),DAY('web survey'!Z63))&amp;" "&amp;IF(HOUR('web survey'!Z63)&lt;10,"0"&amp;HOUR('web survey'!Z63),HOUR('web survey'!Z63))&amp;":"&amp;IF(MINUTE('web survey'!Z63)&lt;10,"0"&amp;MINUTE('web survey'!Z63),MINUTE('web survey'!Z63))&amp;(":00'")</f>
        <v>2024-08-21 15:14:00'</v>
      </c>
      <c r="L65" s="33"/>
      <c r="N65" s="35">
        <v>62</v>
      </c>
      <c r="O65" s="35" t="s">
        <v>63</v>
      </c>
      <c r="P65" s="37" t="s">
        <v>419</v>
      </c>
      <c r="Q65" s="39" t="s">
        <v>162</v>
      </c>
      <c r="R65" s="41" t="s">
        <v>418</v>
      </c>
      <c r="S65" s="39" t="s">
        <v>158</v>
      </c>
      <c r="T65" s="41" t="s">
        <v>46</v>
      </c>
      <c r="U65" s="39" t="s">
        <v>160</v>
      </c>
      <c r="V65" s="41" t="s">
        <v>46</v>
      </c>
      <c r="W65" s="39" t="s">
        <v>163</v>
      </c>
      <c r="X65" s="35" t="s">
        <v>413</v>
      </c>
    </row>
    <row r="66" spans="1:24" ht="28.2" customHeight="1" x14ac:dyDescent="0.3">
      <c r="A66" s="6">
        <f>IF(B66="","",ROW()-COUNTBLANK($B$4:B66)-3)</f>
        <v>63</v>
      </c>
      <c r="B66" s="6" t="str">
        <f>'web survey'!C64</f>
        <v>FU-Z1-Eng</v>
      </c>
      <c r="C66" s="29" t="str">
        <f>'web survey'!AA64</f>
        <v>203905018</v>
      </c>
      <c r="D66" s="18" t="str">
        <f>IF(B66="FU-ACInstall",VLOOKUP(VALUE('web survey'!D64),ref!$B$6:$C$7,2,0)&amp;" ("&amp;'web survey'!D64&amp;")",VLOOKUP(VALUE('web survey'!D64),ref!$E$6:$F$10,2,0)&amp;" ("&amp;'web survey'!D64&amp;")")</f>
        <v>Good (10)</v>
      </c>
      <c r="E66" s="27" t="str">
        <f>'web survey'!S64</f>
        <v/>
      </c>
      <c r="F66" s="18" t="str">
        <f>IF(B66="FU-ACInstall",VLOOKUP(VALUE('web survey'!E64),ref!$B$10:$C$12,2,0)&amp;" ("&amp;'web survey'!E64&amp;")",VLOOKUP(VALUE('web survey'!E64),ref!$E$13:$F$17,2,0)&amp;" ("&amp;'web survey'!E64&amp;")")</f>
        <v>Very Good (10)</v>
      </c>
      <c r="G66" s="27" t="str">
        <f>'web survey'!T64</f>
        <v/>
      </c>
      <c r="H66" s="18" t="str">
        <f>IF(B66="FU-ACInstall",VLOOKUP(VALUE('web survey'!F64),ref!$B$15:$C$17,2,0)&amp;" ("&amp;'web survey'!F64&amp;")",VLOOKUP(VALUE('web survey'!F64),ref!$E$20:$F$21,2,0)&amp;" ("&amp;'web survey'!F64&amp;")")</f>
        <v>Appropriate with SAP / in Warranty (10)</v>
      </c>
      <c r="I66" s="27" t="str">
        <f>'web survey'!U64</f>
        <v/>
      </c>
      <c r="J66" s="18" t="str">
        <f>IF(B66="FU-ACInstall","-",VLOOKUP(VALUE('web survey'!G64),ref!$E$24:$F$26,2,0)&amp;" ("&amp;'web survey'!G64&amp;")")</f>
        <v>Jelas (5)</v>
      </c>
      <c r="K66" s="6" t="str">
        <f>YEAR('web survey'!Z64)&amp;"-"&amp;IF(MONTH('web survey'!Z64)&lt;10,"0"&amp;MONTH('web survey'!Z64),MONTH('web survey'!Z64))&amp;"-"&amp;IF(DAY('web survey'!Z64)&lt;10,"0"&amp;DAY('web survey'!Z64),DAY('web survey'!Z64))&amp;" "&amp;IF(HOUR('web survey'!Z64)&lt;10,"0"&amp;HOUR('web survey'!Z64),HOUR('web survey'!Z64))&amp;":"&amp;IF(MINUTE('web survey'!Z64)&lt;10,"0"&amp;MINUTE('web survey'!Z64),MINUTE('web survey'!Z64))&amp;(":00'")</f>
        <v>2024-08-21 15:14:00'</v>
      </c>
      <c r="L66" s="33"/>
      <c r="N66" s="35">
        <v>63</v>
      </c>
      <c r="O66" s="35" t="s">
        <v>63</v>
      </c>
      <c r="P66" s="37" t="s">
        <v>420</v>
      </c>
      <c r="Q66" s="39" t="s">
        <v>151</v>
      </c>
      <c r="R66" s="41" t="s">
        <v>46</v>
      </c>
      <c r="S66" s="39" t="s">
        <v>159</v>
      </c>
      <c r="T66" s="41" t="s">
        <v>46</v>
      </c>
      <c r="U66" s="39" t="s">
        <v>156</v>
      </c>
      <c r="V66" s="41" t="s">
        <v>46</v>
      </c>
      <c r="W66" s="39" t="s">
        <v>157</v>
      </c>
      <c r="X66" s="35" t="s">
        <v>413</v>
      </c>
    </row>
    <row r="67" spans="1:24" ht="28.2" customHeight="1" x14ac:dyDescent="0.3">
      <c r="A67" s="6">
        <f>IF(B67="","",ROW()-COUNTBLANK($B$4:B67)-3)</f>
        <v>64</v>
      </c>
      <c r="B67" s="6" t="str">
        <f>'web survey'!C65</f>
        <v>FU-Z1-Eng</v>
      </c>
      <c r="C67" s="29" t="str">
        <f>'web survey'!AA65</f>
        <v>203907735</v>
      </c>
      <c r="D67" s="18" t="str">
        <f>IF(B67="FU-ACInstall",VLOOKUP(VALUE('web survey'!D65),ref!$B$6:$C$7,2,0)&amp;" ("&amp;'web survey'!D65&amp;")",VLOOKUP(VALUE('web survey'!D65),ref!$E$6:$F$10,2,0)&amp;" ("&amp;'web survey'!D65&amp;")")</f>
        <v>Good (10)</v>
      </c>
      <c r="E67" s="27" t="str">
        <f>'web survey'!S65</f>
        <v/>
      </c>
      <c r="F67" s="18" t="str">
        <f>IF(B67="FU-ACInstall",VLOOKUP(VALUE('web survey'!E65),ref!$B$10:$C$12,2,0)&amp;" ("&amp;'web survey'!E65&amp;")",VLOOKUP(VALUE('web survey'!E65),ref!$E$13:$F$17,2,0)&amp;" ("&amp;'web survey'!E65&amp;")")</f>
        <v>Good (5)</v>
      </c>
      <c r="G67" s="27" t="str">
        <f>'web survey'!T65</f>
        <v/>
      </c>
      <c r="H67" s="18" t="str">
        <f>IF(B67="FU-ACInstall",VLOOKUP(VALUE('web survey'!F65),ref!$B$15:$C$17,2,0)&amp;" ("&amp;'web survey'!F65&amp;")",VLOOKUP(VALUE('web survey'!F65),ref!$E$20:$F$21,2,0)&amp;" ("&amp;'web survey'!F65&amp;")")</f>
        <v>Appropriate with SAP / in Warranty (10)</v>
      </c>
      <c r="I67" s="27" t="str">
        <f>'web survey'!U65</f>
        <v/>
      </c>
      <c r="J67" s="18" t="str">
        <f>IF(B67="FU-ACInstall","-",VLOOKUP(VALUE('web survey'!G65),ref!$E$24:$F$26,2,0)&amp;" ("&amp;'web survey'!G65&amp;")")</f>
        <v>Jelas (5)</v>
      </c>
      <c r="K67" s="6" t="str">
        <f>YEAR('web survey'!Z65)&amp;"-"&amp;IF(MONTH('web survey'!Z65)&lt;10,"0"&amp;MONTH('web survey'!Z65),MONTH('web survey'!Z65))&amp;"-"&amp;IF(DAY('web survey'!Z65)&lt;10,"0"&amp;DAY('web survey'!Z65),DAY('web survey'!Z65))&amp;" "&amp;IF(HOUR('web survey'!Z65)&lt;10,"0"&amp;HOUR('web survey'!Z65),HOUR('web survey'!Z65))&amp;":"&amp;IF(MINUTE('web survey'!Z65)&lt;10,"0"&amp;MINUTE('web survey'!Z65),MINUTE('web survey'!Z65))&amp;(":00'")</f>
        <v>2024-08-21 15:14:00'</v>
      </c>
      <c r="L67" s="33"/>
      <c r="N67" s="35">
        <v>64</v>
      </c>
      <c r="O67" s="35" t="s">
        <v>63</v>
      </c>
      <c r="P67" s="37" t="s">
        <v>424</v>
      </c>
      <c r="Q67" s="39" t="s">
        <v>151</v>
      </c>
      <c r="R67" s="41" t="s">
        <v>46</v>
      </c>
      <c r="S67" s="39" t="s">
        <v>155</v>
      </c>
      <c r="T67" s="41" t="s">
        <v>46</v>
      </c>
      <c r="U67" s="39" t="s">
        <v>156</v>
      </c>
      <c r="V67" s="41" t="s">
        <v>46</v>
      </c>
      <c r="W67" s="39" t="s">
        <v>157</v>
      </c>
      <c r="X67" s="35" t="s">
        <v>413</v>
      </c>
    </row>
    <row r="68" spans="1:24" ht="28.2" customHeight="1" x14ac:dyDescent="0.3">
      <c r="A68" s="6">
        <f>IF(B68="","",ROW()-COUNTBLANK($B$4:B68)-3)</f>
        <v>65</v>
      </c>
      <c r="B68" s="6" t="str">
        <f>'web survey'!C66</f>
        <v>FU-Z1-Eng</v>
      </c>
      <c r="C68" s="29" t="str">
        <f>'web survey'!AA66</f>
        <v>203907505</v>
      </c>
      <c r="D68" s="18" t="str">
        <f>IF(B68="FU-ACInstall",VLOOKUP(VALUE('web survey'!D66),ref!$B$6:$C$7,2,0)&amp;" ("&amp;'web survey'!D66&amp;")",VLOOKUP(VALUE('web survey'!D66),ref!$E$6:$F$10,2,0)&amp;" ("&amp;'web survey'!D66&amp;")")</f>
        <v>Good (10)</v>
      </c>
      <c r="E68" s="27" t="str">
        <f>'web survey'!S66</f>
        <v/>
      </c>
      <c r="F68" s="18" t="str">
        <f>IF(B68="FU-ACInstall",VLOOKUP(VALUE('web survey'!E66),ref!$B$10:$C$12,2,0)&amp;" ("&amp;'web survey'!E66&amp;")",VLOOKUP(VALUE('web survey'!E66),ref!$E$13:$F$17,2,0)&amp;" ("&amp;'web survey'!E66&amp;")")</f>
        <v>Very Good (10)</v>
      </c>
      <c r="G68" s="27" t="str">
        <f>'web survey'!T66</f>
        <v/>
      </c>
      <c r="H68" s="18" t="str">
        <f>IF(B68="FU-ACInstall",VLOOKUP(VALUE('web survey'!F66),ref!$B$15:$C$17,2,0)&amp;" ("&amp;'web survey'!F66&amp;")",VLOOKUP(VALUE('web survey'!F66),ref!$E$20:$F$21,2,0)&amp;" ("&amp;'web survey'!F66&amp;")")</f>
        <v>Appropriate with SAP / in Warranty (10)</v>
      </c>
      <c r="I68" s="27" t="str">
        <f>'web survey'!U66</f>
        <v/>
      </c>
      <c r="J68" s="18" t="str">
        <f>IF(B68="FU-ACInstall","-",VLOOKUP(VALUE('web survey'!G66),ref!$E$24:$F$26,2,0)&amp;" ("&amp;'web survey'!G66&amp;")")</f>
        <v>Jelas (5)</v>
      </c>
      <c r="K68" s="6" t="str">
        <f>YEAR('web survey'!Z66)&amp;"-"&amp;IF(MONTH('web survey'!Z66)&lt;10,"0"&amp;MONTH('web survey'!Z66),MONTH('web survey'!Z66))&amp;"-"&amp;IF(DAY('web survey'!Z66)&lt;10,"0"&amp;DAY('web survey'!Z66),DAY('web survey'!Z66))&amp;" "&amp;IF(HOUR('web survey'!Z66)&lt;10,"0"&amp;HOUR('web survey'!Z66),HOUR('web survey'!Z66))&amp;":"&amp;IF(MINUTE('web survey'!Z66)&lt;10,"0"&amp;MINUTE('web survey'!Z66),MINUTE('web survey'!Z66))&amp;(":00'")</f>
        <v>2024-08-21 15:13:00'</v>
      </c>
      <c r="L68" s="33"/>
      <c r="N68" s="35">
        <v>65</v>
      </c>
      <c r="O68" s="35" t="s">
        <v>63</v>
      </c>
      <c r="P68" s="37" t="s">
        <v>427</v>
      </c>
      <c r="Q68" s="39" t="s">
        <v>151</v>
      </c>
      <c r="R68" s="41" t="s">
        <v>46</v>
      </c>
      <c r="S68" s="39" t="s">
        <v>159</v>
      </c>
      <c r="T68" s="41" t="s">
        <v>46</v>
      </c>
      <c r="U68" s="39" t="s">
        <v>156</v>
      </c>
      <c r="V68" s="41" t="s">
        <v>46</v>
      </c>
      <c r="W68" s="39" t="s">
        <v>157</v>
      </c>
      <c r="X68" s="35" t="s">
        <v>180</v>
      </c>
    </row>
    <row r="69" spans="1:24" ht="28.2" customHeight="1" x14ac:dyDescent="0.3">
      <c r="A69" s="6">
        <f>IF(B69="","",ROW()-COUNTBLANK($B$4:B69)-3)</f>
        <v>66</v>
      </c>
      <c r="B69" s="6" t="str">
        <f>'web survey'!C67</f>
        <v>FU-Z1-Eng</v>
      </c>
      <c r="C69" s="29" t="str">
        <f>'web survey'!AA67</f>
        <v>100893407</v>
      </c>
      <c r="D69" s="18" t="str">
        <f>IF(B69="FU-ACInstall",VLOOKUP(VALUE('web survey'!D67),ref!$B$6:$C$7,2,0)&amp;" ("&amp;'web survey'!D67&amp;")",VLOOKUP(VALUE('web survey'!D67),ref!$E$6:$F$10,2,0)&amp;" ("&amp;'web survey'!D67&amp;")")</f>
        <v>Good (10)</v>
      </c>
      <c r="E69" s="27" t="str">
        <f>'web survey'!S67</f>
        <v/>
      </c>
      <c r="F69" s="18" t="str">
        <f>IF(B69="FU-ACInstall",VLOOKUP(VALUE('web survey'!E67),ref!$B$10:$C$12,2,0)&amp;" ("&amp;'web survey'!E67&amp;")",VLOOKUP(VALUE('web survey'!E67),ref!$E$13:$F$17,2,0)&amp;" ("&amp;'web survey'!E67&amp;")")</f>
        <v>Very Good (10)</v>
      </c>
      <c r="G69" s="27" t="str">
        <f>'web survey'!T67</f>
        <v/>
      </c>
      <c r="H69" s="18" t="str">
        <f>IF(B69="FU-ACInstall",VLOOKUP(VALUE('web survey'!F67),ref!$B$15:$C$17,2,0)&amp;" ("&amp;'web survey'!F67&amp;")",VLOOKUP(VALUE('web survey'!F67),ref!$E$20:$F$21,2,0)&amp;" ("&amp;'web survey'!F67&amp;")")</f>
        <v>Appropriate with SAP / in Warranty (10)</v>
      </c>
      <c r="I69" s="27" t="str">
        <f>'web survey'!U67</f>
        <v/>
      </c>
      <c r="J69" s="18" t="str">
        <f>IF(B69="FU-ACInstall","-",VLOOKUP(VALUE('web survey'!G67),ref!$E$24:$F$26,2,0)&amp;" ("&amp;'web survey'!G67&amp;")")</f>
        <v>Jelas (5)</v>
      </c>
      <c r="K69" s="6" t="str">
        <f>YEAR('web survey'!Z67)&amp;"-"&amp;IF(MONTH('web survey'!Z67)&lt;10,"0"&amp;MONTH('web survey'!Z67),MONTH('web survey'!Z67))&amp;"-"&amp;IF(DAY('web survey'!Z67)&lt;10,"0"&amp;DAY('web survey'!Z67),DAY('web survey'!Z67))&amp;" "&amp;IF(HOUR('web survey'!Z67)&lt;10,"0"&amp;HOUR('web survey'!Z67),HOUR('web survey'!Z67))&amp;":"&amp;IF(MINUTE('web survey'!Z67)&lt;10,"0"&amp;MINUTE('web survey'!Z67),MINUTE('web survey'!Z67))&amp;(":00'")</f>
        <v>2024-08-21 15:13:00'</v>
      </c>
      <c r="L69" s="33"/>
      <c r="N69" s="35">
        <v>66</v>
      </c>
      <c r="O69" s="35" t="s">
        <v>63</v>
      </c>
      <c r="P69" s="37" t="s">
        <v>430</v>
      </c>
      <c r="Q69" s="39" t="s">
        <v>151</v>
      </c>
      <c r="R69" s="41" t="s">
        <v>46</v>
      </c>
      <c r="S69" s="39" t="s">
        <v>159</v>
      </c>
      <c r="T69" s="41" t="s">
        <v>46</v>
      </c>
      <c r="U69" s="39" t="s">
        <v>156</v>
      </c>
      <c r="V69" s="41" t="s">
        <v>46</v>
      </c>
      <c r="W69" s="39" t="s">
        <v>157</v>
      </c>
      <c r="X69" s="35" t="s">
        <v>180</v>
      </c>
    </row>
    <row r="70" spans="1:24" ht="28.2" customHeight="1" x14ac:dyDescent="0.3">
      <c r="A70" s="6">
        <f>IF(B70="","",ROW()-COUNTBLANK($B$4:B70)-3)</f>
        <v>67</v>
      </c>
      <c r="B70" s="6" t="str">
        <f>'web survey'!C68</f>
        <v>FU-Z1-Eng</v>
      </c>
      <c r="C70" s="29" t="str">
        <f>'web survey'!AA68</f>
        <v>203900645</v>
      </c>
      <c r="D70" s="18" t="str">
        <f>IF(B70="FU-ACInstall",VLOOKUP(VALUE('web survey'!D68),ref!$B$6:$C$7,2,0)&amp;" ("&amp;'web survey'!D68&amp;")",VLOOKUP(VALUE('web survey'!D68),ref!$E$6:$F$10,2,0)&amp;" ("&amp;'web survey'!D68&amp;")")</f>
        <v>Good (10)</v>
      </c>
      <c r="E70" s="27" t="str">
        <f>'web survey'!S68</f>
        <v/>
      </c>
      <c r="F70" s="18" t="str">
        <f>IF(B70="FU-ACInstall",VLOOKUP(VALUE('web survey'!E68),ref!$B$10:$C$12,2,0)&amp;" ("&amp;'web survey'!E68&amp;")",VLOOKUP(VALUE('web survey'!E68),ref!$E$13:$F$17,2,0)&amp;" ("&amp;'web survey'!E68&amp;")")</f>
        <v>Very Good (10)</v>
      </c>
      <c r="G70" s="27" t="str">
        <f>'web survey'!T68</f>
        <v/>
      </c>
      <c r="H70" s="18" t="str">
        <f>IF(B70="FU-ACInstall",VLOOKUP(VALUE('web survey'!F68),ref!$B$15:$C$17,2,0)&amp;" ("&amp;'web survey'!F68&amp;")",VLOOKUP(VALUE('web survey'!F68),ref!$E$20:$F$21,2,0)&amp;" ("&amp;'web survey'!F68&amp;")")</f>
        <v>Appropriate with SAP / in Warranty (10)</v>
      </c>
      <c r="I70" s="27" t="str">
        <f>'web survey'!U68</f>
        <v/>
      </c>
      <c r="J70" s="18" t="str">
        <f>IF(B70="FU-ACInstall","-",VLOOKUP(VALUE('web survey'!G68),ref!$E$24:$F$26,2,0)&amp;" ("&amp;'web survey'!G68&amp;")")</f>
        <v>Jelas (5)</v>
      </c>
      <c r="K70" s="6" t="str">
        <f>YEAR('web survey'!Z68)&amp;"-"&amp;IF(MONTH('web survey'!Z68)&lt;10,"0"&amp;MONTH('web survey'!Z68),MONTH('web survey'!Z68))&amp;"-"&amp;IF(DAY('web survey'!Z68)&lt;10,"0"&amp;DAY('web survey'!Z68),DAY('web survey'!Z68))&amp;" "&amp;IF(HOUR('web survey'!Z68)&lt;10,"0"&amp;HOUR('web survey'!Z68),HOUR('web survey'!Z68))&amp;":"&amp;IF(MINUTE('web survey'!Z68)&lt;10,"0"&amp;MINUTE('web survey'!Z68),MINUTE('web survey'!Z68))&amp;(":00'")</f>
        <v>2024-08-21 15:12:00'</v>
      </c>
      <c r="L70" s="33"/>
      <c r="N70" s="35">
        <v>67</v>
      </c>
      <c r="O70" s="35" t="s">
        <v>63</v>
      </c>
      <c r="P70" s="37" t="s">
        <v>434</v>
      </c>
      <c r="Q70" s="39" t="s">
        <v>151</v>
      </c>
      <c r="R70" s="41" t="s">
        <v>46</v>
      </c>
      <c r="S70" s="39" t="s">
        <v>159</v>
      </c>
      <c r="T70" s="41" t="s">
        <v>46</v>
      </c>
      <c r="U70" s="39" t="s">
        <v>156</v>
      </c>
      <c r="V70" s="41" t="s">
        <v>46</v>
      </c>
      <c r="W70" s="39" t="s">
        <v>157</v>
      </c>
      <c r="X70" s="35" t="s">
        <v>433</v>
      </c>
    </row>
    <row r="71" spans="1:24" ht="28.2" customHeight="1" x14ac:dyDescent="0.3">
      <c r="A71" s="6">
        <f>IF(B71="","",ROW()-COUNTBLANK($B$4:B71)-3)</f>
        <v>68</v>
      </c>
      <c r="B71" s="6" t="str">
        <f>'web survey'!C69</f>
        <v>FU-Z1-Eng</v>
      </c>
      <c r="C71" s="29" t="str">
        <f>'web survey'!AA69</f>
        <v>100893627</v>
      </c>
      <c r="D71" s="18" t="str">
        <f>IF(B71="FU-ACInstall",VLOOKUP(VALUE('web survey'!D69),ref!$B$6:$C$7,2,0)&amp;" ("&amp;'web survey'!D69&amp;")",VLOOKUP(VALUE('web survey'!D69),ref!$E$6:$F$10,2,0)&amp;" ("&amp;'web survey'!D69&amp;")")</f>
        <v>Good (10)</v>
      </c>
      <c r="E71" s="27" t="str">
        <f>'web survey'!S69</f>
        <v/>
      </c>
      <c r="F71" s="18" t="str">
        <f>IF(B71="FU-ACInstall",VLOOKUP(VALUE('web survey'!E69),ref!$B$10:$C$12,2,0)&amp;" ("&amp;'web survey'!E69&amp;")",VLOOKUP(VALUE('web survey'!E69),ref!$E$13:$F$17,2,0)&amp;" ("&amp;'web survey'!E69&amp;")")</f>
        <v>Not Fairly Good (-5)</v>
      </c>
      <c r="G71" s="27" t="str">
        <f>'web survey'!T69</f>
        <v/>
      </c>
      <c r="H71" s="18" t="str">
        <f>IF(B71="FU-ACInstall",VLOOKUP(VALUE('web survey'!F69),ref!$B$15:$C$17,2,0)&amp;" ("&amp;'web survey'!F69&amp;")",VLOOKUP(VALUE('web survey'!F69),ref!$E$20:$F$21,2,0)&amp;" ("&amp;'web survey'!F69&amp;")")</f>
        <v>Appropriate with SAP / in Warranty (10)</v>
      </c>
      <c r="I71" s="27" t="str">
        <f>'web survey'!U69</f>
        <v/>
      </c>
      <c r="J71" s="18" t="str">
        <f>IF(B71="FU-ACInstall","-",VLOOKUP(VALUE('web survey'!G69),ref!$E$24:$F$26,2,0)&amp;" ("&amp;'web survey'!G69&amp;")")</f>
        <v>Kurang jelas (3)</v>
      </c>
      <c r="K71" s="6" t="str">
        <f>YEAR('web survey'!Z69)&amp;"-"&amp;IF(MONTH('web survey'!Z69)&lt;10,"0"&amp;MONTH('web survey'!Z69),MONTH('web survey'!Z69))&amp;"-"&amp;IF(DAY('web survey'!Z69)&lt;10,"0"&amp;DAY('web survey'!Z69),DAY('web survey'!Z69))&amp;" "&amp;IF(HOUR('web survey'!Z69)&lt;10,"0"&amp;HOUR('web survey'!Z69),HOUR('web survey'!Z69))&amp;":"&amp;IF(MINUTE('web survey'!Z69)&lt;10,"0"&amp;MINUTE('web survey'!Z69),MINUTE('web survey'!Z69))&amp;(":00'")</f>
        <v>2024-08-21 15:11:00'</v>
      </c>
      <c r="L71" s="33"/>
      <c r="N71" s="35">
        <v>68</v>
      </c>
      <c r="O71" s="35" t="s">
        <v>63</v>
      </c>
      <c r="P71" s="37" t="s">
        <v>439</v>
      </c>
      <c r="Q71" s="39" t="s">
        <v>151</v>
      </c>
      <c r="R71" s="41" t="s">
        <v>46</v>
      </c>
      <c r="S71" s="39" t="s">
        <v>165</v>
      </c>
      <c r="T71" s="41" t="s">
        <v>46</v>
      </c>
      <c r="U71" s="39" t="s">
        <v>156</v>
      </c>
      <c r="V71" s="41" t="s">
        <v>46</v>
      </c>
      <c r="W71" s="39" t="s">
        <v>163</v>
      </c>
      <c r="X71" s="35" t="s">
        <v>438</v>
      </c>
    </row>
    <row r="72" spans="1:24" ht="28.2" customHeight="1" x14ac:dyDescent="0.3">
      <c r="A72" s="6">
        <f>IF(B72="","",ROW()-COUNTBLANK($B$4:B72)-3)</f>
        <v>69</v>
      </c>
      <c r="B72" s="6" t="str">
        <f>'web survey'!C70</f>
        <v>FU-Z1-Eng</v>
      </c>
      <c r="C72" s="29" t="str">
        <f>'web survey'!AA70</f>
        <v>203902202</v>
      </c>
      <c r="D72" s="18" t="str">
        <f>IF(B72="FU-ACInstall",VLOOKUP(VALUE('web survey'!D70),ref!$B$6:$C$7,2,0)&amp;" ("&amp;'web survey'!D70&amp;")",VLOOKUP(VALUE('web survey'!D70),ref!$E$6:$F$10,2,0)&amp;" ("&amp;'web survey'!D70&amp;")")</f>
        <v>Good (10)</v>
      </c>
      <c r="E72" s="27" t="str">
        <f>'web survey'!S70</f>
        <v/>
      </c>
      <c r="F72" s="18" t="str">
        <f>IF(B72="FU-ACInstall",VLOOKUP(VALUE('web survey'!E70),ref!$B$10:$C$12,2,0)&amp;" ("&amp;'web survey'!E70&amp;")",VLOOKUP(VALUE('web survey'!E70),ref!$E$13:$F$17,2,0)&amp;" ("&amp;'web survey'!E70&amp;")")</f>
        <v>Very Good (10)</v>
      </c>
      <c r="G72" s="27" t="str">
        <f>'web survey'!T70</f>
        <v/>
      </c>
      <c r="H72" s="18" t="str">
        <f>IF(B72="FU-ACInstall",VLOOKUP(VALUE('web survey'!F70),ref!$B$15:$C$17,2,0)&amp;" ("&amp;'web survey'!F70&amp;")",VLOOKUP(VALUE('web survey'!F70),ref!$E$20:$F$21,2,0)&amp;" ("&amp;'web survey'!F70&amp;")")</f>
        <v>Appropriate with SAP / in Warranty (10)</v>
      </c>
      <c r="I72" s="27" t="str">
        <f>'web survey'!U70</f>
        <v/>
      </c>
      <c r="J72" s="18" t="str">
        <f>IF(B72="FU-ACInstall","-",VLOOKUP(VALUE('web survey'!G70),ref!$E$24:$F$26,2,0)&amp;" ("&amp;'web survey'!G70&amp;")")</f>
        <v>Jelas (5)</v>
      </c>
      <c r="K72" s="6" t="str">
        <f>YEAR('web survey'!Z70)&amp;"-"&amp;IF(MONTH('web survey'!Z70)&lt;10,"0"&amp;MONTH('web survey'!Z70),MONTH('web survey'!Z70))&amp;"-"&amp;IF(DAY('web survey'!Z70)&lt;10,"0"&amp;DAY('web survey'!Z70),DAY('web survey'!Z70))&amp;" "&amp;IF(HOUR('web survey'!Z70)&lt;10,"0"&amp;HOUR('web survey'!Z70),HOUR('web survey'!Z70))&amp;":"&amp;IF(MINUTE('web survey'!Z70)&lt;10,"0"&amp;MINUTE('web survey'!Z70),MINUTE('web survey'!Z70))&amp;(":00'")</f>
        <v>2024-08-21 15:11:00'</v>
      </c>
      <c r="L72" s="33"/>
      <c r="N72" s="35">
        <v>69</v>
      </c>
      <c r="O72" s="35" t="s">
        <v>63</v>
      </c>
      <c r="P72" s="37" t="s">
        <v>442</v>
      </c>
      <c r="Q72" s="39" t="s">
        <v>151</v>
      </c>
      <c r="R72" s="41" t="s">
        <v>46</v>
      </c>
      <c r="S72" s="39" t="s">
        <v>159</v>
      </c>
      <c r="T72" s="41" t="s">
        <v>46</v>
      </c>
      <c r="U72" s="39" t="s">
        <v>156</v>
      </c>
      <c r="V72" s="41" t="s">
        <v>46</v>
      </c>
      <c r="W72" s="39" t="s">
        <v>157</v>
      </c>
      <c r="X72" s="35" t="s">
        <v>438</v>
      </c>
    </row>
    <row r="73" spans="1:24" ht="28.2" customHeight="1" x14ac:dyDescent="0.3">
      <c r="A73" s="6">
        <f>IF(B73="","",ROW()-COUNTBLANK($B$4:B73)-3)</f>
        <v>70</v>
      </c>
      <c r="B73" s="6" t="str">
        <f>'web survey'!C71</f>
        <v>FU-Z1-Eng</v>
      </c>
      <c r="C73" s="29" t="str">
        <f>'web survey'!AA71</f>
        <v>203903396</v>
      </c>
      <c r="D73" s="18" t="str">
        <f>IF(B73="FU-ACInstall",VLOOKUP(VALUE('web survey'!D71),ref!$B$6:$C$7,2,0)&amp;" ("&amp;'web survey'!D71&amp;")",VLOOKUP(VALUE('web survey'!D71),ref!$E$6:$F$10,2,0)&amp;" ("&amp;'web survey'!D71&amp;")")</f>
        <v>Good (10)</v>
      </c>
      <c r="E73" s="27" t="str">
        <f>'web survey'!S71</f>
        <v/>
      </c>
      <c r="F73" s="18" t="str">
        <f>IF(B73="FU-ACInstall",VLOOKUP(VALUE('web survey'!E71),ref!$B$10:$C$12,2,0)&amp;" ("&amp;'web survey'!E71&amp;")",VLOOKUP(VALUE('web survey'!E71),ref!$E$13:$F$17,2,0)&amp;" ("&amp;'web survey'!E71&amp;")")</f>
        <v>Good (5)</v>
      </c>
      <c r="G73" s="27" t="str">
        <f>'web survey'!T71</f>
        <v/>
      </c>
      <c r="H73" s="18" t="str">
        <f>IF(B73="FU-ACInstall",VLOOKUP(VALUE('web survey'!F71),ref!$B$15:$C$17,2,0)&amp;" ("&amp;'web survey'!F71&amp;")",VLOOKUP(VALUE('web survey'!F71),ref!$E$20:$F$21,2,0)&amp;" ("&amp;'web survey'!F71&amp;")")</f>
        <v>Appropriate with SAP / in Warranty (10)</v>
      </c>
      <c r="I73" s="27" t="str">
        <f>'web survey'!U71</f>
        <v/>
      </c>
      <c r="J73" s="18" t="str">
        <f>IF(B73="FU-ACInstall","-",VLOOKUP(VALUE('web survey'!G71),ref!$E$24:$F$26,2,0)&amp;" ("&amp;'web survey'!G71&amp;")")</f>
        <v>Jelas (5)</v>
      </c>
      <c r="K73" s="6" t="str">
        <f>YEAR('web survey'!Z71)&amp;"-"&amp;IF(MONTH('web survey'!Z71)&lt;10,"0"&amp;MONTH('web survey'!Z71),MONTH('web survey'!Z71))&amp;"-"&amp;IF(DAY('web survey'!Z71)&lt;10,"0"&amp;DAY('web survey'!Z71),DAY('web survey'!Z71))&amp;" "&amp;IF(HOUR('web survey'!Z71)&lt;10,"0"&amp;HOUR('web survey'!Z71),HOUR('web survey'!Z71))&amp;":"&amp;IF(MINUTE('web survey'!Z71)&lt;10,"0"&amp;MINUTE('web survey'!Z71),MINUTE('web survey'!Z71))&amp;(":00'")</f>
        <v>2024-08-21 15:11:00'</v>
      </c>
      <c r="L73" s="33"/>
      <c r="N73" s="35">
        <v>70</v>
      </c>
      <c r="O73" s="35" t="s">
        <v>63</v>
      </c>
      <c r="P73" s="37" t="s">
        <v>445</v>
      </c>
      <c r="Q73" s="39" t="s">
        <v>151</v>
      </c>
      <c r="R73" s="41" t="s">
        <v>46</v>
      </c>
      <c r="S73" s="39" t="s">
        <v>155</v>
      </c>
      <c r="T73" s="41" t="s">
        <v>46</v>
      </c>
      <c r="U73" s="39" t="s">
        <v>156</v>
      </c>
      <c r="V73" s="41" t="s">
        <v>46</v>
      </c>
      <c r="W73" s="39" t="s">
        <v>157</v>
      </c>
      <c r="X73" s="35" t="s">
        <v>438</v>
      </c>
    </row>
    <row r="74" spans="1:24" ht="28.2" customHeight="1" x14ac:dyDescent="0.3">
      <c r="A74" s="6">
        <f>IF(B74="","",ROW()-COUNTBLANK($B$4:B74)-3)</f>
        <v>71</v>
      </c>
      <c r="B74" s="6" t="str">
        <f>'web survey'!C72</f>
        <v>FU-Z1-Eng</v>
      </c>
      <c r="C74" s="29" t="str">
        <f>'web survey'!AA72</f>
        <v>100890510</v>
      </c>
      <c r="D74" s="18" t="str">
        <f>IF(B74="FU-ACInstall",VLOOKUP(VALUE('web survey'!D72),ref!$B$6:$C$7,2,0)&amp;" ("&amp;'web survey'!D72&amp;")",VLOOKUP(VALUE('web survey'!D72),ref!$E$6:$F$10,2,0)&amp;" ("&amp;'web survey'!D72&amp;")")</f>
        <v>Good (10)</v>
      </c>
      <c r="E74" s="27" t="str">
        <f>'web survey'!S72</f>
        <v/>
      </c>
      <c r="F74" s="18" t="str">
        <f>IF(B74="FU-ACInstall",VLOOKUP(VALUE('web survey'!E72),ref!$B$10:$C$12,2,0)&amp;" ("&amp;'web survey'!E72&amp;")",VLOOKUP(VALUE('web survey'!E72),ref!$E$13:$F$17,2,0)&amp;" ("&amp;'web survey'!E72&amp;")")</f>
        <v>Very Good (10)</v>
      </c>
      <c r="G74" s="27" t="str">
        <f>'web survey'!T72</f>
        <v/>
      </c>
      <c r="H74" s="18" t="str">
        <f>IF(B74="FU-ACInstall",VLOOKUP(VALUE('web survey'!F72),ref!$B$15:$C$17,2,0)&amp;" ("&amp;'web survey'!F72&amp;")",VLOOKUP(VALUE('web survey'!F72),ref!$E$20:$F$21,2,0)&amp;" ("&amp;'web survey'!F72&amp;")")</f>
        <v>Different with SAP (-10)</v>
      </c>
      <c r="I74" s="27" t="str">
        <f>'web survey'!U72</f>
        <v/>
      </c>
      <c r="J74" s="18" t="str">
        <f>IF(B74="FU-ACInstall","-",VLOOKUP(VALUE('web survey'!G72),ref!$E$24:$F$26,2,0)&amp;" ("&amp;'web survey'!G72&amp;")")</f>
        <v>Jelas (5)</v>
      </c>
      <c r="K74" s="6" t="str">
        <f>YEAR('web survey'!Z72)&amp;"-"&amp;IF(MONTH('web survey'!Z72)&lt;10,"0"&amp;MONTH('web survey'!Z72),MONTH('web survey'!Z72))&amp;"-"&amp;IF(DAY('web survey'!Z72)&lt;10,"0"&amp;DAY('web survey'!Z72),DAY('web survey'!Z72))&amp;" "&amp;IF(HOUR('web survey'!Z72)&lt;10,"0"&amp;HOUR('web survey'!Z72),HOUR('web survey'!Z72))&amp;":"&amp;IF(MINUTE('web survey'!Z72)&lt;10,"0"&amp;MINUTE('web survey'!Z72),MINUTE('web survey'!Z72))&amp;(":00'")</f>
        <v>2024-08-21 15:10:00'</v>
      </c>
      <c r="L74" s="33"/>
      <c r="N74" s="35">
        <v>71</v>
      </c>
      <c r="O74" s="35" t="s">
        <v>63</v>
      </c>
      <c r="P74" s="37" t="s">
        <v>449</v>
      </c>
      <c r="Q74" s="39" t="s">
        <v>151</v>
      </c>
      <c r="R74" s="41" t="s">
        <v>46</v>
      </c>
      <c r="S74" s="39" t="s">
        <v>159</v>
      </c>
      <c r="T74" s="41" t="s">
        <v>46</v>
      </c>
      <c r="U74" s="39" t="s">
        <v>160</v>
      </c>
      <c r="V74" s="41" t="s">
        <v>46</v>
      </c>
      <c r="W74" s="39" t="s">
        <v>157</v>
      </c>
      <c r="X74" s="35" t="s">
        <v>448</v>
      </c>
    </row>
    <row r="75" spans="1:24" ht="28.2" customHeight="1" x14ac:dyDescent="0.3">
      <c r="A75" s="6">
        <f>IF(B75="","",ROW()-COUNTBLANK($B$4:B75)-3)</f>
        <v>72</v>
      </c>
      <c r="B75" s="6" t="str">
        <f>'web survey'!C73</f>
        <v>FU-Z1-Eng</v>
      </c>
      <c r="C75" s="29" t="str">
        <f>'web survey'!AA73</f>
        <v>203889749</v>
      </c>
      <c r="D75" s="18" t="str">
        <f>IF(B75="FU-ACInstall",VLOOKUP(VALUE('web survey'!D73),ref!$B$6:$C$7,2,0)&amp;" ("&amp;'web survey'!D73&amp;")",VLOOKUP(VALUE('web survey'!D73),ref!$E$6:$F$10,2,0)&amp;" ("&amp;'web survey'!D73&amp;")")</f>
        <v>Good (10)</v>
      </c>
      <c r="E75" s="27" t="str">
        <f>'web survey'!S73</f>
        <v/>
      </c>
      <c r="F75" s="18" t="str">
        <f>IF(B75="FU-ACInstall",VLOOKUP(VALUE('web survey'!E73),ref!$B$10:$C$12,2,0)&amp;" ("&amp;'web survey'!E73&amp;")",VLOOKUP(VALUE('web survey'!E73),ref!$E$13:$F$17,2,0)&amp;" ("&amp;'web survey'!E73&amp;")")</f>
        <v>Very Good (10)</v>
      </c>
      <c r="G75" s="27" t="str">
        <f>'web survey'!T73</f>
        <v/>
      </c>
      <c r="H75" s="18" t="str">
        <f>IF(B75="FU-ACInstall",VLOOKUP(VALUE('web survey'!F73),ref!$B$15:$C$17,2,0)&amp;" ("&amp;'web survey'!F73&amp;")",VLOOKUP(VALUE('web survey'!F73),ref!$E$20:$F$21,2,0)&amp;" ("&amp;'web survey'!F73&amp;")")</f>
        <v>Appropriate with SAP / in Warranty (10)</v>
      </c>
      <c r="I75" s="27" t="str">
        <f>'web survey'!U73</f>
        <v/>
      </c>
      <c r="J75" s="18" t="str">
        <f>IF(B75="FU-ACInstall","-",VLOOKUP(VALUE('web survey'!G73),ref!$E$24:$F$26,2,0)&amp;" ("&amp;'web survey'!G73&amp;")")</f>
        <v>Jelas (5)</v>
      </c>
      <c r="K75" s="6" t="str">
        <f>YEAR('web survey'!Z73)&amp;"-"&amp;IF(MONTH('web survey'!Z73)&lt;10,"0"&amp;MONTH('web survey'!Z73),MONTH('web survey'!Z73))&amp;"-"&amp;IF(DAY('web survey'!Z73)&lt;10,"0"&amp;DAY('web survey'!Z73),DAY('web survey'!Z73))&amp;" "&amp;IF(HOUR('web survey'!Z73)&lt;10,"0"&amp;HOUR('web survey'!Z73),HOUR('web survey'!Z73))&amp;":"&amp;IF(MINUTE('web survey'!Z73)&lt;10,"0"&amp;MINUTE('web survey'!Z73),MINUTE('web survey'!Z73))&amp;(":00'")</f>
        <v>2024-08-21 15:10:00'</v>
      </c>
      <c r="L75" s="33"/>
      <c r="N75" s="35">
        <v>72</v>
      </c>
      <c r="O75" s="35" t="s">
        <v>63</v>
      </c>
      <c r="P75" s="37" t="s">
        <v>452</v>
      </c>
      <c r="Q75" s="39" t="s">
        <v>151</v>
      </c>
      <c r="R75" s="41" t="s">
        <v>46</v>
      </c>
      <c r="S75" s="39" t="s">
        <v>159</v>
      </c>
      <c r="T75" s="41" t="s">
        <v>46</v>
      </c>
      <c r="U75" s="39" t="s">
        <v>156</v>
      </c>
      <c r="V75" s="41" t="s">
        <v>46</v>
      </c>
      <c r="W75" s="39" t="s">
        <v>157</v>
      </c>
      <c r="X75" s="35" t="s">
        <v>448</v>
      </c>
    </row>
    <row r="76" spans="1:24" ht="28.2" customHeight="1" x14ac:dyDescent="0.3">
      <c r="A76" s="6">
        <f>IF(B76="","",ROW()-COUNTBLANK($B$4:B76)-3)</f>
        <v>73</v>
      </c>
      <c r="B76" s="6" t="str">
        <f>'web survey'!C74</f>
        <v>FU-Z1-Eng</v>
      </c>
      <c r="C76" s="29" t="str">
        <f>'web survey'!AA74</f>
        <v>203909172</v>
      </c>
      <c r="D76" s="18" t="str">
        <f>IF(B76="FU-ACInstall",VLOOKUP(VALUE('web survey'!D74),ref!$B$6:$C$7,2,0)&amp;" ("&amp;'web survey'!D74&amp;")",VLOOKUP(VALUE('web survey'!D74),ref!$E$6:$F$10,2,0)&amp;" ("&amp;'web survey'!D74&amp;")")</f>
        <v>Good (10)</v>
      </c>
      <c r="E76" s="27" t="str">
        <f>'web survey'!S74</f>
        <v/>
      </c>
      <c r="F76" s="18" t="str">
        <f>IF(B76="FU-ACInstall",VLOOKUP(VALUE('web survey'!E74),ref!$B$10:$C$12,2,0)&amp;" ("&amp;'web survey'!E74&amp;")",VLOOKUP(VALUE('web survey'!E74),ref!$E$13:$F$17,2,0)&amp;" ("&amp;'web survey'!E74&amp;")")</f>
        <v>Very Good (10)</v>
      </c>
      <c r="G76" s="27" t="str">
        <f>'web survey'!T74</f>
        <v/>
      </c>
      <c r="H76" s="18" t="str">
        <f>IF(B76="FU-ACInstall",VLOOKUP(VALUE('web survey'!F74),ref!$B$15:$C$17,2,0)&amp;" ("&amp;'web survey'!F74&amp;")",VLOOKUP(VALUE('web survey'!F74),ref!$E$20:$F$21,2,0)&amp;" ("&amp;'web survey'!F74&amp;")")</f>
        <v>Appropriate with SAP / in Warranty (10)</v>
      </c>
      <c r="I76" s="27" t="str">
        <f>'web survey'!U74</f>
        <v/>
      </c>
      <c r="J76" s="18" t="str">
        <f>IF(B76="FU-ACInstall","-",VLOOKUP(VALUE('web survey'!G74),ref!$E$24:$F$26,2,0)&amp;" ("&amp;'web survey'!G74&amp;")")</f>
        <v>Jelas (5)</v>
      </c>
      <c r="K76" s="6" t="str">
        <f>YEAR('web survey'!Z74)&amp;"-"&amp;IF(MONTH('web survey'!Z74)&lt;10,"0"&amp;MONTH('web survey'!Z74),MONTH('web survey'!Z74))&amp;"-"&amp;IF(DAY('web survey'!Z74)&lt;10,"0"&amp;DAY('web survey'!Z74),DAY('web survey'!Z74))&amp;" "&amp;IF(HOUR('web survey'!Z74)&lt;10,"0"&amp;HOUR('web survey'!Z74),HOUR('web survey'!Z74))&amp;":"&amp;IF(MINUTE('web survey'!Z74)&lt;10,"0"&amp;MINUTE('web survey'!Z74),MINUTE('web survey'!Z74))&amp;(":00'")</f>
        <v>2024-08-21 15:10:00'</v>
      </c>
      <c r="L76" s="33"/>
      <c r="N76" s="35">
        <v>73</v>
      </c>
      <c r="O76" s="35" t="s">
        <v>63</v>
      </c>
      <c r="P76" s="37" t="s">
        <v>456</v>
      </c>
      <c r="Q76" s="39" t="s">
        <v>151</v>
      </c>
      <c r="R76" s="41" t="s">
        <v>46</v>
      </c>
      <c r="S76" s="39" t="s">
        <v>159</v>
      </c>
      <c r="T76" s="41" t="s">
        <v>46</v>
      </c>
      <c r="U76" s="39" t="s">
        <v>156</v>
      </c>
      <c r="V76" s="41" t="s">
        <v>46</v>
      </c>
      <c r="W76" s="39" t="s">
        <v>157</v>
      </c>
      <c r="X76" s="35" t="s">
        <v>448</v>
      </c>
    </row>
    <row r="77" spans="1:24" ht="28.2" customHeight="1" x14ac:dyDescent="0.3">
      <c r="A77" s="6">
        <f>IF(B77="","",ROW()-COUNTBLANK($B$4:B77)-3)</f>
        <v>74</v>
      </c>
      <c r="B77" s="6" t="str">
        <f>'web survey'!C75</f>
        <v>FU-Z1-Eng</v>
      </c>
      <c r="C77" s="29" t="str">
        <f>'web survey'!AA75</f>
        <v>1106A2406760</v>
      </c>
      <c r="D77" s="18" t="str">
        <f>IF(B77="FU-ACInstall",VLOOKUP(VALUE('web survey'!D75),ref!$B$6:$C$7,2,0)&amp;" ("&amp;'web survey'!D75&amp;")",VLOOKUP(VALUE('web survey'!D75),ref!$E$6:$F$10,2,0)&amp;" ("&amp;'web survey'!D75&amp;")")</f>
        <v>Good (10)</v>
      </c>
      <c r="E77" s="27" t="str">
        <f>'web survey'!S75</f>
        <v/>
      </c>
      <c r="F77" s="18" t="str">
        <f>IF(B77="FU-ACInstall",VLOOKUP(VALUE('web survey'!E75),ref!$B$10:$C$12,2,0)&amp;" ("&amp;'web survey'!E75&amp;")",VLOOKUP(VALUE('web survey'!E75),ref!$E$13:$F$17,2,0)&amp;" ("&amp;'web survey'!E75&amp;")")</f>
        <v>Good (5)</v>
      </c>
      <c r="G77" s="27" t="str">
        <f>'web survey'!T75</f>
        <v/>
      </c>
      <c r="H77" s="18" t="str">
        <f>IF(B77="FU-ACInstall",VLOOKUP(VALUE('web survey'!F75),ref!$B$15:$C$17,2,0)&amp;" ("&amp;'web survey'!F75&amp;")",VLOOKUP(VALUE('web survey'!F75),ref!$E$20:$F$21,2,0)&amp;" ("&amp;'web survey'!F75&amp;")")</f>
        <v>Appropriate with SAP / in Warranty (10)</v>
      </c>
      <c r="I77" s="27" t="str">
        <f>'web survey'!U75</f>
        <v/>
      </c>
      <c r="J77" s="18" t="str">
        <f>IF(B77="FU-ACInstall","-",VLOOKUP(VALUE('web survey'!G75),ref!$E$24:$F$26,2,0)&amp;" ("&amp;'web survey'!G75&amp;")")</f>
        <v>Jelas (5)</v>
      </c>
      <c r="K77" s="6" t="str">
        <f>YEAR('web survey'!Z75)&amp;"-"&amp;IF(MONTH('web survey'!Z75)&lt;10,"0"&amp;MONTH('web survey'!Z75),MONTH('web survey'!Z75))&amp;"-"&amp;IF(DAY('web survey'!Z75)&lt;10,"0"&amp;DAY('web survey'!Z75),DAY('web survey'!Z75))&amp;" "&amp;IF(HOUR('web survey'!Z75)&lt;10,"0"&amp;HOUR('web survey'!Z75),HOUR('web survey'!Z75))&amp;":"&amp;IF(MINUTE('web survey'!Z75)&lt;10,"0"&amp;MINUTE('web survey'!Z75),MINUTE('web survey'!Z75))&amp;(":00'")</f>
        <v>2024-08-21 15:10:00'</v>
      </c>
      <c r="L77" s="33"/>
      <c r="N77" s="35">
        <v>74</v>
      </c>
      <c r="O77" s="35" t="s">
        <v>63</v>
      </c>
      <c r="P77" s="37" t="s">
        <v>459</v>
      </c>
      <c r="Q77" s="39" t="s">
        <v>151</v>
      </c>
      <c r="R77" s="41" t="s">
        <v>46</v>
      </c>
      <c r="S77" s="39" t="s">
        <v>155</v>
      </c>
      <c r="T77" s="41" t="s">
        <v>46</v>
      </c>
      <c r="U77" s="39" t="s">
        <v>156</v>
      </c>
      <c r="V77" s="41" t="s">
        <v>46</v>
      </c>
      <c r="W77" s="39" t="s">
        <v>157</v>
      </c>
      <c r="X77" s="35" t="s">
        <v>448</v>
      </c>
    </row>
    <row r="78" spans="1:24" ht="28.2" customHeight="1" x14ac:dyDescent="0.3">
      <c r="A78" s="6">
        <f>IF(B78="","",ROW()-COUNTBLANK($B$4:B78)-3)</f>
        <v>75</v>
      </c>
      <c r="B78" s="6" t="str">
        <f>'web survey'!C76</f>
        <v>FU-Z1-Eng</v>
      </c>
      <c r="C78" s="29" t="str">
        <f>'web survey'!AA76</f>
        <v>100890713</v>
      </c>
      <c r="D78" s="18" t="str">
        <f>IF(B78="FU-ACInstall",VLOOKUP(VALUE('web survey'!D76),ref!$B$6:$C$7,2,0)&amp;" ("&amp;'web survey'!D76&amp;")",VLOOKUP(VALUE('web survey'!D76),ref!$E$6:$F$10,2,0)&amp;" ("&amp;'web survey'!D76&amp;")")</f>
        <v>Not Good (-10)</v>
      </c>
      <c r="E78" s="27" t="str">
        <f>'web survey'!S76</f>
        <v>Masih rusak karena pimpinan tidak melanjutkan utk perbaikanny</v>
      </c>
      <c r="F78" s="18" t="str">
        <f>IF(B78="FU-ACInstall",VLOOKUP(VALUE('web survey'!E76),ref!$B$10:$C$12,2,0)&amp;" ("&amp;'web survey'!E76&amp;")",VLOOKUP(VALUE('web survey'!E76),ref!$E$13:$F$17,2,0)&amp;" ("&amp;'web survey'!E76&amp;")")</f>
        <v>Very Good (10)</v>
      </c>
      <c r="G78" s="27" t="str">
        <f>'web survey'!T76</f>
        <v/>
      </c>
      <c r="H78" s="18" t="str">
        <f>IF(B78="FU-ACInstall",VLOOKUP(VALUE('web survey'!F76),ref!$B$15:$C$17,2,0)&amp;" ("&amp;'web survey'!F76&amp;")",VLOOKUP(VALUE('web survey'!F76),ref!$E$20:$F$21,2,0)&amp;" ("&amp;'web survey'!F76&amp;")")</f>
        <v>Appropriate with SAP / in Warranty (10)</v>
      </c>
      <c r="I78" s="27" t="str">
        <f>'web survey'!U76</f>
        <v/>
      </c>
      <c r="J78" s="18" t="str">
        <f>IF(B78="FU-ACInstall","-",VLOOKUP(VALUE('web survey'!G76),ref!$E$24:$F$26,2,0)&amp;" ("&amp;'web survey'!G76&amp;")")</f>
        <v>Jelas (5)</v>
      </c>
      <c r="K78" s="6" t="str">
        <f>YEAR('web survey'!Z76)&amp;"-"&amp;IF(MONTH('web survey'!Z76)&lt;10,"0"&amp;MONTH('web survey'!Z76),MONTH('web survey'!Z76))&amp;"-"&amp;IF(DAY('web survey'!Z76)&lt;10,"0"&amp;DAY('web survey'!Z76),DAY('web survey'!Z76))&amp;" "&amp;IF(HOUR('web survey'!Z76)&lt;10,"0"&amp;HOUR('web survey'!Z76),HOUR('web survey'!Z76))&amp;":"&amp;IF(MINUTE('web survey'!Z76)&lt;10,"0"&amp;MINUTE('web survey'!Z76),MINUTE('web survey'!Z76))&amp;(":00'")</f>
        <v>2024-08-21 15:09:00'</v>
      </c>
      <c r="L78" s="33"/>
      <c r="N78" s="35">
        <v>75</v>
      </c>
      <c r="O78" s="35" t="s">
        <v>63</v>
      </c>
      <c r="P78" s="37" t="s">
        <v>465</v>
      </c>
      <c r="Q78" s="39" t="s">
        <v>162</v>
      </c>
      <c r="R78" s="41" t="s">
        <v>463</v>
      </c>
      <c r="S78" s="39" t="s">
        <v>159</v>
      </c>
      <c r="T78" s="41" t="s">
        <v>46</v>
      </c>
      <c r="U78" s="39" t="s">
        <v>156</v>
      </c>
      <c r="V78" s="41" t="s">
        <v>46</v>
      </c>
      <c r="W78" s="39" t="s">
        <v>157</v>
      </c>
      <c r="X78" s="35" t="s">
        <v>464</v>
      </c>
    </row>
    <row r="79" spans="1:24" ht="28.2" customHeight="1" x14ac:dyDescent="0.3">
      <c r="A79" s="6">
        <f>IF(B79="","",ROW()-COUNTBLANK($B$4:B79)-3)</f>
        <v>76</v>
      </c>
      <c r="B79" s="6" t="str">
        <f>'web survey'!C77</f>
        <v>FU-Z1-Eng</v>
      </c>
      <c r="C79" s="29" t="str">
        <f>'web survey'!AA77</f>
        <v>100892861</v>
      </c>
      <c r="D79" s="18" t="str">
        <f>IF(B79="FU-ACInstall",VLOOKUP(VALUE('web survey'!D77),ref!$B$6:$C$7,2,0)&amp;" ("&amp;'web survey'!D77&amp;")",VLOOKUP(VALUE('web survey'!D77),ref!$E$6:$F$10,2,0)&amp;" ("&amp;'web survey'!D77&amp;")")</f>
        <v>Good (10)</v>
      </c>
      <c r="E79" s="27" t="str">
        <f>'web survey'!S77</f>
        <v/>
      </c>
      <c r="F79" s="18" t="str">
        <f>IF(B79="FU-ACInstall",VLOOKUP(VALUE('web survey'!E77),ref!$B$10:$C$12,2,0)&amp;" ("&amp;'web survey'!E77&amp;")",VLOOKUP(VALUE('web survey'!E77),ref!$E$13:$F$17,2,0)&amp;" ("&amp;'web survey'!E77&amp;")")</f>
        <v>Good (5)</v>
      </c>
      <c r="G79" s="27" t="str">
        <f>'web survey'!T77</f>
        <v/>
      </c>
      <c r="H79" s="18" t="str">
        <f>IF(B79="FU-ACInstall",VLOOKUP(VALUE('web survey'!F77),ref!$B$15:$C$17,2,0)&amp;" ("&amp;'web survey'!F77&amp;")",VLOOKUP(VALUE('web survey'!F77),ref!$E$20:$F$21,2,0)&amp;" ("&amp;'web survey'!F77&amp;")")</f>
        <v>Appropriate with SAP / in Warranty (10)</v>
      </c>
      <c r="I79" s="27" t="str">
        <f>'web survey'!U77</f>
        <v/>
      </c>
      <c r="J79" s="18" t="str">
        <f>IF(B79="FU-ACInstall","-",VLOOKUP(VALUE('web survey'!G77),ref!$E$24:$F$26,2,0)&amp;" ("&amp;'web survey'!G77&amp;")")</f>
        <v>Jelas (5)</v>
      </c>
      <c r="K79" s="6" t="str">
        <f>YEAR('web survey'!Z77)&amp;"-"&amp;IF(MONTH('web survey'!Z77)&lt;10,"0"&amp;MONTH('web survey'!Z77),MONTH('web survey'!Z77))&amp;"-"&amp;IF(DAY('web survey'!Z77)&lt;10,"0"&amp;DAY('web survey'!Z77),DAY('web survey'!Z77))&amp;" "&amp;IF(HOUR('web survey'!Z77)&lt;10,"0"&amp;HOUR('web survey'!Z77),HOUR('web survey'!Z77))&amp;":"&amp;IF(MINUTE('web survey'!Z77)&lt;10,"0"&amp;MINUTE('web survey'!Z77),MINUTE('web survey'!Z77))&amp;(":00'")</f>
        <v>2024-08-21 15:09:00'</v>
      </c>
      <c r="L79" s="33"/>
      <c r="N79" s="35">
        <v>76</v>
      </c>
      <c r="O79" s="35" t="s">
        <v>63</v>
      </c>
      <c r="P79" s="37" t="s">
        <v>469</v>
      </c>
      <c r="Q79" s="39" t="s">
        <v>151</v>
      </c>
      <c r="R79" s="41" t="s">
        <v>46</v>
      </c>
      <c r="S79" s="39" t="s">
        <v>155</v>
      </c>
      <c r="T79" s="41" t="s">
        <v>46</v>
      </c>
      <c r="U79" s="39" t="s">
        <v>156</v>
      </c>
      <c r="V79" s="41" t="s">
        <v>46</v>
      </c>
      <c r="W79" s="39" t="s">
        <v>157</v>
      </c>
      <c r="X79" s="35" t="s">
        <v>464</v>
      </c>
    </row>
    <row r="80" spans="1:24" ht="28.2" customHeight="1" x14ac:dyDescent="0.3">
      <c r="A80" s="6">
        <f>IF(B80="","",ROW()-COUNTBLANK($B$4:B80)-3)</f>
        <v>77</v>
      </c>
      <c r="B80" s="6" t="str">
        <f>'web survey'!C78</f>
        <v>FU-Z1-Eng</v>
      </c>
      <c r="C80" s="29" t="str">
        <f>'web survey'!AA78</f>
        <v>203907625</v>
      </c>
      <c r="D80" s="18" t="str">
        <f>IF(B80="FU-ACInstall",VLOOKUP(VALUE('web survey'!D78),ref!$B$6:$C$7,2,0)&amp;" ("&amp;'web survey'!D78&amp;")",VLOOKUP(VALUE('web survey'!D78),ref!$E$6:$F$10,2,0)&amp;" ("&amp;'web survey'!D78&amp;")")</f>
        <v>Good (10)</v>
      </c>
      <c r="E80" s="27" t="str">
        <f>'web survey'!S78</f>
        <v/>
      </c>
      <c r="F80" s="18" t="str">
        <f>IF(B80="FU-ACInstall",VLOOKUP(VALUE('web survey'!E78),ref!$B$10:$C$12,2,0)&amp;" ("&amp;'web survey'!E78&amp;")",VLOOKUP(VALUE('web survey'!E78),ref!$E$13:$F$17,2,0)&amp;" ("&amp;'web survey'!E78&amp;")")</f>
        <v>Good (5)</v>
      </c>
      <c r="G80" s="27" t="str">
        <f>'web survey'!T78</f>
        <v/>
      </c>
      <c r="H80" s="18" t="str">
        <f>IF(B80="FU-ACInstall",VLOOKUP(VALUE('web survey'!F78),ref!$B$15:$C$17,2,0)&amp;" ("&amp;'web survey'!F78&amp;")",VLOOKUP(VALUE('web survey'!F78),ref!$E$20:$F$21,2,0)&amp;" ("&amp;'web survey'!F78&amp;")")</f>
        <v>Appropriate with SAP / in Warranty (10)</v>
      </c>
      <c r="I80" s="27" t="str">
        <f>'web survey'!U78</f>
        <v/>
      </c>
      <c r="J80" s="18" t="str">
        <f>IF(B80="FU-ACInstall","-",VLOOKUP(VALUE('web survey'!G78),ref!$E$24:$F$26,2,0)&amp;" ("&amp;'web survey'!G78&amp;")")</f>
        <v>Jelas (5)</v>
      </c>
      <c r="K80" s="6" t="str">
        <f>YEAR('web survey'!Z78)&amp;"-"&amp;IF(MONTH('web survey'!Z78)&lt;10,"0"&amp;MONTH('web survey'!Z78),MONTH('web survey'!Z78))&amp;"-"&amp;IF(DAY('web survey'!Z78)&lt;10,"0"&amp;DAY('web survey'!Z78),DAY('web survey'!Z78))&amp;" "&amp;IF(HOUR('web survey'!Z78)&lt;10,"0"&amp;HOUR('web survey'!Z78),HOUR('web survey'!Z78))&amp;":"&amp;IF(MINUTE('web survey'!Z78)&lt;10,"0"&amp;MINUTE('web survey'!Z78),MINUTE('web survey'!Z78))&amp;(":00'")</f>
        <v>2024-08-21 15:09:00'</v>
      </c>
      <c r="L80" s="33"/>
      <c r="N80" s="35">
        <v>77</v>
      </c>
      <c r="O80" s="35" t="s">
        <v>63</v>
      </c>
      <c r="P80" s="37" t="s">
        <v>473</v>
      </c>
      <c r="Q80" s="39" t="s">
        <v>151</v>
      </c>
      <c r="R80" s="41" t="s">
        <v>46</v>
      </c>
      <c r="S80" s="39" t="s">
        <v>155</v>
      </c>
      <c r="T80" s="41" t="s">
        <v>46</v>
      </c>
      <c r="U80" s="39" t="s">
        <v>156</v>
      </c>
      <c r="V80" s="41" t="s">
        <v>46</v>
      </c>
      <c r="W80" s="39" t="s">
        <v>157</v>
      </c>
      <c r="X80" s="35" t="s">
        <v>464</v>
      </c>
    </row>
    <row r="81" spans="1:24" ht="28.2" customHeight="1" x14ac:dyDescent="0.3">
      <c r="A81" s="6">
        <f>IF(B81="","",ROW()-COUNTBLANK($B$4:B81)-3)</f>
        <v>78</v>
      </c>
      <c r="B81" s="6" t="str">
        <f>'web survey'!C79</f>
        <v>FU-Z1-Eng</v>
      </c>
      <c r="C81" s="29" t="str">
        <f>'web survey'!AA79</f>
        <v>203909175</v>
      </c>
      <c r="D81" s="18" t="str">
        <f>IF(B81="FU-ACInstall",VLOOKUP(VALUE('web survey'!D79),ref!$B$6:$C$7,2,0)&amp;" ("&amp;'web survey'!D79&amp;")",VLOOKUP(VALUE('web survey'!D79),ref!$E$6:$F$10,2,0)&amp;" ("&amp;'web survey'!D79&amp;")")</f>
        <v>Good (10)</v>
      </c>
      <c r="E81" s="27" t="str">
        <f>'web survey'!S79</f>
        <v/>
      </c>
      <c r="F81" s="18" t="str">
        <f>IF(B81="FU-ACInstall",VLOOKUP(VALUE('web survey'!E79),ref!$B$10:$C$12,2,0)&amp;" ("&amp;'web survey'!E79&amp;")",VLOOKUP(VALUE('web survey'!E79),ref!$E$13:$F$17,2,0)&amp;" ("&amp;'web survey'!E79&amp;")")</f>
        <v>Good (5)</v>
      </c>
      <c r="G81" s="27" t="str">
        <f>'web survey'!T79</f>
        <v/>
      </c>
      <c r="H81" s="18" t="str">
        <f>IF(B81="FU-ACInstall",VLOOKUP(VALUE('web survey'!F79),ref!$B$15:$C$17,2,0)&amp;" ("&amp;'web survey'!F79&amp;")",VLOOKUP(VALUE('web survey'!F79),ref!$E$20:$F$21,2,0)&amp;" ("&amp;'web survey'!F79&amp;")")</f>
        <v>Appropriate with SAP / in Warranty (10)</v>
      </c>
      <c r="I81" s="27" t="str">
        <f>'web survey'!U79</f>
        <v/>
      </c>
      <c r="J81" s="18" t="str">
        <f>IF(B81="FU-ACInstall","-",VLOOKUP(VALUE('web survey'!G79),ref!$E$24:$F$26,2,0)&amp;" ("&amp;'web survey'!G79&amp;")")</f>
        <v>Jelas (5)</v>
      </c>
      <c r="K81" s="6" t="str">
        <f>YEAR('web survey'!Z79)&amp;"-"&amp;IF(MONTH('web survey'!Z79)&lt;10,"0"&amp;MONTH('web survey'!Z79),MONTH('web survey'!Z79))&amp;"-"&amp;IF(DAY('web survey'!Z79)&lt;10,"0"&amp;DAY('web survey'!Z79),DAY('web survey'!Z79))&amp;" "&amp;IF(HOUR('web survey'!Z79)&lt;10,"0"&amp;HOUR('web survey'!Z79),HOUR('web survey'!Z79))&amp;":"&amp;IF(MINUTE('web survey'!Z79)&lt;10,"0"&amp;MINUTE('web survey'!Z79),MINUTE('web survey'!Z79))&amp;(":00'")</f>
        <v>2024-08-21 15:09:00'</v>
      </c>
      <c r="L81" s="33"/>
      <c r="N81" s="35">
        <v>78</v>
      </c>
      <c r="O81" s="35" t="s">
        <v>63</v>
      </c>
      <c r="P81" s="37" t="s">
        <v>476</v>
      </c>
      <c r="Q81" s="39" t="s">
        <v>151</v>
      </c>
      <c r="R81" s="41" t="s">
        <v>46</v>
      </c>
      <c r="S81" s="39" t="s">
        <v>155</v>
      </c>
      <c r="T81" s="41" t="s">
        <v>46</v>
      </c>
      <c r="U81" s="39" t="s">
        <v>156</v>
      </c>
      <c r="V81" s="41" t="s">
        <v>46</v>
      </c>
      <c r="W81" s="39" t="s">
        <v>157</v>
      </c>
      <c r="X81" s="35" t="s">
        <v>464</v>
      </c>
    </row>
    <row r="82" spans="1:24" ht="28.2" customHeight="1" x14ac:dyDescent="0.3">
      <c r="A82" s="6">
        <f>IF(B82="","",ROW()-COUNTBLANK($B$4:B82)-3)</f>
        <v>79</v>
      </c>
      <c r="B82" s="6" t="str">
        <f>'web survey'!C80</f>
        <v>FU-Z1-Eng</v>
      </c>
      <c r="C82" s="29" t="str">
        <f>'web survey'!AA80</f>
        <v>203909097</v>
      </c>
      <c r="D82" s="18" t="str">
        <f>IF(B82="FU-ACInstall",VLOOKUP(VALUE('web survey'!D80),ref!$B$6:$C$7,2,0)&amp;" ("&amp;'web survey'!D80&amp;")",VLOOKUP(VALUE('web survey'!D80),ref!$E$6:$F$10,2,0)&amp;" ("&amp;'web survey'!D80&amp;")")</f>
        <v>Good (10)</v>
      </c>
      <c r="E82" s="27" t="str">
        <f>'web survey'!S80</f>
        <v/>
      </c>
      <c r="F82" s="18" t="str">
        <f>IF(B82="FU-ACInstall",VLOOKUP(VALUE('web survey'!E80),ref!$B$10:$C$12,2,0)&amp;" ("&amp;'web survey'!E80&amp;")",VLOOKUP(VALUE('web survey'!E80),ref!$E$13:$F$17,2,0)&amp;" ("&amp;'web survey'!E80&amp;")")</f>
        <v>Very Good (10)</v>
      </c>
      <c r="G82" s="27" t="str">
        <f>'web survey'!T80</f>
        <v/>
      </c>
      <c r="H82" s="18" t="str">
        <f>IF(B82="FU-ACInstall",VLOOKUP(VALUE('web survey'!F80),ref!$B$15:$C$17,2,0)&amp;" ("&amp;'web survey'!F80&amp;")",VLOOKUP(VALUE('web survey'!F80),ref!$E$20:$F$21,2,0)&amp;" ("&amp;'web survey'!F80&amp;")")</f>
        <v>Appropriate with SAP / in Warranty (10)</v>
      </c>
      <c r="I82" s="27" t="str">
        <f>'web survey'!U80</f>
        <v/>
      </c>
      <c r="J82" s="18" t="str">
        <f>IF(B82="FU-ACInstall","-",VLOOKUP(VALUE('web survey'!G80),ref!$E$24:$F$26,2,0)&amp;" ("&amp;'web survey'!G80&amp;")")</f>
        <v>Jelas (5)</v>
      </c>
      <c r="K82" s="6" t="str">
        <f>YEAR('web survey'!Z80)&amp;"-"&amp;IF(MONTH('web survey'!Z80)&lt;10,"0"&amp;MONTH('web survey'!Z80),MONTH('web survey'!Z80))&amp;"-"&amp;IF(DAY('web survey'!Z80)&lt;10,"0"&amp;DAY('web survey'!Z80),DAY('web survey'!Z80))&amp;" "&amp;IF(HOUR('web survey'!Z80)&lt;10,"0"&amp;HOUR('web survey'!Z80),HOUR('web survey'!Z80))&amp;":"&amp;IF(MINUTE('web survey'!Z80)&lt;10,"0"&amp;MINUTE('web survey'!Z80),MINUTE('web survey'!Z80))&amp;(":00'")</f>
        <v>2024-08-21 15:08:00'</v>
      </c>
      <c r="L82" s="33"/>
      <c r="N82" s="35">
        <v>79</v>
      </c>
      <c r="O82" s="35" t="s">
        <v>63</v>
      </c>
      <c r="P82" s="37" t="s">
        <v>480</v>
      </c>
      <c r="Q82" s="39" t="s">
        <v>151</v>
      </c>
      <c r="R82" s="41" t="s">
        <v>46</v>
      </c>
      <c r="S82" s="39" t="s">
        <v>159</v>
      </c>
      <c r="T82" s="41" t="s">
        <v>46</v>
      </c>
      <c r="U82" s="39" t="s">
        <v>156</v>
      </c>
      <c r="V82" s="41" t="s">
        <v>46</v>
      </c>
      <c r="W82" s="39" t="s">
        <v>157</v>
      </c>
      <c r="X82" s="35" t="s">
        <v>479</v>
      </c>
    </row>
    <row r="83" spans="1:24" ht="28.2" customHeight="1" x14ac:dyDescent="0.3">
      <c r="A83" s="6">
        <f>IF(B83="","",ROW()-COUNTBLANK($B$4:B83)-3)</f>
        <v>80</v>
      </c>
      <c r="B83" s="6" t="str">
        <f>'web survey'!C81</f>
        <v>FU-Z1-Eng</v>
      </c>
      <c r="C83" s="29" t="str">
        <f>'web survey'!AA81</f>
        <v>203908998</v>
      </c>
      <c r="D83" s="18" t="str">
        <f>IF(B83="FU-ACInstall",VLOOKUP(VALUE('web survey'!D81),ref!$B$6:$C$7,2,0)&amp;" ("&amp;'web survey'!D81&amp;")",VLOOKUP(VALUE('web survey'!D81),ref!$E$6:$F$10,2,0)&amp;" ("&amp;'web survey'!D81&amp;")")</f>
        <v>Good (10)</v>
      </c>
      <c r="E83" s="27" t="str">
        <f>'web survey'!S81</f>
        <v/>
      </c>
      <c r="F83" s="18" t="str">
        <f>IF(B83="FU-ACInstall",VLOOKUP(VALUE('web survey'!E81),ref!$B$10:$C$12,2,0)&amp;" ("&amp;'web survey'!E81&amp;")",VLOOKUP(VALUE('web survey'!E81),ref!$E$13:$F$17,2,0)&amp;" ("&amp;'web survey'!E81&amp;")")</f>
        <v>Very Good (10)</v>
      </c>
      <c r="G83" s="27" t="str">
        <f>'web survey'!T81</f>
        <v/>
      </c>
      <c r="H83" s="18" t="str">
        <f>IF(B83="FU-ACInstall",VLOOKUP(VALUE('web survey'!F81),ref!$B$15:$C$17,2,0)&amp;" ("&amp;'web survey'!F81&amp;")",VLOOKUP(VALUE('web survey'!F81),ref!$E$20:$F$21,2,0)&amp;" ("&amp;'web survey'!F81&amp;")")</f>
        <v>Appropriate with SAP / in Warranty (10)</v>
      </c>
      <c r="I83" s="27" t="str">
        <f>'web survey'!U81</f>
        <v/>
      </c>
      <c r="J83" s="18" t="str">
        <f>IF(B83="FU-ACInstall","-",VLOOKUP(VALUE('web survey'!G81),ref!$E$24:$F$26,2,0)&amp;" ("&amp;'web survey'!G81&amp;")")</f>
        <v>Jelas (5)</v>
      </c>
      <c r="K83" s="6" t="str">
        <f>YEAR('web survey'!Z81)&amp;"-"&amp;IF(MONTH('web survey'!Z81)&lt;10,"0"&amp;MONTH('web survey'!Z81),MONTH('web survey'!Z81))&amp;"-"&amp;IF(DAY('web survey'!Z81)&lt;10,"0"&amp;DAY('web survey'!Z81),DAY('web survey'!Z81))&amp;" "&amp;IF(HOUR('web survey'!Z81)&lt;10,"0"&amp;HOUR('web survey'!Z81),HOUR('web survey'!Z81))&amp;":"&amp;IF(MINUTE('web survey'!Z81)&lt;10,"0"&amp;MINUTE('web survey'!Z81),MINUTE('web survey'!Z81))&amp;(":00'")</f>
        <v>2024-08-21 15:08:00'</v>
      </c>
      <c r="L83" s="33"/>
      <c r="N83" s="35">
        <v>80</v>
      </c>
      <c r="O83" s="35" t="s">
        <v>63</v>
      </c>
      <c r="P83" s="37" t="s">
        <v>484</v>
      </c>
      <c r="Q83" s="39" t="s">
        <v>151</v>
      </c>
      <c r="R83" s="41" t="s">
        <v>46</v>
      </c>
      <c r="S83" s="39" t="s">
        <v>159</v>
      </c>
      <c r="T83" s="41" t="s">
        <v>46</v>
      </c>
      <c r="U83" s="39" t="s">
        <v>156</v>
      </c>
      <c r="V83" s="41" t="s">
        <v>46</v>
      </c>
      <c r="W83" s="39" t="s">
        <v>157</v>
      </c>
      <c r="X83" s="35" t="s">
        <v>479</v>
      </c>
    </row>
    <row r="84" spans="1:24" ht="28.2" customHeight="1" x14ac:dyDescent="0.3">
      <c r="A84" s="6">
        <f>IF(B84="","",ROW()-COUNTBLANK($B$4:B84)-3)</f>
        <v>81</v>
      </c>
      <c r="B84" s="6" t="str">
        <f>'web survey'!C82</f>
        <v>FU-Z1-Eng</v>
      </c>
      <c r="C84" s="29" t="str">
        <f>'web survey'!AA82</f>
        <v>1100311918</v>
      </c>
      <c r="D84" s="18" t="str">
        <f>IF(B84="FU-ACInstall",VLOOKUP(VALUE('web survey'!D82),ref!$B$6:$C$7,2,0)&amp;" ("&amp;'web survey'!D82&amp;")",VLOOKUP(VALUE('web survey'!D82),ref!$E$6:$F$10,2,0)&amp;" ("&amp;'web survey'!D82&amp;")")</f>
        <v>Good (10)</v>
      </c>
      <c r="E84" s="27" t="str">
        <f>'web survey'!S82</f>
        <v/>
      </c>
      <c r="F84" s="18" t="str">
        <f>IF(B84="FU-ACInstall",VLOOKUP(VALUE('web survey'!E82),ref!$B$10:$C$12,2,0)&amp;" ("&amp;'web survey'!E82&amp;")",VLOOKUP(VALUE('web survey'!E82),ref!$E$13:$F$17,2,0)&amp;" ("&amp;'web survey'!E82&amp;")")</f>
        <v>Very Good (10)</v>
      </c>
      <c r="G84" s="27" t="str">
        <f>'web survey'!T82</f>
        <v/>
      </c>
      <c r="H84" s="18" t="str">
        <f>IF(B84="FU-ACInstall",VLOOKUP(VALUE('web survey'!F82),ref!$B$15:$C$17,2,0)&amp;" ("&amp;'web survey'!F82&amp;")",VLOOKUP(VALUE('web survey'!F82),ref!$E$20:$F$21,2,0)&amp;" ("&amp;'web survey'!F82&amp;")")</f>
        <v>Appropriate with SAP / in Warranty (10)</v>
      </c>
      <c r="I84" s="27" t="str">
        <f>'web survey'!U82</f>
        <v/>
      </c>
      <c r="J84" s="18" t="str">
        <f>IF(B84="FU-ACInstall","-",VLOOKUP(VALUE('web survey'!G82),ref!$E$24:$F$26,2,0)&amp;" ("&amp;'web survey'!G82&amp;")")</f>
        <v>Jelas (5)</v>
      </c>
      <c r="K84" s="6" t="str">
        <f>YEAR('web survey'!Z82)&amp;"-"&amp;IF(MONTH('web survey'!Z82)&lt;10,"0"&amp;MONTH('web survey'!Z82),MONTH('web survey'!Z82))&amp;"-"&amp;IF(DAY('web survey'!Z82)&lt;10,"0"&amp;DAY('web survey'!Z82),DAY('web survey'!Z82))&amp;" "&amp;IF(HOUR('web survey'!Z82)&lt;10,"0"&amp;HOUR('web survey'!Z82),HOUR('web survey'!Z82))&amp;":"&amp;IF(MINUTE('web survey'!Z82)&lt;10,"0"&amp;MINUTE('web survey'!Z82),MINUTE('web survey'!Z82))&amp;(":00'")</f>
        <v>2024-08-21 15:08:00'</v>
      </c>
      <c r="L84" s="33"/>
      <c r="N84" s="35">
        <v>81</v>
      </c>
      <c r="O84" s="35" t="s">
        <v>63</v>
      </c>
      <c r="P84" s="37" t="s">
        <v>488</v>
      </c>
      <c r="Q84" s="39" t="s">
        <v>151</v>
      </c>
      <c r="R84" s="41" t="s">
        <v>46</v>
      </c>
      <c r="S84" s="39" t="s">
        <v>159</v>
      </c>
      <c r="T84" s="41" t="s">
        <v>46</v>
      </c>
      <c r="U84" s="39" t="s">
        <v>156</v>
      </c>
      <c r="V84" s="41" t="s">
        <v>46</v>
      </c>
      <c r="W84" s="39" t="s">
        <v>157</v>
      </c>
      <c r="X84" s="35" t="s">
        <v>479</v>
      </c>
    </row>
    <row r="85" spans="1:24" ht="28.2" customHeight="1" x14ac:dyDescent="0.3">
      <c r="A85" s="6">
        <f>IF(B85="","",ROW()-COUNTBLANK($B$4:B85)-3)</f>
        <v>82</v>
      </c>
      <c r="B85" s="6" t="str">
        <f>'web survey'!C83</f>
        <v>FU-Z1-Eng</v>
      </c>
      <c r="C85" s="29" t="str">
        <f>'web survey'!AA83</f>
        <v>1100312301</v>
      </c>
      <c r="D85" s="18" t="str">
        <f>IF(B85="FU-ACInstall",VLOOKUP(VALUE('web survey'!D83),ref!$B$6:$C$7,2,0)&amp;" ("&amp;'web survey'!D83&amp;")",VLOOKUP(VALUE('web survey'!D83),ref!$E$6:$F$10,2,0)&amp;" ("&amp;'web survey'!D83&amp;")")</f>
        <v>Good (10)</v>
      </c>
      <c r="E85" s="27" t="str">
        <f>'web survey'!S83</f>
        <v/>
      </c>
      <c r="F85" s="18" t="str">
        <f>IF(B85="FU-ACInstall",VLOOKUP(VALUE('web survey'!E83),ref!$B$10:$C$12,2,0)&amp;" ("&amp;'web survey'!E83&amp;")",VLOOKUP(VALUE('web survey'!E83),ref!$E$13:$F$17,2,0)&amp;" ("&amp;'web survey'!E83&amp;")")</f>
        <v>Good (5)</v>
      </c>
      <c r="G85" s="27" t="str">
        <f>'web survey'!T83</f>
        <v/>
      </c>
      <c r="H85" s="18" t="str">
        <f>IF(B85="FU-ACInstall",VLOOKUP(VALUE('web survey'!F83),ref!$B$15:$C$17,2,0)&amp;" ("&amp;'web survey'!F83&amp;")",VLOOKUP(VALUE('web survey'!F83),ref!$E$20:$F$21,2,0)&amp;" ("&amp;'web survey'!F83&amp;")")</f>
        <v>Appropriate with SAP / in Warranty (10)</v>
      </c>
      <c r="I85" s="27" t="str">
        <f>'web survey'!U83</f>
        <v/>
      </c>
      <c r="J85" s="18" t="str">
        <f>IF(B85="FU-ACInstall","-",VLOOKUP(VALUE('web survey'!G83),ref!$E$24:$F$26,2,0)&amp;" ("&amp;'web survey'!G83&amp;")")</f>
        <v>Jelas (5)</v>
      </c>
      <c r="K85" s="6" t="str">
        <f>YEAR('web survey'!Z83)&amp;"-"&amp;IF(MONTH('web survey'!Z83)&lt;10,"0"&amp;MONTH('web survey'!Z83),MONTH('web survey'!Z83))&amp;"-"&amp;IF(DAY('web survey'!Z83)&lt;10,"0"&amp;DAY('web survey'!Z83),DAY('web survey'!Z83))&amp;" "&amp;IF(HOUR('web survey'!Z83)&lt;10,"0"&amp;HOUR('web survey'!Z83),HOUR('web survey'!Z83))&amp;":"&amp;IF(MINUTE('web survey'!Z83)&lt;10,"0"&amp;MINUTE('web survey'!Z83),MINUTE('web survey'!Z83))&amp;(":00'")</f>
        <v>2024-08-21 15:08:00'</v>
      </c>
      <c r="L85" s="33"/>
      <c r="N85" s="35">
        <v>82</v>
      </c>
      <c r="O85" s="35" t="s">
        <v>63</v>
      </c>
      <c r="P85" s="37" t="s">
        <v>491</v>
      </c>
      <c r="Q85" s="39" t="s">
        <v>151</v>
      </c>
      <c r="R85" s="41" t="s">
        <v>46</v>
      </c>
      <c r="S85" s="39" t="s">
        <v>155</v>
      </c>
      <c r="T85" s="41" t="s">
        <v>46</v>
      </c>
      <c r="U85" s="39" t="s">
        <v>156</v>
      </c>
      <c r="V85" s="41" t="s">
        <v>46</v>
      </c>
      <c r="W85" s="39" t="s">
        <v>157</v>
      </c>
      <c r="X85" s="35" t="s">
        <v>479</v>
      </c>
    </row>
    <row r="86" spans="1:24" ht="28.2" customHeight="1" x14ac:dyDescent="0.3">
      <c r="A86" s="6">
        <f>IF(B86="","",ROW()-COUNTBLANK($B$4:B86)-3)</f>
        <v>83</v>
      </c>
      <c r="B86" s="6" t="str">
        <f>'web survey'!C84</f>
        <v>FU-Z1-Eng</v>
      </c>
      <c r="C86" s="29" t="str">
        <f>'web survey'!AA84</f>
        <v>203907857</v>
      </c>
      <c r="D86" s="18" t="str">
        <f>IF(B86="FU-ACInstall",VLOOKUP(VALUE('web survey'!D84),ref!$B$6:$C$7,2,0)&amp;" ("&amp;'web survey'!D84&amp;")",VLOOKUP(VALUE('web survey'!D84),ref!$E$6:$F$10,2,0)&amp;" ("&amp;'web survey'!D84&amp;")")</f>
        <v>Good (10)</v>
      </c>
      <c r="E86" s="27" t="str">
        <f>'web survey'!S84</f>
        <v/>
      </c>
      <c r="F86" s="18" t="str">
        <f>IF(B86="FU-ACInstall",VLOOKUP(VALUE('web survey'!E84),ref!$B$10:$C$12,2,0)&amp;" ("&amp;'web survey'!E84&amp;")",VLOOKUP(VALUE('web survey'!E84),ref!$E$13:$F$17,2,0)&amp;" ("&amp;'web survey'!E84&amp;")")</f>
        <v>Very Good (10)</v>
      </c>
      <c r="G86" s="27" t="str">
        <f>'web survey'!T84</f>
        <v/>
      </c>
      <c r="H86" s="18" t="str">
        <f>IF(B86="FU-ACInstall",VLOOKUP(VALUE('web survey'!F84),ref!$B$15:$C$17,2,0)&amp;" ("&amp;'web survey'!F84&amp;")",VLOOKUP(VALUE('web survey'!F84),ref!$E$20:$F$21,2,0)&amp;" ("&amp;'web survey'!F84&amp;")")</f>
        <v>Different with SAP (-10)</v>
      </c>
      <c r="I86" s="27" t="str">
        <f>'web survey'!U84</f>
        <v/>
      </c>
      <c r="J86" s="18" t="str">
        <f>IF(B86="FU-ACInstall","-",VLOOKUP(VALUE('web survey'!G84),ref!$E$24:$F$26,2,0)&amp;" ("&amp;'web survey'!G84&amp;")")</f>
        <v>Jelas (5)</v>
      </c>
      <c r="K86" s="6" t="str">
        <f>YEAR('web survey'!Z84)&amp;"-"&amp;IF(MONTH('web survey'!Z84)&lt;10,"0"&amp;MONTH('web survey'!Z84),MONTH('web survey'!Z84))&amp;"-"&amp;IF(DAY('web survey'!Z84)&lt;10,"0"&amp;DAY('web survey'!Z84),DAY('web survey'!Z84))&amp;" "&amp;IF(HOUR('web survey'!Z84)&lt;10,"0"&amp;HOUR('web survey'!Z84),HOUR('web survey'!Z84))&amp;":"&amp;IF(MINUTE('web survey'!Z84)&lt;10,"0"&amp;MINUTE('web survey'!Z84),MINUTE('web survey'!Z84))&amp;(":00'")</f>
        <v>2024-08-21 15:08:00'</v>
      </c>
      <c r="L86" s="33"/>
      <c r="N86" s="35">
        <v>83</v>
      </c>
      <c r="O86" s="35" t="s">
        <v>63</v>
      </c>
      <c r="P86" s="37" t="s">
        <v>494</v>
      </c>
      <c r="Q86" s="39" t="s">
        <v>151</v>
      </c>
      <c r="R86" s="41" t="s">
        <v>46</v>
      </c>
      <c r="S86" s="39" t="s">
        <v>159</v>
      </c>
      <c r="T86" s="41" t="s">
        <v>46</v>
      </c>
      <c r="U86" s="39" t="s">
        <v>160</v>
      </c>
      <c r="V86" s="41" t="s">
        <v>46</v>
      </c>
      <c r="W86" s="39" t="s">
        <v>157</v>
      </c>
      <c r="X86" s="35" t="s">
        <v>479</v>
      </c>
    </row>
    <row r="87" spans="1:24" ht="28.2" customHeight="1" x14ac:dyDescent="0.3">
      <c r="A87" s="6">
        <f>IF(B87="","",ROW()-COUNTBLANK($B$4:B87)-3)</f>
        <v>84</v>
      </c>
      <c r="B87" s="6" t="str">
        <f>'web survey'!C85</f>
        <v>FU-Z1-Eng</v>
      </c>
      <c r="C87" s="29" t="str">
        <f>'web survey'!AA85</f>
        <v>203907303</v>
      </c>
      <c r="D87" s="18" t="str">
        <f>IF(B87="FU-ACInstall",VLOOKUP(VALUE('web survey'!D85),ref!$B$6:$C$7,2,0)&amp;" ("&amp;'web survey'!D85&amp;")",VLOOKUP(VALUE('web survey'!D85),ref!$E$6:$F$10,2,0)&amp;" ("&amp;'web survey'!D85&amp;")")</f>
        <v>Good (10)</v>
      </c>
      <c r="E87" s="27" t="str">
        <f>'web survey'!S85</f>
        <v/>
      </c>
      <c r="F87" s="18" t="str">
        <f>IF(B87="FU-ACInstall",VLOOKUP(VALUE('web survey'!E85),ref!$B$10:$C$12,2,0)&amp;" ("&amp;'web survey'!E85&amp;")",VLOOKUP(VALUE('web survey'!E85),ref!$E$13:$F$17,2,0)&amp;" ("&amp;'web survey'!E85&amp;")")</f>
        <v>Good (5)</v>
      </c>
      <c r="G87" s="27" t="str">
        <f>'web survey'!T85</f>
        <v/>
      </c>
      <c r="H87" s="18" t="str">
        <f>IF(B87="FU-ACInstall",VLOOKUP(VALUE('web survey'!F85),ref!$B$15:$C$17,2,0)&amp;" ("&amp;'web survey'!F85&amp;")",VLOOKUP(VALUE('web survey'!F85),ref!$E$20:$F$21,2,0)&amp;" ("&amp;'web survey'!F85&amp;")")</f>
        <v>Appropriate with SAP / in Warranty (10)</v>
      </c>
      <c r="I87" s="27" t="str">
        <f>'web survey'!U85</f>
        <v/>
      </c>
      <c r="J87" s="18" t="str">
        <f>IF(B87="FU-ACInstall","-",VLOOKUP(VALUE('web survey'!G85),ref!$E$24:$F$26,2,0)&amp;" ("&amp;'web survey'!G85&amp;")")</f>
        <v>Jelas (5)</v>
      </c>
      <c r="K87" s="6" t="str">
        <f>YEAR('web survey'!Z85)&amp;"-"&amp;IF(MONTH('web survey'!Z85)&lt;10,"0"&amp;MONTH('web survey'!Z85),MONTH('web survey'!Z85))&amp;"-"&amp;IF(DAY('web survey'!Z85)&lt;10,"0"&amp;DAY('web survey'!Z85),DAY('web survey'!Z85))&amp;" "&amp;IF(HOUR('web survey'!Z85)&lt;10,"0"&amp;HOUR('web survey'!Z85),HOUR('web survey'!Z85))&amp;":"&amp;IF(MINUTE('web survey'!Z85)&lt;10,"0"&amp;MINUTE('web survey'!Z85),MINUTE('web survey'!Z85))&amp;(":00'")</f>
        <v>2024-08-21 15:08:00'</v>
      </c>
      <c r="L87" s="33"/>
      <c r="N87" s="35">
        <v>84</v>
      </c>
      <c r="O87" s="35" t="s">
        <v>63</v>
      </c>
      <c r="P87" s="37" t="s">
        <v>497</v>
      </c>
      <c r="Q87" s="39" t="s">
        <v>151</v>
      </c>
      <c r="R87" s="41" t="s">
        <v>46</v>
      </c>
      <c r="S87" s="39" t="s">
        <v>155</v>
      </c>
      <c r="T87" s="41" t="s">
        <v>46</v>
      </c>
      <c r="U87" s="39" t="s">
        <v>156</v>
      </c>
      <c r="V87" s="41" t="s">
        <v>46</v>
      </c>
      <c r="W87" s="39" t="s">
        <v>157</v>
      </c>
      <c r="X87" s="35" t="s">
        <v>479</v>
      </c>
    </row>
    <row r="88" spans="1:24" ht="28.2" customHeight="1" x14ac:dyDescent="0.3">
      <c r="A88" s="6">
        <f>IF(B88="","",ROW()-COUNTBLANK($B$4:B88)-3)</f>
        <v>85</v>
      </c>
      <c r="B88" s="6" t="str">
        <f>'web survey'!C86</f>
        <v>FU-Z1-Eng</v>
      </c>
      <c r="C88" s="29" t="str">
        <f>'web survey'!AA86</f>
        <v>203907119</v>
      </c>
      <c r="D88" s="18" t="str">
        <f>IF(B88="FU-ACInstall",VLOOKUP(VALUE('web survey'!D86),ref!$B$6:$C$7,2,0)&amp;" ("&amp;'web survey'!D86&amp;")",VLOOKUP(VALUE('web survey'!D86),ref!$E$6:$F$10,2,0)&amp;" ("&amp;'web survey'!D86&amp;")")</f>
        <v>Good (10)</v>
      </c>
      <c r="E88" s="27" t="str">
        <f>'web survey'!S86</f>
        <v/>
      </c>
      <c r="F88" s="18" t="str">
        <f>IF(B88="FU-ACInstall",VLOOKUP(VALUE('web survey'!E86),ref!$B$10:$C$12,2,0)&amp;" ("&amp;'web survey'!E86&amp;")",VLOOKUP(VALUE('web survey'!E86),ref!$E$13:$F$17,2,0)&amp;" ("&amp;'web survey'!E86&amp;")")</f>
        <v>Very Good (10)</v>
      </c>
      <c r="G88" s="27" t="str">
        <f>'web survey'!T86</f>
        <v/>
      </c>
      <c r="H88" s="18" t="str">
        <f>IF(B88="FU-ACInstall",VLOOKUP(VALUE('web survey'!F86),ref!$B$15:$C$17,2,0)&amp;" ("&amp;'web survey'!F86&amp;")",VLOOKUP(VALUE('web survey'!F86),ref!$E$20:$F$21,2,0)&amp;" ("&amp;'web survey'!F86&amp;")")</f>
        <v>Appropriate with SAP / in Warranty (10)</v>
      </c>
      <c r="I88" s="27" t="str">
        <f>'web survey'!U86</f>
        <v/>
      </c>
      <c r="J88" s="18" t="str">
        <f>IF(B88="FU-ACInstall","-",VLOOKUP(VALUE('web survey'!G86),ref!$E$24:$F$26,2,0)&amp;" ("&amp;'web survey'!G86&amp;")")</f>
        <v>Jelas (5)</v>
      </c>
      <c r="K88" s="6" t="str">
        <f>YEAR('web survey'!Z86)&amp;"-"&amp;IF(MONTH('web survey'!Z86)&lt;10,"0"&amp;MONTH('web survey'!Z86),MONTH('web survey'!Z86))&amp;"-"&amp;IF(DAY('web survey'!Z86)&lt;10,"0"&amp;DAY('web survey'!Z86),DAY('web survey'!Z86))&amp;" "&amp;IF(HOUR('web survey'!Z86)&lt;10,"0"&amp;HOUR('web survey'!Z86),HOUR('web survey'!Z86))&amp;":"&amp;IF(MINUTE('web survey'!Z86)&lt;10,"0"&amp;MINUTE('web survey'!Z86),MINUTE('web survey'!Z86))&amp;(":00'")</f>
        <v>2024-08-21 15:07:00'</v>
      </c>
      <c r="L88" s="33"/>
      <c r="N88" s="35">
        <v>85</v>
      </c>
      <c r="O88" s="35" t="s">
        <v>63</v>
      </c>
      <c r="P88" s="37" t="s">
        <v>501</v>
      </c>
      <c r="Q88" s="39" t="s">
        <v>151</v>
      </c>
      <c r="R88" s="41" t="s">
        <v>46</v>
      </c>
      <c r="S88" s="39" t="s">
        <v>159</v>
      </c>
      <c r="T88" s="41" t="s">
        <v>46</v>
      </c>
      <c r="U88" s="39" t="s">
        <v>156</v>
      </c>
      <c r="V88" s="41" t="s">
        <v>46</v>
      </c>
      <c r="W88" s="39" t="s">
        <v>157</v>
      </c>
      <c r="X88" s="35" t="s">
        <v>500</v>
      </c>
    </row>
    <row r="89" spans="1:24" ht="28.2" customHeight="1" x14ac:dyDescent="0.3">
      <c r="A89" s="6">
        <f>IF(B89="","",ROW()-COUNTBLANK($B$4:B89)-3)</f>
        <v>86</v>
      </c>
      <c r="B89" s="6" t="str">
        <f>'web survey'!C87</f>
        <v>FU-Z1-Eng</v>
      </c>
      <c r="C89" s="29" t="str">
        <f>'web survey'!AA87</f>
        <v>203907813</v>
      </c>
      <c r="D89" s="18" t="str">
        <f>IF(B89="FU-ACInstall",VLOOKUP(VALUE('web survey'!D87),ref!$B$6:$C$7,2,0)&amp;" ("&amp;'web survey'!D87&amp;")",VLOOKUP(VALUE('web survey'!D87),ref!$E$6:$F$10,2,0)&amp;" ("&amp;'web survey'!D87&amp;")")</f>
        <v>Good (10)</v>
      </c>
      <c r="E89" s="27" t="str">
        <f>'web survey'!S87</f>
        <v/>
      </c>
      <c r="F89" s="18" t="str">
        <f>IF(B89="FU-ACInstall",VLOOKUP(VALUE('web survey'!E87),ref!$B$10:$C$12,2,0)&amp;" ("&amp;'web survey'!E87&amp;")",VLOOKUP(VALUE('web survey'!E87),ref!$E$13:$F$17,2,0)&amp;" ("&amp;'web survey'!E87&amp;")")</f>
        <v>Very Good (10)</v>
      </c>
      <c r="G89" s="27" t="str">
        <f>'web survey'!T87</f>
        <v/>
      </c>
      <c r="H89" s="18" t="str">
        <f>IF(B89="FU-ACInstall",VLOOKUP(VALUE('web survey'!F87),ref!$B$15:$C$17,2,0)&amp;" ("&amp;'web survey'!F87&amp;")",VLOOKUP(VALUE('web survey'!F87),ref!$E$20:$F$21,2,0)&amp;" ("&amp;'web survey'!F87&amp;")")</f>
        <v>Appropriate with SAP / in Warranty (10)</v>
      </c>
      <c r="I89" s="27" t="str">
        <f>'web survey'!U87</f>
        <v/>
      </c>
      <c r="J89" s="18" t="str">
        <f>IF(B89="FU-ACInstall","-",VLOOKUP(VALUE('web survey'!G87),ref!$E$24:$F$26,2,0)&amp;" ("&amp;'web survey'!G87&amp;")")</f>
        <v>Jelas (5)</v>
      </c>
      <c r="K89" s="6" t="str">
        <f>YEAR('web survey'!Z87)&amp;"-"&amp;IF(MONTH('web survey'!Z87)&lt;10,"0"&amp;MONTH('web survey'!Z87),MONTH('web survey'!Z87))&amp;"-"&amp;IF(DAY('web survey'!Z87)&lt;10,"0"&amp;DAY('web survey'!Z87),DAY('web survey'!Z87))&amp;" "&amp;IF(HOUR('web survey'!Z87)&lt;10,"0"&amp;HOUR('web survey'!Z87),HOUR('web survey'!Z87))&amp;":"&amp;IF(MINUTE('web survey'!Z87)&lt;10,"0"&amp;MINUTE('web survey'!Z87),MINUTE('web survey'!Z87))&amp;(":00'")</f>
        <v>2024-08-21 15:07:00'</v>
      </c>
      <c r="L89" s="33"/>
      <c r="N89" s="35">
        <v>86</v>
      </c>
      <c r="O89" s="35" t="s">
        <v>63</v>
      </c>
      <c r="P89" s="37" t="s">
        <v>504</v>
      </c>
      <c r="Q89" s="39" t="s">
        <v>151</v>
      </c>
      <c r="R89" s="41" t="s">
        <v>46</v>
      </c>
      <c r="S89" s="39" t="s">
        <v>159</v>
      </c>
      <c r="T89" s="41" t="s">
        <v>46</v>
      </c>
      <c r="U89" s="39" t="s">
        <v>156</v>
      </c>
      <c r="V89" s="41" t="s">
        <v>46</v>
      </c>
      <c r="W89" s="39" t="s">
        <v>157</v>
      </c>
      <c r="X89" s="35" t="s">
        <v>500</v>
      </c>
    </row>
    <row r="90" spans="1:24" ht="28.2" customHeight="1" x14ac:dyDescent="0.3">
      <c r="A90" s="6">
        <f>IF(B90="","",ROW()-COUNTBLANK($B$4:B90)-3)</f>
        <v>87</v>
      </c>
      <c r="B90" s="6" t="str">
        <f>'web survey'!C88</f>
        <v>FU-Z1-Eng</v>
      </c>
      <c r="C90" s="29" t="str">
        <f>'web survey'!AA88</f>
        <v>203891979</v>
      </c>
      <c r="D90" s="18" t="str">
        <f>IF(B90="FU-ACInstall",VLOOKUP(VALUE('web survey'!D88),ref!$B$6:$C$7,2,0)&amp;" ("&amp;'web survey'!D88&amp;")",VLOOKUP(VALUE('web survey'!D88),ref!$E$6:$F$10,2,0)&amp;" ("&amp;'web survey'!D88&amp;")")</f>
        <v>Good (10)</v>
      </c>
      <c r="E90" s="27" t="str">
        <f>'web survey'!S88</f>
        <v/>
      </c>
      <c r="F90" s="18" t="str">
        <f>IF(B90="FU-ACInstall",VLOOKUP(VALUE('web survey'!E88),ref!$B$10:$C$12,2,0)&amp;" ("&amp;'web survey'!E88&amp;")",VLOOKUP(VALUE('web survey'!E88),ref!$E$13:$F$17,2,0)&amp;" ("&amp;'web survey'!E88&amp;")")</f>
        <v>Very Good (10)</v>
      </c>
      <c r="G90" s="27" t="str">
        <f>'web survey'!T88</f>
        <v/>
      </c>
      <c r="H90" s="18" t="str">
        <f>IF(B90="FU-ACInstall",VLOOKUP(VALUE('web survey'!F88),ref!$B$15:$C$17,2,0)&amp;" ("&amp;'web survey'!F88&amp;")",VLOOKUP(VALUE('web survey'!F88),ref!$E$20:$F$21,2,0)&amp;" ("&amp;'web survey'!F88&amp;")")</f>
        <v>Appropriate with SAP / in Warranty (10)</v>
      </c>
      <c r="I90" s="27" t="str">
        <f>'web survey'!U88</f>
        <v/>
      </c>
      <c r="J90" s="18" t="e">
        <f>IF(B90="FU-ACInstall","-",VLOOKUP(VALUE('web survey'!G88),ref!$E$24:$F$26,2,0)&amp;" ("&amp;'web survey'!G88&amp;")")</f>
        <v>#N/A</v>
      </c>
      <c r="K90" s="6" t="str">
        <f>YEAR('web survey'!Z88)&amp;"-"&amp;IF(MONTH('web survey'!Z88)&lt;10,"0"&amp;MONTH('web survey'!Z88),MONTH('web survey'!Z88))&amp;"-"&amp;IF(DAY('web survey'!Z88)&lt;10,"0"&amp;DAY('web survey'!Z88),DAY('web survey'!Z88))&amp;" "&amp;IF(HOUR('web survey'!Z88)&lt;10,"0"&amp;HOUR('web survey'!Z88),HOUR('web survey'!Z88))&amp;":"&amp;IF(MINUTE('web survey'!Z88)&lt;10,"0"&amp;MINUTE('web survey'!Z88),MINUTE('web survey'!Z88))&amp;(":00'")</f>
        <v>2024-08-21 15:07:00'</v>
      </c>
      <c r="L90" s="33"/>
      <c r="N90" s="35">
        <v>87</v>
      </c>
      <c r="O90" s="35" t="s">
        <v>63</v>
      </c>
      <c r="P90" s="37" t="s">
        <v>508</v>
      </c>
      <c r="Q90" s="39" t="s">
        <v>151</v>
      </c>
      <c r="R90" s="41" t="s">
        <v>46</v>
      </c>
      <c r="S90" s="39" t="s">
        <v>159</v>
      </c>
      <c r="T90" s="41" t="s">
        <v>46</v>
      </c>
      <c r="U90" s="39" t="s">
        <v>156</v>
      </c>
      <c r="V90" s="41" t="s">
        <v>46</v>
      </c>
      <c r="W90" s="39" t="e">
        <v>#N/A</v>
      </c>
      <c r="X90" s="35" t="s">
        <v>500</v>
      </c>
    </row>
    <row r="91" spans="1:24" ht="28.2" customHeight="1" x14ac:dyDescent="0.3">
      <c r="A91" s="6">
        <f>IF(B91="","",ROW()-COUNTBLANK($B$4:B91)-3)</f>
        <v>88</v>
      </c>
      <c r="B91" s="6" t="str">
        <f>'web survey'!C89</f>
        <v>FU-Z1-Eng</v>
      </c>
      <c r="C91" s="29" t="str">
        <f>'web survey'!AA89</f>
        <v>203894499</v>
      </c>
      <c r="D91" s="18" t="str">
        <f>IF(B91="FU-ACInstall",VLOOKUP(VALUE('web survey'!D89),ref!$B$6:$C$7,2,0)&amp;" ("&amp;'web survey'!D89&amp;")",VLOOKUP(VALUE('web survey'!D89),ref!$E$6:$F$10,2,0)&amp;" ("&amp;'web survey'!D89&amp;")")</f>
        <v>Good (10)</v>
      </c>
      <c r="E91" s="27" t="str">
        <f>'web survey'!S89</f>
        <v/>
      </c>
      <c r="F91" s="18" t="str">
        <f>IF(B91="FU-ACInstall",VLOOKUP(VALUE('web survey'!E89),ref!$B$10:$C$12,2,0)&amp;" ("&amp;'web survey'!E89&amp;")",VLOOKUP(VALUE('web survey'!E89),ref!$E$13:$F$17,2,0)&amp;" ("&amp;'web survey'!E89&amp;")")</f>
        <v>Very Good (10)</v>
      </c>
      <c r="G91" s="27" t="str">
        <f>'web survey'!T89</f>
        <v/>
      </c>
      <c r="H91" s="18" t="str">
        <f>IF(B91="FU-ACInstall",VLOOKUP(VALUE('web survey'!F89),ref!$B$15:$C$17,2,0)&amp;" ("&amp;'web survey'!F89&amp;")",VLOOKUP(VALUE('web survey'!F89),ref!$E$20:$F$21,2,0)&amp;" ("&amp;'web survey'!F89&amp;")")</f>
        <v>Appropriate with SAP / in Warranty (10)</v>
      </c>
      <c r="I91" s="27" t="str">
        <f>'web survey'!U89</f>
        <v/>
      </c>
      <c r="J91" s="18" t="str">
        <f>IF(B91="FU-ACInstall","-",VLOOKUP(VALUE('web survey'!G89),ref!$E$24:$F$26,2,0)&amp;" ("&amp;'web survey'!G89&amp;")")</f>
        <v>Jelas (5)</v>
      </c>
      <c r="K91" s="6" t="str">
        <f>YEAR('web survey'!Z89)&amp;"-"&amp;IF(MONTH('web survey'!Z89)&lt;10,"0"&amp;MONTH('web survey'!Z89),MONTH('web survey'!Z89))&amp;"-"&amp;IF(DAY('web survey'!Z89)&lt;10,"0"&amp;DAY('web survey'!Z89),DAY('web survey'!Z89))&amp;" "&amp;IF(HOUR('web survey'!Z89)&lt;10,"0"&amp;HOUR('web survey'!Z89),HOUR('web survey'!Z89))&amp;":"&amp;IF(MINUTE('web survey'!Z89)&lt;10,"0"&amp;MINUTE('web survey'!Z89),MINUTE('web survey'!Z89))&amp;(":00'")</f>
        <v>2024-08-21 15:06:00'</v>
      </c>
      <c r="L91" s="33"/>
      <c r="N91" s="35">
        <v>88</v>
      </c>
      <c r="O91" s="35" t="s">
        <v>63</v>
      </c>
      <c r="P91" s="37" t="s">
        <v>512</v>
      </c>
      <c r="Q91" s="39" t="s">
        <v>151</v>
      </c>
      <c r="R91" s="41" t="s">
        <v>46</v>
      </c>
      <c r="S91" s="39" t="s">
        <v>159</v>
      </c>
      <c r="T91" s="41" t="s">
        <v>46</v>
      </c>
      <c r="U91" s="39" t="s">
        <v>156</v>
      </c>
      <c r="V91" s="41" t="s">
        <v>46</v>
      </c>
      <c r="W91" s="39" t="s">
        <v>157</v>
      </c>
      <c r="X91" s="35" t="s">
        <v>511</v>
      </c>
    </row>
    <row r="92" spans="1:24" ht="28.2" customHeight="1" x14ac:dyDescent="0.3">
      <c r="A92" s="6">
        <f>IF(B92="","",ROW()-COUNTBLANK($B$4:B92)-3)</f>
        <v>89</v>
      </c>
      <c r="B92" s="6" t="str">
        <f>'web survey'!C90</f>
        <v>FU-Z1-Eng</v>
      </c>
      <c r="C92" s="29" t="str">
        <f>'web survey'!AA90</f>
        <v>1100312382</v>
      </c>
      <c r="D92" s="18" t="str">
        <f>IF(B92="FU-ACInstall",VLOOKUP(VALUE('web survey'!D90),ref!$B$6:$C$7,2,0)&amp;" ("&amp;'web survey'!D90&amp;")",VLOOKUP(VALUE('web survey'!D90),ref!$E$6:$F$10,2,0)&amp;" ("&amp;'web survey'!D90&amp;")")</f>
        <v>Good (10)</v>
      </c>
      <c r="E92" s="27" t="str">
        <f>'web survey'!S90</f>
        <v/>
      </c>
      <c r="F92" s="18" t="str">
        <f>IF(B92="FU-ACInstall",VLOOKUP(VALUE('web survey'!E90),ref!$B$10:$C$12,2,0)&amp;" ("&amp;'web survey'!E90&amp;")",VLOOKUP(VALUE('web survey'!E90),ref!$E$13:$F$17,2,0)&amp;" ("&amp;'web survey'!E90&amp;")")</f>
        <v>Very Good (10)</v>
      </c>
      <c r="G92" s="27" t="str">
        <f>'web survey'!T90</f>
        <v/>
      </c>
      <c r="H92" s="18" t="str">
        <f>IF(B92="FU-ACInstall",VLOOKUP(VALUE('web survey'!F90),ref!$B$15:$C$17,2,0)&amp;" ("&amp;'web survey'!F90&amp;")",VLOOKUP(VALUE('web survey'!F90),ref!$E$20:$F$21,2,0)&amp;" ("&amp;'web survey'!F90&amp;")")</f>
        <v>Appropriate with SAP / in Warranty (10)</v>
      </c>
      <c r="I92" s="27" t="str">
        <f>'web survey'!U90</f>
        <v/>
      </c>
      <c r="J92" s="18" t="str">
        <f>IF(B92="FU-ACInstall","-",VLOOKUP(VALUE('web survey'!G90),ref!$E$24:$F$26,2,0)&amp;" ("&amp;'web survey'!G90&amp;")")</f>
        <v>Jelas (5)</v>
      </c>
      <c r="K92" s="6" t="str">
        <f>YEAR('web survey'!Z90)&amp;"-"&amp;IF(MONTH('web survey'!Z90)&lt;10,"0"&amp;MONTH('web survey'!Z90),MONTH('web survey'!Z90))&amp;"-"&amp;IF(DAY('web survey'!Z90)&lt;10,"0"&amp;DAY('web survey'!Z90),DAY('web survey'!Z90))&amp;" "&amp;IF(HOUR('web survey'!Z90)&lt;10,"0"&amp;HOUR('web survey'!Z90),HOUR('web survey'!Z90))&amp;":"&amp;IF(MINUTE('web survey'!Z90)&lt;10,"0"&amp;MINUTE('web survey'!Z90),MINUTE('web survey'!Z90))&amp;(":00'")</f>
        <v>2024-08-21 15:06:00'</v>
      </c>
      <c r="L92" s="33"/>
      <c r="N92" s="35">
        <v>89</v>
      </c>
      <c r="O92" s="35" t="s">
        <v>63</v>
      </c>
      <c r="P92" s="37" t="s">
        <v>515</v>
      </c>
      <c r="Q92" s="39" t="s">
        <v>151</v>
      </c>
      <c r="R92" s="41" t="s">
        <v>46</v>
      </c>
      <c r="S92" s="39" t="s">
        <v>159</v>
      </c>
      <c r="T92" s="41" t="s">
        <v>46</v>
      </c>
      <c r="U92" s="39" t="s">
        <v>156</v>
      </c>
      <c r="V92" s="41" t="s">
        <v>46</v>
      </c>
      <c r="W92" s="39" t="s">
        <v>157</v>
      </c>
      <c r="X92" s="35" t="s">
        <v>511</v>
      </c>
    </row>
    <row r="93" spans="1:24" ht="28.2" customHeight="1" x14ac:dyDescent="0.3">
      <c r="A93" s="6">
        <f>IF(B93="","",ROW()-COUNTBLANK($B$4:B93)-3)</f>
        <v>90</v>
      </c>
      <c r="B93" s="6" t="str">
        <f>'web survey'!C91</f>
        <v>FU-Z1-Eng</v>
      </c>
      <c r="C93" s="29" t="str">
        <f>'web survey'!AA91</f>
        <v>100893764</v>
      </c>
      <c r="D93" s="18" t="str">
        <f>IF(B93="FU-ACInstall",VLOOKUP(VALUE('web survey'!D91),ref!$B$6:$C$7,2,0)&amp;" ("&amp;'web survey'!D91&amp;")",VLOOKUP(VALUE('web survey'!D91),ref!$E$6:$F$10,2,0)&amp;" ("&amp;'web survey'!D91&amp;")")</f>
        <v>Good (10)</v>
      </c>
      <c r="E93" s="27" t="str">
        <f>'web survey'!S91</f>
        <v/>
      </c>
      <c r="F93" s="18" t="str">
        <f>IF(B93="FU-ACInstall",VLOOKUP(VALUE('web survey'!E91),ref!$B$10:$C$12,2,0)&amp;" ("&amp;'web survey'!E91&amp;")",VLOOKUP(VALUE('web survey'!E91),ref!$E$13:$F$17,2,0)&amp;" ("&amp;'web survey'!E91&amp;")")</f>
        <v>Very Good (10)</v>
      </c>
      <c r="G93" s="27" t="str">
        <f>'web survey'!T91</f>
        <v/>
      </c>
      <c r="H93" s="18" t="str">
        <f>IF(B93="FU-ACInstall",VLOOKUP(VALUE('web survey'!F91),ref!$B$15:$C$17,2,0)&amp;" ("&amp;'web survey'!F91&amp;")",VLOOKUP(VALUE('web survey'!F91),ref!$E$20:$F$21,2,0)&amp;" ("&amp;'web survey'!F91&amp;")")</f>
        <v>Appropriate with SAP / in Warranty (10)</v>
      </c>
      <c r="I93" s="27" t="str">
        <f>'web survey'!U91</f>
        <v/>
      </c>
      <c r="J93" s="18" t="str">
        <f>IF(B93="FU-ACInstall","-",VLOOKUP(VALUE('web survey'!G91),ref!$E$24:$F$26,2,0)&amp;" ("&amp;'web survey'!G91&amp;")")</f>
        <v>Jelas (5)</v>
      </c>
      <c r="K93" s="6" t="str">
        <f>YEAR('web survey'!Z91)&amp;"-"&amp;IF(MONTH('web survey'!Z91)&lt;10,"0"&amp;MONTH('web survey'!Z91),MONTH('web survey'!Z91))&amp;"-"&amp;IF(DAY('web survey'!Z91)&lt;10,"0"&amp;DAY('web survey'!Z91),DAY('web survey'!Z91))&amp;" "&amp;IF(HOUR('web survey'!Z91)&lt;10,"0"&amp;HOUR('web survey'!Z91),HOUR('web survey'!Z91))&amp;":"&amp;IF(MINUTE('web survey'!Z91)&lt;10,"0"&amp;MINUTE('web survey'!Z91),MINUTE('web survey'!Z91))&amp;(":00'")</f>
        <v>2024-08-21 15:05:00'</v>
      </c>
      <c r="L93" s="33"/>
      <c r="N93" s="35">
        <v>90</v>
      </c>
      <c r="O93" s="35" t="s">
        <v>63</v>
      </c>
      <c r="P93" s="37" t="s">
        <v>519</v>
      </c>
      <c r="Q93" s="39" t="s">
        <v>151</v>
      </c>
      <c r="R93" s="41" t="s">
        <v>46</v>
      </c>
      <c r="S93" s="39" t="s">
        <v>159</v>
      </c>
      <c r="T93" s="41" t="s">
        <v>46</v>
      </c>
      <c r="U93" s="39" t="s">
        <v>156</v>
      </c>
      <c r="V93" s="41" t="s">
        <v>46</v>
      </c>
      <c r="W93" s="39" t="s">
        <v>157</v>
      </c>
      <c r="X93" s="35" t="s">
        <v>518</v>
      </c>
    </row>
    <row r="94" spans="1:24" ht="28.2" customHeight="1" x14ac:dyDescent="0.3">
      <c r="A94" s="6">
        <f>IF(B94="","",ROW()-COUNTBLANK($B$4:B94)-3)</f>
        <v>91</v>
      </c>
      <c r="B94" s="6" t="str">
        <f>'web survey'!C92</f>
        <v>FU-Z1-Eng</v>
      </c>
      <c r="C94" s="29" t="str">
        <f>'web survey'!AA92</f>
        <v>203902432</v>
      </c>
      <c r="D94" s="18" t="str">
        <f>IF(B94="FU-ACInstall",VLOOKUP(VALUE('web survey'!D92),ref!$B$6:$C$7,2,0)&amp;" ("&amp;'web survey'!D92&amp;")",VLOOKUP(VALUE('web survey'!D92),ref!$E$6:$F$10,2,0)&amp;" ("&amp;'web survey'!D92&amp;")")</f>
        <v>Good (10)</v>
      </c>
      <c r="E94" s="27" t="str">
        <f>'web survey'!S92</f>
        <v/>
      </c>
      <c r="F94" s="18" t="str">
        <f>IF(B94="FU-ACInstall",VLOOKUP(VALUE('web survey'!E92),ref!$B$10:$C$12,2,0)&amp;" ("&amp;'web survey'!E92&amp;")",VLOOKUP(VALUE('web survey'!E92),ref!$E$13:$F$17,2,0)&amp;" ("&amp;'web survey'!E92&amp;")")</f>
        <v>Good (5)</v>
      </c>
      <c r="G94" s="27" t="str">
        <f>'web survey'!T92</f>
        <v/>
      </c>
      <c r="H94" s="18" t="str">
        <f>IF(B94="FU-ACInstall",VLOOKUP(VALUE('web survey'!F92),ref!$B$15:$C$17,2,0)&amp;" ("&amp;'web survey'!F92&amp;")",VLOOKUP(VALUE('web survey'!F92),ref!$E$20:$F$21,2,0)&amp;" ("&amp;'web survey'!F92&amp;")")</f>
        <v>Appropriate with SAP / in Warranty (10)</v>
      </c>
      <c r="I94" s="27" t="str">
        <f>'web survey'!U92</f>
        <v/>
      </c>
      <c r="J94" s="18" t="str">
        <f>IF(B94="FU-ACInstall","-",VLOOKUP(VALUE('web survey'!G92),ref!$E$24:$F$26,2,0)&amp;" ("&amp;'web survey'!G92&amp;")")</f>
        <v>Jelas (5)</v>
      </c>
      <c r="K94" s="6" t="str">
        <f>YEAR('web survey'!Z92)&amp;"-"&amp;IF(MONTH('web survey'!Z92)&lt;10,"0"&amp;MONTH('web survey'!Z92),MONTH('web survey'!Z92))&amp;"-"&amp;IF(DAY('web survey'!Z92)&lt;10,"0"&amp;DAY('web survey'!Z92),DAY('web survey'!Z92))&amp;" "&amp;IF(HOUR('web survey'!Z92)&lt;10,"0"&amp;HOUR('web survey'!Z92),HOUR('web survey'!Z92))&amp;":"&amp;IF(MINUTE('web survey'!Z92)&lt;10,"0"&amp;MINUTE('web survey'!Z92),MINUTE('web survey'!Z92))&amp;(":00'")</f>
        <v>2024-08-21 15:05:00'</v>
      </c>
      <c r="L94" s="33"/>
      <c r="N94" s="35">
        <v>91</v>
      </c>
      <c r="O94" s="35" t="s">
        <v>63</v>
      </c>
      <c r="P94" s="37" t="s">
        <v>522</v>
      </c>
      <c r="Q94" s="39" t="s">
        <v>151</v>
      </c>
      <c r="R94" s="41" t="s">
        <v>46</v>
      </c>
      <c r="S94" s="39" t="s">
        <v>155</v>
      </c>
      <c r="T94" s="41" t="s">
        <v>46</v>
      </c>
      <c r="U94" s="39" t="s">
        <v>156</v>
      </c>
      <c r="V94" s="41" t="s">
        <v>46</v>
      </c>
      <c r="W94" s="39" t="s">
        <v>157</v>
      </c>
      <c r="X94" s="35" t="s">
        <v>518</v>
      </c>
    </row>
    <row r="95" spans="1:24" ht="28.2" customHeight="1" x14ac:dyDescent="0.3">
      <c r="A95" s="6">
        <f>IF(B95="","",ROW()-COUNTBLANK($B$4:B95)-3)</f>
        <v>92</v>
      </c>
      <c r="B95" s="6" t="str">
        <f>'web survey'!C93</f>
        <v>FU-Z1-Eng</v>
      </c>
      <c r="C95" s="29" t="str">
        <f>'web survey'!AA93</f>
        <v>203906888</v>
      </c>
      <c r="D95" s="18" t="str">
        <f>IF(B95="FU-ACInstall",VLOOKUP(VALUE('web survey'!D93),ref!$B$6:$C$7,2,0)&amp;" ("&amp;'web survey'!D93&amp;")",VLOOKUP(VALUE('web survey'!D93),ref!$E$6:$F$10,2,0)&amp;" ("&amp;'web survey'!D93&amp;")")</f>
        <v>Not Good (-10)</v>
      </c>
      <c r="E95" s="27" t="str">
        <f>'web survey'!S93</f>
        <v/>
      </c>
      <c r="F95" s="18" t="str">
        <f>IF(B95="FU-ACInstall",VLOOKUP(VALUE('web survey'!E93),ref!$B$10:$C$12,2,0)&amp;" ("&amp;'web survey'!E93&amp;")",VLOOKUP(VALUE('web survey'!E93),ref!$E$13:$F$17,2,0)&amp;" ("&amp;'web survey'!E93&amp;")")</f>
        <v>Bad (-10)</v>
      </c>
      <c r="G95" s="27" t="str">
        <f>'web survey'!T93</f>
        <v/>
      </c>
      <c r="H95" s="18" t="str">
        <f>IF(B95="FU-ACInstall",VLOOKUP(VALUE('web survey'!F93),ref!$B$15:$C$17,2,0)&amp;" ("&amp;'web survey'!F93&amp;")",VLOOKUP(VALUE('web survey'!F93),ref!$E$20:$F$21,2,0)&amp;" ("&amp;'web survey'!F93&amp;")")</f>
        <v>Different with SAP (-10)</v>
      </c>
      <c r="I95" s="27" t="str">
        <f>'web survey'!U93</f>
        <v/>
      </c>
      <c r="J95" s="18" t="str">
        <f>IF(B95="FU-ACInstall","-",VLOOKUP(VALUE('web survey'!G93),ref!$E$24:$F$26,2,0)&amp;" ("&amp;'web survey'!G93&amp;")")</f>
        <v>Kurang jelas (3)</v>
      </c>
      <c r="K95" s="6" t="str">
        <f>YEAR('web survey'!Z93)&amp;"-"&amp;IF(MONTH('web survey'!Z93)&lt;10,"0"&amp;MONTH('web survey'!Z93),MONTH('web survey'!Z93))&amp;"-"&amp;IF(DAY('web survey'!Z93)&lt;10,"0"&amp;DAY('web survey'!Z93),DAY('web survey'!Z93))&amp;" "&amp;IF(HOUR('web survey'!Z93)&lt;10,"0"&amp;HOUR('web survey'!Z93),HOUR('web survey'!Z93))&amp;":"&amp;IF(MINUTE('web survey'!Z93)&lt;10,"0"&amp;MINUTE('web survey'!Z93),MINUTE('web survey'!Z93))&amp;(":00'")</f>
        <v>2024-08-21 15:04:00'</v>
      </c>
      <c r="L95" s="33"/>
      <c r="N95" s="35">
        <v>92</v>
      </c>
      <c r="O95" s="35" t="s">
        <v>63</v>
      </c>
      <c r="P95" s="37" t="s">
        <v>526</v>
      </c>
      <c r="Q95" s="39" t="s">
        <v>162</v>
      </c>
      <c r="R95" s="41" t="s">
        <v>46</v>
      </c>
      <c r="S95" s="39" t="s">
        <v>164</v>
      </c>
      <c r="T95" s="41" t="s">
        <v>46</v>
      </c>
      <c r="U95" s="39" t="s">
        <v>160</v>
      </c>
      <c r="V95" s="41" t="s">
        <v>46</v>
      </c>
      <c r="W95" s="39" t="s">
        <v>163</v>
      </c>
      <c r="X95" s="35" t="s">
        <v>525</v>
      </c>
    </row>
    <row r="96" spans="1:24" ht="28.2" customHeight="1" x14ac:dyDescent="0.3">
      <c r="A96" s="6">
        <f>IF(B96="","",ROW()-COUNTBLANK($B$4:B96)-3)</f>
        <v>93</v>
      </c>
      <c r="B96" s="6" t="str">
        <f>'web survey'!C94</f>
        <v>FU-Z1-Eng</v>
      </c>
      <c r="C96" s="29" t="str">
        <f>'web survey'!AA94</f>
        <v>1100311803</v>
      </c>
      <c r="D96" s="18" t="str">
        <f>IF(B96="FU-ACInstall",VLOOKUP(VALUE('web survey'!D94),ref!$B$6:$C$7,2,0)&amp;" ("&amp;'web survey'!D94&amp;")",VLOOKUP(VALUE('web survey'!D94),ref!$E$6:$F$10,2,0)&amp;" ("&amp;'web survey'!D94&amp;")")</f>
        <v>Good (10)</v>
      </c>
      <c r="E96" s="27" t="str">
        <f>'web survey'!S94</f>
        <v/>
      </c>
      <c r="F96" s="18" t="str">
        <f>IF(B96="FU-ACInstall",VLOOKUP(VALUE('web survey'!E94),ref!$B$10:$C$12,2,0)&amp;" ("&amp;'web survey'!E94&amp;")",VLOOKUP(VALUE('web survey'!E94),ref!$E$13:$F$17,2,0)&amp;" ("&amp;'web survey'!E94&amp;")")</f>
        <v>Very Good (10)</v>
      </c>
      <c r="G96" s="27" t="str">
        <f>'web survey'!T94</f>
        <v/>
      </c>
      <c r="H96" s="18" t="str">
        <f>IF(B96="FU-ACInstall",VLOOKUP(VALUE('web survey'!F94),ref!$B$15:$C$17,2,0)&amp;" ("&amp;'web survey'!F94&amp;")",VLOOKUP(VALUE('web survey'!F94),ref!$E$20:$F$21,2,0)&amp;" ("&amp;'web survey'!F94&amp;")")</f>
        <v>Appropriate with SAP / in Warranty (10)</v>
      </c>
      <c r="I96" s="27" t="str">
        <f>'web survey'!U94</f>
        <v/>
      </c>
      <c r="J96" s="18" t="str">
        <f>IF(B96="FU-ACInstall","-",VLOOKUP(VALUE('web survey'!G94),ref!$E$24:$F$26,2,0)&amp;" ("&amp;'web survey'!G94&amp;")")</f>
        <v>Jelas (5)</v>
      </c>
      <c r="K96" s="6" t="str">
        <f>YEAR('web survey'!Z94)&amp;"-"&amp;IF(MONTH('web survey'!Z94)&lt;10,"0"&amp;MONTH('web survey'!Z94),MONTH('web survey'!Z94))&amp;"-"&amp;IF(DAY('web survey'!Z94)&lt;10,"0"&amp;DAY('web survey'!Z94),DAY('web survey'!Z94))&amp;" "&amp;IF(HOUR('web survey'!Z94)&lt;10,"0"&amp;HOUR('web survey'!Z94),HOUR('web survey'!Z94))&amp;":"&amp;IF(MINUTE('web survey'!Z94)&lt;10,"0"&amp;MINUTE('web survey'!Z94),MINUTE('web survey'!Z94))&amp;(":00'")</f>
        <v>2024-08-21 15:04:00'</v>
      </c>
      <c r="L96" s="33"/>
      <c r="N96" s="35">
        <v>93</v>
      </c>
      <c r="O96" s="35" t="s">
        <v>63</v>
      </c>
      <c r="P96" s="37" t="s">
        <v>529</v>
      </c>
      <c r="Q96" s="39" t="s">
        <v>151</v>
      </c>
      <c r="R96" s="41" t="s">
        <v>46</v>
      </c>
      <c r="S96" s="39" t="s">
        <v>159</v>
      </c>
      <c r="T96" s="41" t="s">
        <v>46</v>
      </c>
      <c r="U96" s="39" t="s">
        <v>156</v>
      </c>
      <c r="V96" s="41" t="s">
        <v>46</v>
      </c>
      <c r="W96" s="39" t="s">
        <v>157</v>
      </c>
      <c r="X96" s="35" t="s">
        <v>525</v>
      </c>
    </row>
    <row r="97" spans="1:24" ht="28.2" customHeight="1" x14ac:dyDescent="0.3">
      <c r="A97" s="6">
        <f>IF(B97="","",ROW()-COUNTBLANK($B$4:B97)-3)</f>
        <v>94</v>
      </c>
      <c r="B97" s="6" t="str">
        <f>'web survey'!C95</f>
        <v>FU-Z1-Eng</v>
      </c>
      <c r="C97" s="29" t="str">
        <f>'web survey'!AA95</f>
        <v>1904A2400090</v>
      </c>
      <c r="D97" s="18" t="str">
        <f>IF(B97="FU-ACInstall",VLOOKUP(VALUE('web survey'!D95),ref!$B$6:$C$7,2,0)&amp;" ("&amp;'web survey'!D95&amp;")",VLOOKUP(VALUE('web survey'!D95),ref!$E$6:$F$10,2,0)&amp;" ("&amp;'web survey'!D95&amp;")")</f>
        <v>Good (10)</v>
      </c>
      <c r="E97" s="27" t="str">
        <f>'web survey'!S95</f>
        <v/>
      </c>
      <c r="F97" s="18" t="str">
        <f>IF(B97="FU-ACInstall",VLOOKUP(VALUE('web survey'!E95),ref!$B$10:$C$12,2,0)&amp;" ("&amp;'web survey'!E95&amp;")",VLOOKUP(VALUE('web survey'!E95),ref!$E$13:$F$17,2,0)&amp;" ("&amp;'web survey'!E95&amp;")")</f>
        <v>Very Good (10)</v>
      </c>
      <c r="G97" s="27" t="str">
        <f>'web survey'!T95</f>
        <v/>
      </c>
      <c r="H97" s="18" t="str">
        <f>IF(B97="FU-ACInstall",VLOOKUP(VALUE('web survey'!F95),ref!$B$15:$C$17,2,0)&amp;" ("&amp;'web survey'!F95&amp;")",VLOOKUP(VALUE('web survey'!F95),ref!$E$20:$F$21,2,0)&amp;" ("&amp;'web survey'!F95&amp;")")</f>
        <v>Appropriate with SAP / in Warranty (10)</v>
      </c>
      <c r="I97" s="27" t="str">
        <f>'web survey'!U95</f>
        <v/>
      </c>
      <c r="J97" s="18" t="str">
        <f>IF(B97="FU-ACInstall","-",VLOOKUP(VALUE('web survey'!G95),ref!$E$24:$F$26,2,0)&amp;" ("&amp;'web survey'!G95&amp;")")</f>
        <v>Tidak ada penjelasan (-5)</v>
      </c>
      <c r="K97" s="6" t="str">
        <f>YEAR('web survey'!Z95)&amp;"-"&amp;IF(MONTH('web survey'!Z95)&lt;10,"0"&amp;MONTH('web survey'!Z95),MONTH('web survey'!Z95))&amp;"-"&amp;IF(DAY('web survey'!Z95)&lt;10,"0"&amp;DAY('web survey'!Z95),DAY('web survey'!Z95))&amp;" "&amp;IF(HOUR('web survey'!Z95)&lt;10,"0"&amp;HOUR('web survey'!Z95),HOUR('web survey'!Z95))&amp;":"&amp;IF(MINUTE('web survey'!Z95)&lt;10,"0"&amp;MINUTE('web survey'!Z95),MINUTE('web survey'!Z95))&amp;(":00'")</f>
        <v>2024-08-21 11:41:00'</v>
      </c>
      <c r="L97" s="33"/>
      <c r="N97" s="35">
        <v>94</v>
      </c>
      <c r="O97" s="35" t="s">
        <v>63</v>
      </c>
      <c r="P97" s="37" t="s">
        <v>533</v>
      </c>
      <c r="Q97" s="39" t="s">
        <v>151</v>
      </c>
      <c r="R97" s="41" t="s">
        <v>46</v>
      </c>
      <c r="S97" s="39" t="s">
        <v>159</v>
      </c>
      <c r="T97" s="41" t="s">
        <v>46</v>
      </c>
      <c r="U97" s="39" t="s">
        <v>156</v>
      </c>
      <c r="V97" s="41" t="s">
        <v>46</v>
      </c>
      <c r="W97" s="39" t="s">
        <v>161</v>
      </c>
      <c r="X97" s="35" t="s">
        <v>532</v>
      </c>
    </row>
    <row r="98" spans="1:24" ht="28.2" customHeight="1" x14ac:dyDescent="0.3">
      <c r="A98" s="6">
        <f>IF(B98="","",ROW()-COUNTBLANK($B$4:B98)-3)</f>
        <v>95</v>
      </c>
      <c r="B98" s="6" t="str">
        <f>'web survey'!C96</f>
        <v>FU-Z1-Eng</v>
      </c>
      <c r="C98" s="29" t="str">
        <f>'web survey'!AA96</f>
        <v>2818A2400853</v>
      </c>
      <c r="D98" s="18" t="str">
        <f>IF(B98="FU-ACInstall",VLOOKUP(VALUE('web survey'!D96),ref!$B$6:$C$7,2,0)&amp;" ("&amp;'web survey'!D96&amp;")",VLOOKUP(VALUE('web survey'!D96),ref!$E$6:$F$10,2,0)&amp;" ("&amp;'web survey'!D96&amp;")")</f>
        <v>Good (10)</v>
      </c>
      <c r="E98" s="27" t="str">
        <f>'web survey'!S96</f>
        <v/>
      </c>
      <c r="F98" s="18" t="str">
        <f>IF(B98="FU-ACInstall",VLOOKUP(VALUE('web survey'!E96),ref!$B$10:$C$12,2,0)&amp;" ("&amp;'web survey'!E96&amp;")",VLOOKUP(VALUE('web survey'!E96),ref!$E$13:$F$17,2,0)&amp;" ("&amp;'web survey'!E96&amp;")")</f>
        <v>Very Good (10)</v>
      </c>
      <c r="G98" s="27" t="str">
        <f>'web survey'!T96</f>
        <v/>
      </c>
      <c r="H98" s="18" t="str">
        <f>IF(B98="FU-ACInstall",VLOOKUP(VALUE('web survey'!F96),ref!$B$15:$C$17,2,0)&amp;" ("&amp;'web survey'!F96&amp;")",VLOOKUP(VALUE('web survey'!F96),ref!$E$20:$F$21,2,0)&amp;" ("&amp;'web survey'!F96&amp;")")</f>
        <v>Appropriate with SAP / in Warranty (10)</v>
      </c>
      <c r="I98" s="27" t="str">
        <f>'web survey'!U96</f>
        <v/>
      </c>
      <c r="J98" s="18" t="str">
        <f>IF(B98="FU-ACInstall","-",VLOOKUP(VALUE('web survey'!G96),ref!$E$24:$F$26,2,0)&amp;" ("&amp;'web survey'!G96&amp;")")</f>
        <v>Jelas (5)</v>
      </c>
      <c r="K98" s="6" t="str">
        <f>YEAR('web survey'!Z96)&amp;"-"&amp;IF(MONTH('web survey'!Z96)&lt;10,"0"&amp;MONTH('web survey'!Z96),MONTH('web survey'!Z96))&amp;"-"&amp;IF(DAY('web survey'!Z96)&lt;10,"0"&amp;DAY('web survey'!Z96),DAY('web survey'!Z96))&amp;" "&amp;IF(HOUR('web survey'!Z96)&lt;10,"0"&amp;HOUR('web survey'!Z96),HOUR('web survey'!Z96))&amp;":"&amp;IF(MINUTE('web survey'!Z96)&lt;10,"0"&amp;MINUTE('web survey'!Z96),MINUTE('web survey'!Z96))&amp;(":00'")</f>
        <v>2024-08-21 09:40:00'</v>
      </c>
      <c r="L98" s="33"/>
      <c r="N98" s="35">
        <v>95</v>
      </c>
      <c r="O98" s="35" t="s">
        <v>63</v>
      </c>
      <c r="P98" s="37" t="s">
        <v>538</v>
      </c>
      <c r="Q98" s="39" t="s">
        <v>151</v>
      </c>
      <c r="R98" s="41" t="s">
        <v>46</v>
      </c>
      <c r="S98" s="39" t="s">
        <v>159</v>
      </c>
      <c r="T98" s="41" t="s">
        <v>46</v>
      </c>
      <c r="U98" s="39" t="s">
        <v>156</v>
      </c>
      <c r="V98" s="41" t="s">
        <v>46</v>
      </c>
      <c r="W98" s="39" t="s">
        <v>157</v>
      </c>
      <c r="X98" s="35" t="s">
        <v>537</v>
      </c>
    </row>
    <row r="99" spans="1:24" ht="28.2" customHeight="1" x14ac:dyDescent="0.3">
      <c r="A99" s="6">
        <f>IF(B99="","",ROW()-COUNTBLANK($B$4:B99)-3)</f>
        <v>96</v>
      </c>
      <c r="B99" s="6" t="str">
        <f>'web survey'!C97</f>
        <v>FU-Z1-Eng</v>
      </c>
      <c r="C99" s="29" t="str">
        <f>'web survey'!AA97</f>
        <v>1105A2404916</v>
      </c>
      <c r="D99" s="18" t="str">
        <f>IF(B99="FU-ACInstall",VLOOKUP(VALUE('web survey'!D97),ref!$B$6:$C$7,2,0)&amp;" ("&amp;'web survey'!D97&amp;")",VLOOKUP(VALUE('web survey'!D97),ref!$E$6:$F$10,2,0)&amp;" ("&amp;'web survey'!D97&amp;")")</f>
        <v>Not Good (-10)</v>
      </c>
      <c r="E99" s="27" t="str">
        <f>'web survey'!S97</f>
        <v/>
      </c>
      <c r="F99" s="18" t="str">
        <f>IF(B99="FU-ACInstall",VLOOKUP(VALUE('web survey'!E97),ref!$B$10:$C$12,2,0)&amp;" ("&amp;'web survey'!E97&amp;")",VLOOKUP(VALUE('web survey'!E97),ref!$E$13:$F$17,2,0)&amp;" ("&amp;'web survey'!E97&amp;")")</f>
        <v>Average (3)</v>
      </c>
      <c r="G99" s="27" t="str">
        <f>'web survey'!T97</f>
        <v/>
      </c>
      <c r="H99" s="18" t="str">
        <f>IF(B99="FU-ACInstall",VLOOKUP(VALUE('web survey'!F97),ref!$B$15:$C$17,2,0)&amp;" ("&amp;'web survey'!F97&amp;")",VLOOKUP(VALUE('web survey'!F97),ref!$E$20:$F$21,2,0)&amp;" ("&amp;'web survey'!F97&amp;")")</f>
        <v>Appropriate with SAP / in Warranty (10)</v>
      </c>
      <c r="I99" s="27" t="str">
        <f>'web survey'!U97</f>
        <v/>
      </c>
      <c r="J99" s="18" t="str">
        <f>IF(B99="FU-ACInstall","-",VLOOKUP(VALUE('web survey'!G97),ref!$E$24:$F$26,2,0)&amp;" ("&amp;'web survey'!G97&amp;")")</f>
        <v>Kurang jelas (3)</v>
      </c>
      <c r="K99" s="6" t="str">
        <f>YEAR('web survey'!Z97)&amp;"-"&amp;IF(MONTH('web survey'!Z97)&lt;10,"0"&amp;MONTH('web survey'!Z97),MONTH('web survey'!Z97))&amp;"-"&amp;IF(DAY('web survey'!Z97)&lt;10,"0"&amp;DAY('web survey'!Z97),DAY('web survey'!Z97))&amp;" "&amp;IF(HOUR('web survey'!Z97)&lt;10,"0"&amp;HOUR('web survey'!Z97),HOUR('web survey'!Z97))&amp;":"&amp;IF(MINUTE('web survey'!Z97)&lt;10,"0"&amp;MINUTE('web survey'!Z97),MINUTE('web survey'!Z97))&amp;(":00'")</f>
        <v>2024-08-21 08:55:00'</v>
      </c>
      <c r="L99" s="33"/>
      <c r="N99" s="35">
        <v>96</v>
      </c>
      <c r="O99" s="35" t="s">
        <v>63</v>
      </c>
      <c r="P99" s="37" t="s">
        <v>542</v>
      </c>
      <c r="Q99" s="39" t="s">
        <v>162</v>
      </c>
      <c r="R99" s="41" t="s">
        <v>46</v>
      </c>
      <c r="S99" s="39" t="s">
        <v>158</v>
      </c>
      <c r="T99" s="41" t="s">
        <v>46</v>
      </c>
      <c r="U99" s="39" t="s">
        <v>156</v>
      </c>
      <c r="V99" s="41" t="s">
        <v>46</v>
      </c>
      <c r="W99" s="39" t="s">
        <v>163</v>
      </c>
      <c r="X99" s="35" t="s">
        <v>541</v>
      </c>
    </row>
    <row r="100" spans="1:24" ht="28.2" customHeight="1" x14ac:dyDescent="0.3">
      <c r="A100" s="6">
        <f>IF(B100="","",ROW()-COUNTBLANK($B$4:B100)-3)</f>
        <v>97</v>
      </c>
      <c r="B100" s="6" t="str">
        <f>'web survey'!C98</f>
        <v>FU-Z1-Eng</v>
      </c>
      <c r="C100" s="29" t="str">
        <f>'web survey'!AA98</f>
        <v>100893592</v>
      </c>
      <c r="D100" s="18" t="str">
        <f>IF(B100="FU-ACInstall",VLOOKUP(VALUE('web survey'!D98),ref!$B$6:$C$7,2,0)&amp;" ("&amp;'web survey'!D98&amp;")",VLOOKUP(VALUE('web survey'!D98),ref!$E$6:$F$10,2,0)&amp;" ("&amp;'web survey'!D98&amp;")")</f>
        <v>Good (10)</v>
      </c>
      <c r="E100" s="27" t="str">
        <f>'web survey'!S98</f>
        <v/>
      </c>
      <c r="F100" s="18" t="str">
        <f>IF(B100="FU-ACInstall",VLOOKUP(VALUE('web survey'!E98),ref!$B$10:$C$12,2,0)&amp;" ("&amp;'web survey'!E98&amp;")",VLOOKUP(VALUE('web survey'!E98),ref!$E$13:$F$17,2,0)&amp;" ("&amp;'web survey'!E98&amp;")")</f>
        <v>Good (5)</v>
      </c>
      <c r="G100" s="27" t="str">
        <f>'web survey'!T98</f>
        <v/>
      </c>
      <c r="H100" s="18" t="str">
        <f>IF(B100="FU-ACInstall",VLOOKUP(VALUE('web survey'!F98),ref!$B$15:$C$17,2,0)&amp;" ("&amp;'web survey'!F98&amp;")",VLOOKUP(VALUE('web survey'!F98),ref!$E$20:$F$21,2,0)&amp;" ("&amp;'web survey'!F98&amp;")")</f>
        <v>Appropriate with SAP / in Warranty (10)</v>
      </c>
      <c r="I100" s="27" t="str">
        <f>'web survey'!U98</f>
        <v/>
      </c>
      <c r="J100" s="18" t="str">
        <f>IF(B100="FU-ACInstall","-",VLOOKUP(VALUE('web survey'!G98),ref!$E$24:$F$26,2,0)&amp;" ("&amp;'web survey'!G98&amp;")")</f>
        <v>Jelas (5)</v>
      </c>
      <c r="K100" s="6" t="str">
        <f>YEAR('web survey'!Z98)&amp;"-"&amp;IF(MONTH('web survey'!Z98)&lt;10,"0"&amp;MONTH('web survey'!Z98),MONTH('web survey'!Z98))&amp;"-"&amp;IF(DAY('web survey'!Z98)&lt;10,"0"&amp;DAY('web survey'!Z98),DAY('web survey'!Z98))&amp;" "&amp;IF(HOUR('web survey'!Z98)&lt;10,"0"&amp;HOUR('web survey'!Z98),HOUR('web survey'!Z98))&amp;":"&amp;IF(MINUTE('web survey'!Z98)&lt;10,"0"&amp;MINUTE('web survey'!Z98),MINUTE('web survey'!Z98))&amp;(":00'")</f>
        <v>2024-08-21 08:25:00'</v>
      </c>
      <c r="L100" s="33"/>
      <c r="N100" s="35">
        <v>97</v>
      </c>
      <c r="O100" s="35" t="s">
        <v>63</v>
      </c>
      <c r="P100" s="37" t="s">
        <v>547</v>
      </c>
      <c r="Q100" s="39" t="s">
        <v>151</v>
      </c>
      <c r="R100" s="41" t="s">
        <v>46</v>
      </c>
      <c r="S100" s="39" t="s">
        <v>155</v>
      </c>
      <c r="T100" s="41" t="s">
        <v>46</v>
      </c>
      <c r="U100" s="39" t="s">
        <v>156</v>
      </c>
      <c r="V100" s="41" t="s">
        <v>46</v>
      </c>
      <c r="W100" s="39" t="s">
        <v>157</v>
      </c>
      <c r="X100" s="35" t="s">
        <v>546</v>
      </c>
    </row>
    <row r="101" spans="1:24" ht="28.2" customHeight="1" x14ac:dyDescent="0.3">
      <c r="A101" s="6">
        <f>IF(B101="","",ROW()-COUNTBLANK($B$4:B101)-3)</f>
        <v>98</v>
      </c>
      <c r="B101" s="6" t="str">
        <f>'web survey'!C99</f>
        <v>FU-Z1-Eng</v>
      </c>
      <c r="C101" s="29" t="str">
        <f>'web survey'!AA99</f>
        <v>203908014</v>
      </c>
      <c r="D101" s="18" t="str">
        <f>IF(B101="FU-ACInstall",VLOOKUP(VALUE('web survey'!D99),ref!$B$6:$C$7,2,0)&amp;" ("&amp;'web survey'!D99&amp;")",VLOOKUP(VALUE('web survey'!D99),ref!$E$6:$F$10,2,0)&amp;" ("&amp;'web survey'!D99&amp;")")</f>
        <v>Good (10)</v>
      </c>
      <c r="E101" s="27" t="str">
        <f>'web survey'!S99</f>
        <v/>
      </c>
      <c r="F101" s="18" t="str">
        <f>IF(B101="FU-ACInstall",VLOOKUP(VALUE('web survey'!E99),ref!$B$10:$C$12,2,0)&amp;" ("&amp;'web survey'!E99&amp;")",VLOOKUP(VALUE('web survey'!E99),ref!$E$13:$F$17,2,0)&amp;" ("&amp;'web survey'!E99&amp;")")</f>
        <v>Very Good (10)</v>
      </c>
      <c r="G101" s="27" t="str">
        <f>'web survey'!T99</f>
        <v/>
      </c>
      <c r="H101" s="18" t="str">
        <f>IF(B101="FU-ACInstall",VLOOKUP(VALUE('web survey'!F99),ref!$B$15:$C$17,2,0)&amp;" ("&amp;'web survey'!F99&amp;")",VLOOKUP(VALUE('web survey'!F99),ref!$E$20:$F$21,2,0)&amp;" ("&amp;'web survey'!F99&amp;")")</f>
        <v>Appropriate with SAP / in Warranty (10)</v>
      </c>
      <c r="I101" s="27" t="str">
        <f>'web survey'!U99</f>
        <v/>
      </c>
      <c r="J101" s="18" t="str">
        <f>IF(B101="FU-ACInstall","-",VLOOKUP(VALUE('web survey'!G99),ref!$E$24:$F$26,2,0)&amp;" ("&amp;'web survey'!G99&amp;")")</f>
        <v>Jelas (5)</v>
      </c>
      <c r="K101" s="6" t="str">
        <f>YEAR('web survey'!Z99)&amp;"-"&amp;IF(MONTH('web survey'!Z99)&lt;10,"0"&amp;MONTH('web survey'!Z99),MONTH('web survey'!Z99))&amp;"-"&amp;IF(DAY('web survey'!Z99)&lt;10,"0"&amp;DAY('web survey'!Z99),DAY('web survey'!Z99))&amp;" "&amp;IF(HOUR('web survey'!Z99)&lt;10,"0"&amp;HOUR('web survey'!Z99),HOUR('web survey'!Z99))&amp;":"&amp;IF(MINUTE('web survey'!Z99)&lt;10,"0"&amp;MINUTE('web survey'!Z99),MINUTE('web survey'!Z99))&amp;(":00'")</f>
        <v>2024-08-21 07:11:00'</v>
      </c>
      <c r="L101" s="33"/>
      <c r="N101" s="35">
        <v>98</v>
      </c>
      <c r="O101" s="35" t="s">
        <v>63</v>
      </c>
      <c r="P101" s="37" t="s">
        <v>552</v>
      </c>
      <c r="Q101" s="39" t="s">
        <v>151</v>
      </c>
      <c r="R101" s="41" t="s">
        <v>46</v>
      </c>
      <c r="S101" s="39" t="s">
        <v>159</v>
      </c>
      <c r="T101" s="41" t="s">
        <v>46</v>
      </c>
      <c r="U101" s="39" t="s">
        <v>156</v>
      </c>
      <c r="V101" s="41" t="s">
        <v>46</v>
      </c>
      <c r="W101" s="39" t="s">
        <v>157</v>
      </c>
      <c r="X101" s="35" t="s">
        <v>551</v>
      </c>
    </row>
    <row r="102" spans="1:24" ht="28.2" customHeight="1" x14ac:dyDescent="0.3">
      <c r="A102" s="6">
        <f>IF(B102="","",ROW()-COUNTBLANK($B$4:B102)-3)</f>
        <v>99</v>
      </c>
      <c r="B102" s="6" t="str">
        <f>'web survey'!C100</f>
        <v>FU-Z1-Eng</v>
      </c>
      <c r="C102" s="29" t="str">
        <f>'web survey'!AA100</f>
        <v>203904249</v>
      </c>
      <c r="D102" s="18" t="str">
        <f>IF(B102="FU-ACInstall",VLOOKUP(VALUE('web survey'!D100),ref!$B$6:$C$7,2,0)&amp;" ("&amp;'web survey'!D100&amp;")",VLOOKUP(VALUE('web survey'!D100),ref!$E$6:$F$10,2,0)&amp;" ("&amp;'web survey'!D100&amp;")")</f>
        <v>Good (10)</v>
      </c>
      <c r="E102" s="27" t="str">
        <f>'web survey'!S100</f>
        <v/>
      </c>
      <c r="F102" s="18" t="str">
        <f>IF(B102="FU-ACInstall",VLOOKUP(VALUE('web survey'!E100),ref!$B$10:$C$12,2,0)&amp;" ("&amp;'web survey'!E100&amp;")",VLOOKUP(VALUE('web survey'!E100),ref!$E$13:$F$17,2,0)&amp;" ("&amp;'web survey'!E100&amp;")")</f>
        <v>Average (3)</v>
      </c>
      <c r="G102" s="27" t="str">
        <f>'web survey'!T100</f>
        <v/>
      </c>
      <c r="H102" s="18" t="str">
        <f>IF(B102="FU-ACInstall",VLOOKUP(VALUE('web survey'!F100),ref!$B$15:$C$17,2,0)&amp;" ("&amp;'web survey'!F100&amp;")",VLOOKUP(VALUE('web survey'!F100),ref!$E$20:$F$21,2,0)&amp;" ("&amp;'web survey'!F100&amp;")")</f>
        <v>Appropriate with SAP / in Warranty (10)</v>
      </c>
      <c r="I102" s="27" t="str">
        <f>'web survey'!U100</f>
        <v/>
      </c>
      <c r="J102" s="18" t="str">
        <f>IF(B102="FU-ACInstall","-",VLOOKUP(VALUE('web survey'!G100),ref!$E$24:$F$26,2,0)&amp;" ("&amp;'web survey'!G100&amp;")")</f>
        <v>Jelas (5)</v>
      </c>
      <c r="K102" s="6" t="str">
        <f>YEAR('web survey'!Z100)&amp;"-"&amp;IF(MONTH('web survey'!Z100)&lt;10,"0"&amp;MONTH('web survey'!Z100),MONTH('web survey'!Z100))&amp;"-"&amp;IF(DAY('web survey'!Z100)&lt;10,"0"&amp;DAY('web survey'!Z100),DAY('web survey'!Z100))&amp;" "&amp;IF(HOUR('web survey'!Z100)&lt;10,"0"&amp;HOUR('web survey'!Z100),HOUR('web survey'!Z100))&amp;":"&amp;IF(MINUTE('web survey'!Z100)&lt;10,"0"&amp;MINUTE('web survey'!Z100),MINUTE('web survey'!Z100))&amp;(":00'")</f>
        <v>2024-08-21 06:20:00'</v>
      </c>
      <c r="L102" s="33"/>
      <c r="N102" s="35">
        <v>99</v>
      </c>
      <c r="O102" s="35" t="s">
        <v>63</v>
      </c>
      <c r="P102" s="37" t="s">
        <v>556</v>
      </c>
      <c r="Q102" s="39" t="s">
        <v>151</v>
      </c>
      <c r="R102" s="41" t="s">
        <v>46</v>
      </c>
      <c r="S102" s="39" t="s">
        <v>158</v>
      </c>
      <c r="T102" s="41" t="s">
        <v>46</v>
      </c>
      <c r="U102" s="39" t="s">
        <v>156</v>
      </c>
      <c r="V102" s="41" t="s">
        <v>46</v>
      </c>
      <c r="W102" s="39" t="s">
        <v>157</v>
      </c>
      <c r="X102" s="35" t="s">
        <v>555</v>
      </c>
    </row>
    <row r="103" spans="1:24" ht="28.2" customHeight="1" x14ac:dyDescent="0.3">
      <c r="A103" s="6">
        <f>IF(B103="","",ROW()-COUNTBLANK($B$4:B103)-3)</f>
        <v>100</v>
      </c>
      <c r="B103" s="6" t="str">
        <f>'web survey'!C101</f>
        <v>FU-Z1-Eng</v>
      </c>
      <c r="C103" s="29" t="str">
        <f>'web survey'!AA101</f>
        <v>1100311111</v>
      </c>
      <c r="D103" s="18" t="str">
        <f>IF(B103="FU-ACInstall",VLOOKUP(VALUE('web survey'!D101),ref!$B$6:$C$7,2,0)&amp;" ("&amp;'web survey'!D101&amp;")",VLOOKUP(VALUE('web survey'!D101),ref!$E$6:$F$10,2,0)&amp;" ("&amp;'web survey'!D101&amp;")")</f>
        <v>Good (10)</v>
      </c>
      <c r="E103" s="27" t="str">
        <f>'web survey'!S101</f>
        <v/>
      </c>
      <c r="F103" s="18" t="str">
        <f>IF(B103="FU-ACInstall",VLOOKUP(VALUE('web survey'!E101),ref!$B$10:$C$12,2,0)&amp;" ("&amp;'web survey'!E101&amp;")",VLOOKUP(VALUE('web survey'!E101),ref!$E$13:$F$17,2,0)&amp;" ("&amp;'web survey'!E101&amp;")")</f>
        <v>Very Good (10)</v>
      </c>
      <c r="G103" s="27" t="str">
        <f>'web survey'!T101</f>
        <v/>
      </c>
      <c r="H103" s="18" t="str">
        <f>IF(B103="FU-ACInstall",VLOOKUP(VALUE('web survey'!F101),ref!$B$15:$C$17,2,0)&amp;" ("&amp;'web survey'!F101&amp;")",VLOOKUP(VALUE('web survey'!F101),ref!$E$20:$F$21,2,0)&amp;" ("&amp;'web survey'!F101&amp;")")</f>
        <v>Appropriate with SAP / in Warranty (10)</v>
      </c>
      <c r="I103" s="27" t="str">
        <f>'web survey'!U101</f>
        <v/>
      </c>
      <c r="J103" s="18" t="str">
        <f>IF(B103="FU-ACInstall","-",VLOOKUP(VALUE('web survey'!G101),ref!$E$24:$F$26,2,0)&amp;" ("&amp;'web survey'!G101&amp;")")</f>
        <v>Jelas (5)</v>
      </c>
      <c r="K103" s="6" t="str">
        <f>YEAR('web survey'!Z101)&amp;"-"&amp;IF(MONTH('web survey'!Z101)&lt;10,"0"&amp;MONTH('web survey'!Z101),MONTH('web survey'!Z101))&amp;"-"&amp;IF(DAY('web survey'!Z101)&lt;10,"0"&amp;DAY('web survey'!Z101),DAY('web survey'!Z101))&amp;" "&amp;IF(HOUR('web survey'!Z101)&lt;10,"0"&amp;HOUR('web survey'!Z101),HOUR('web survey'!Z101))&amp;":"&amp;IF(MINUTE('web survey'!Z101)&lt;10,"0"&amp;MINUTE('web survey'!Z101),MINUTE('web survey'!Z101))&amp;(":00'")</f>
        <v>2024-08-21 05:45:00'</v>
      </c>
      <c r="L103" s="33"/>
      <c r="N103" s="35">
        <v>100</v>
      </c>
      <c r="O103" s="35" t="s">
        <v>63</v>
      </c>
      <c r="P103" s="37" t="s">
        <v>560</v>
      </c>
      <c r="Q103" s="39" t="s">
        <v>151</v>
      </c>
      <c r="R103" s="41" t="s">
        <v>46</v>
      </c>
      <c r="S103" s="39" t="s">
        <v>159</v>
      </c>
      <c r="T103" s="41" t="s">
        <v>46</v>
      </c>
      <c r="U103" s="39" t="s">
        <v>156</v>
      </c>
      <c r="V103" s="41" t="s">
        <v>46</v>
      </c>
      <c r="W103" s="39" t="s">
        <v>157</v>
      </c>
      <c r="X103" s="35" t="s">
        <v>559</v>
      </c>
    </row>
    <row r="104" spans="1:24" ht="28.2" customHeight="1" x14ac:dyDescent="0.3">
      <c r="A104" s="6">
        <f>IF(B104="","",ROW()-COUNTBLANK($B$4:B104)-3)</f>
        <v>101</v>
      </c>
      <c r="B104" s="6" t="str">
        <f>'web survey'!C102</f>
        <v>FU-Z1-Eng</v>
      </c>
      <c r="C104" s="29" t="str">
        <f>'web survey'!AA102</f>
        <v>203906648</v>
      </c>
      <c r="D104" s="18" t="str">
        <f>IF(B104="FU-ACInstall",VLOOKUP(VALUE('web survey'!D102),ref!$B$6:$C$7,2,0)&amp;" ("&amp;'web survey'!D102&amp;")",VLOOKUP(VALUE('web survey'!D102),ref!$E$6:$F$10,2,0)&amp;" ("&amp;'web survey'!D102&amp;")")</f>
        <v>Good (10)</v>
      </c>
      <c r="E104" s="27" t="str">
        <f>'web survey'!S102</f>
        <v/>
      </c>
      <c r="F104" s="18" t="str">
        <f>IF(B104="FU-ACInstall",VLOOKUP(VALUE('web survey'!E102),ref!$B$10:$C$12,2,0)&amp;" ("&amp;'web survey'!E102&amp;")",VLOOKUP(VALUE('web survey'!E102),ref!$E$13:$F$17,2,0)&amp;" ("&amp;'web survey'!E102&amp;")")</f>
        <v>Very Good (10)</v>
      </c>
      <c r="G104" s="27" t="str">
        <f>'web survey'!T102</f>
        <v/>
      </c>
      <c r="H104" s="18" t="str">
        <f>IF(B104="FU-ACInstall",VLOOKUP(VALUE('web survey'!F102),ref!$B$15:$C$17,2,0)&amp;" ("&amp;'web survey'!F102&amp;")",VLOOKUP(VALUE('web survey'!F102),ref!$E$20:$F$21,2,0)&amp;" ("&amp;'web survey'!F102&amp;")")</f>
        <v>Appropriate with SAP / in Warranty (10)</v>
      </c>
      <c r="I104" s="27" t="str">
        <f>'web survey'!U102</f>
        <v/>
      </c>
      <c r="J104" s="18" t="str">
        <f>IF(B104="FU-ACInstall","-",VLOOKUP(VALUE('web survey'!G102),ref!$E$24:$F$26,2,0)&amp;" ("&amp;'web survey'!G102&amp;")")</f>
        <v>Jelas (5)</v>
      </c>
      <c r="K104" s="6" t="str">
        <f>YEAR('web survey'!Z102)&amp;"-"&amp;IF(MONTH('web survey'!Z102)&lt;10,"0"&amp;MONTH('web survey'!Z102),MONTH('web survey'!Z102))&amp;"-"&amp;IF(DAY('web survey'!Z102)&lt;10,"0"&amp;DAY('web survey'!Z102),DAY('web survey'!Z102))&amp;" "&amp;IF(HOUR('web survey'!Z102)&lt;10,"0"&amp;HOUR('web survey'!Z102),HOUR('web survey'!Z102))&amp;":"&amp;IF(MINUTE('web survey'!Z102)&lt;10,"0"&amp;MINUTE('web survey'!Z102),MINUTE('web survey'!Z102))&amp;(":00'")</f>
        <v>2024-08-21 05:37:00'</v>
      </c>
      <c r="L104" s="33"/>
      <c r="N104" s="35">
        <v>101</v>
      </c>
      <c r="O104" s="35" t="s">
        <v>63</v>
      </c>
      <c r="P104" s="37" t="s">
        <v>564</v>
      </c>
      <c r="Q104" s="39" t="s">
        <v>151</v>
      </c>
      <c r="R104" s="41" t="s">
        <v>46</v>
      </c>
      <c r="S104" s="39" t="s">
        <v>159</v>
      </c>
      <c r="T104" s="41" t="s">
        <v>46</v>
      </c>
      <c r="U104" s="39" t="s">
        <v>156</v>
      </c>
      <c r="V104" s="41" t="s">
        <v>46</v>
      </c>
      <c r="W104" s="39" t="s">
        <v>157</v>
      </c>
      <c r="X104" s="35" t="s">
        <v>563</v>
      </c>
    </row>
    <row r="105" spans="1:24" ht="28.2" customHeight="1" x14ac:dyDescent="0.3">
      <c r="A105" s="6">
        <f>IF(B105="","",ROW()-COUNTBLANK($B$4:B105)-3)</f>
        <v>102</v>
      </c>
      <c r="B105" s="6" t="str">
        <f>'web survey'!C103</f>
        <v>FU-Z1-Eng</v>
      </c>
      <c r="C105" s="29" t="str">
        <f>'web survey'!AA103</f>
        <v>100892622</v>
      </c>
      <c r="D105" s="18" t="str">
        <f>IF(B105="FU-ACInstall",VLOOKUP(VALUE('web survey'!D103),ref!$B$6:$C$7,2,0)&amp;" ("&amp;'web survey'!D103&amp;")",VLOOKUP(VALUE('web survey'!D103),ref!$E$6:$F$10,2,0)&amp;" ("&amp;'web survey'!D103&amp;")")</f>
        <v>Good (10)</v>
      </c>
      <c r="E105" s="27" t="str">
        <f>'web survey'!S103</f>
        <v/>
      </c>
      <c r="F105" s="18" t="str">
        <f>IF(B105="FU-ACInstall",VLOOKUP(VALUE('web survey'!E103),ref!$B$10:$C$12,2,0)&amp;" ("&amp;'web survey'!E103&amp;")",VLOOKUP(VALUE('web survey'!E103),ref!$E$13:$F$17,2,0)&amp;" ("&amp;'web survey'!E103&amp;")")</f>
        <v>Very Good (10)</v>
      </c>
      <c r="G105" s="27" t="str">
        <f>'web survey'!T103</f>
        <v/>
      </c>
      <c r="H105" s="18" t="str">
        <f>IF(B105="FU-ACInstall",VLOOKUP(VALUE('web survey'!F103),ref!$B$15:$C$17,2,0)&amp;" ("&amp;'web survey'!F103&amp;")",VLOOKUP(VALUE('web survey'!F103),ref!$E$20:$F$21,2,0)&amp;" ("&amp;'web survey'!F103&amp;")")</f>
        <v>Appropriate with SAP / in Warranty (10)</v>
      </c>
      <c r="I105" s="27" t="str">
        <f>'web survey'!U103</f>
        <v/>
      </c>
      <c r="J105" s="18" t="str">
        <f>IF(B105="FU-ACInstall","-",VLOOKUP(VALUE('web survey'!G103),ref!$E$24:$F$26,2,0)&amp;" ("&amp;'web survey'!G103&amp;")")</f>
        <v>Jelas (5)</v>
      </c>
      <c r="K105" s="6" t="str">
        <f>YEAR('web survey'!Z103)&amp;"-"&amp;IF(MONTH('web survey'!Z103)&lt;10,"0"&amp;MONTH('web survey'!Z103),MONTH('web survey'!Z103))&amp;"-"&amp;IF(DAY('web survey'!Z103)&lt;10,"0"&amp;DAY('web survey'!Z103),DAY('web survey'!Z103))&amp;" "&amp;IF(HOUR('web survey'!Z103)&lt;10,"0"&amp;HOUR('web survey'!Z103),HOUR('web survey'!Z103))&amp;":"&amp;IF(MINUTE('web survey'!Z103)&lt;10,"0"&amp;MINUTE('web survey'!Z103),MINUTE('web survey'!Z103))&amp;(":00'")</f>
        <v>2024-08-21 05:35:00'</v>
      </c>
      <c r="L105" s="33"/>
      <c r="N105" s="35">
        <v>102</v>
      </c>
      <c r="O105" s="35" t="s">
        <v>63</v>
      </c>
      <c r="P105" s="37" t="s">
        <v>568</v>
      </c>
      <c r="Q105" s="39" t="s">
        <v>151</v>
      </c>
      <c r="R105" s="41" t="s">
        <v>46</v>
      </c>
      <c r="S105" s="39" t="s">
        <v>159</v>
      </c>
      <c r="T105" s="41" t="s">
        <v>46</v>
      </c>
      <c r="U105" s="39" t="s">
        <v>156</v>
      </c>
      <c r="V105" s="41" t="s">
        <v>46</v>
      </c>
      <c r="W105" s="39" t="s">
        <v>157</v>
      </c>
      <c r="X105" s="35" t="s">
        <v>567</v>
      </c>
    </row>
    <row r="106" spans="1:24" ht="28.2" customHeight="1" x14ac:dyDescent="0.3">
      <c r="A106" s="6">
        <f>IF(B106="","",ROW()-COUNTBLANK($B$4:B106)-3)</f>
        <v>103</v>
      </c>
      <c r="B106" s="6" t="str">
        <f>'web survey'!C104</f>
        <v>FU-Z1-Eng</v>
      </c>
      <c r="C106" s="29" t="str">
        <f>'web survey'!AA104</f>
        <v>1008A2402428</v>
      </c>
      <c r="D106" s="18" t="str">
        <f>IF(B106="FU-ACInstall",VLOOKUP(VALUE('web survey'!D104),ref!$B$6:$C$7,2,0)&amp;" ("&amp;'web survey'!D104&amp;")",VLOOKUP(VALUE('web survey'!D104),ref!$E$6:$F$10,2,0)&amp;" ("&amp;'web survey'!D104&amp;")")</f>
        <v>Good (10)</v>
      </c>
      <c r="E106" s="27" t="str">
        <f>'web survey'!S104</f>
        <v/>
      </c>
      <c r="F106" s="18" t="str">
        <f>IF(B106="FU-ACInstall",VLOOKUP(VALUE('web survey'!E104),ref!$B$10:$C$12,2,0)&amp;" ("&amp;'web survey'!E104&amp;")",VLOOKUP(VALUE('web survey'!E104),ref!$E$13:$F$17,2,0)&amp;" ("&amp;'web survey'!E104&amp;")")</f>
        <v>Very Good (10)</v>
      </c>
      <c r="G106" s="27" t="str">
        <f>'web survey'!T104</f>
        <v/>
      </c>
      <c r="H106" s="18" t="str">
        <f>IF(B106="FU-ACInstall",VLOOKUP(VALUE('web survey'!F104),ref!$B$15:$C$17,2,0)&amp;" ("&amp;'web survey'!F104&amp;")",VLOOKUP(VALUE('web survey'!F104),ref!$E$20:$F$21,2,0)&amp;" ("&amp;'web survey'!F104&amp;")")</f>
        <v>Appropriate with SAP / in Warranty (10)</v>
      </c>
      <c r="I106" s="27" t="str">
        <f>'web survey'!U104</f>
        <v/>
      </c>
      <c r="J106" s="18" t="str">
        <f>IF(B106="FU-ACInstall","-",VLOOKUP(VALUE('web survey'!G104),ref!$E$24:$F$26,2,0)&amp;" ("&amp;'web survey'!G104&amp;")")</f>
        <v>Jelas (5)</v>
      </c>
      <c r="K106" s="6" t="str">
        <f>YEAR('web survey'!Z104)&amp;"-"&amp;IF(MONTH('web survey'!Z104)&lt;10,"0"&amp;MONTH('web survey'!Z104),MONTH('web survey'!Z104))&amp;"-"&amp;IF(DAY('web survey'!Z104)&lt;10,"0"&amp;DAY('web survey'!Z104),DAY('web survey'!Z104))&amp;" "&amp;IF(HOUR('web survey'!Z104)&lt;10,"0"&amp;HOUR('web survey'!Z104),HOUR('web survey'!Z104))&amp;":"&amp;IF(MINUTE('web survey'!Z104)&lt;10,"0"&amp;MINUTE('web survey'!Z104),MINUTE('web survey'!Z104))&amp;(":00'")</f>
        <v>2024-08-21 02:37:00'</v>
      </c>
      <c r="L106" s="33"/>
      <c r="N106" s="35">
        <v>103</v>
      </c>
      <c r="O106" s="35" t="s">
        <v>63</v>
      </c>
      <c r="P106" s="37" t="s">
        <v>573</v>
      </c>
      <c r="Q106" s="39" t="s">
        <v>151</v>
      </c>
      <c r="R106" s="41" t="s">
        <v>46</v>
      </c>
      <c r="S106" s="39" t="s">
        <v>159</v>
      </c>
      <c r="T106" s="41" t="s">
        <v>46</v>
      </c>
      <c r="U106" s="39" t="s">
        <v>156</v>
      </c>
      <c r="V106" s="41" t="s">
        <v>46</v>
      </c>
      <c r="W106" s="39" t="s">
        <v>157</v>
      </c>
      <c r="X106" s="35" t="s">
        <v>572</v>
      </c>
    </row>
    <row r="107" spans="1:24" ht="28.2" customHeight="1" x14ac:dyDescent="0.3">
      <c r="A107" s="6">
        <f>IF(B107="","",ROW()-COUNTBLANK($B$4:B107)-3)</f>
        <v>104</v>
      </c>
      <c r="B107" s="6">
        <f>'web survey'!C105</f>
        <v>0</v>
      </c>
      <c r="C107" s="29">
        <f>'web survey'!AA105</f>
        <v>0</v>
      </c>
      <c r="D107" s="18" t="e">
        <f>IF(B107="FU-ACInstall",VLOOKUP(VALUE('web survey'!D105),ref!$B$6:$C$7,2,0)&amp;" ("&amp;'web survey'!D105&amp;")",VLOOKUP(VALUE('web survey'!D105),ref!$E$6:$F$10,2,0)&amp;" ("&amp;'web survey'!D105&amp;")")</f>
        <v>#N/A</v>
      </c>
      <c r="E107" s="27">
        <f>'web survey'!S105</f>
        <v>0</v>
      </c>
      <c r="F107" s="18" t="e">
        <f>IF(B107="FU-ACInstall",VLOOKUP(VALUE('web survey'!E105),ref!$B$10:$C$12,2,0)&amp;" ("&amp;'web survey'!E105&amp;")",VLOOKUP(VALUE('web survey'!E105),ref!$E$13:$F$17,2,0)&amp;" ("&amp;'web survey'!E105&amp;")")</f>
        <v>#N/A</v>
      </c>
      <c r="G107" s="27">
        <f>'web survey'!T105</f>
        <v>0</v>
      </c>
      <c r="H107" s="18" t="e">
        <f>IF(B107="FU-ACInstall",VLOOKUP(VALUE('web survey'!F105),ref!$B$15:$C$17,2,0)&amp;" ("&amp;'web survey'!F105&amp;")",VLOOKUP(VALUE('web survey'!F105),ref!$E$20:$F$21,2,0)&amp;" ("&amp;'web survey'!F105&amp;")")</f>
        <v>#N/A</v>
      </c>
      <c r="I107" s="27">
        <f>'web survey'!U105</f>
        <v>0</v>
      </c>
      <c r="J107" s="18" t="e">
        <f>IF(B107="FU-ACInstall","-",VLOOKUP(VALUE('web survey'!G105),ref!$E$24:$F$26,2,0)&amp;" ("&amp;'web survey'!G105&amp;")")</f>
        <v>#N/A</v>
      </c>
      <c r="K107" s="6" t="str">
        <f>YEAR('web survey'!Z105)&amp;"-"&amp;IF(MONTH('web survey'!Z105)&lt;10,"0"&amp;MONTH('web survey'!Z105),MONTH('web survey'!Z105))&amp;"-"&amp;IF(DAY('web survey'!Z105)&lt;10,"0"&amp;DAY('web survey'!Z105),DAY('web survey'!Z105))&amp;" "&amp;IF(HOUR('web survey'!Z105)&lt;10,"0"&amp;HOUR('web survey'!Z105),HOUR('web survey'!Z105))&amp;":"&amp;IF(MINUTE('web survey'!Z105)&lt;10,"0"&amp;MINUTE('web survey'!Z105),MINUTE('web survey'!Z105))&amp;(":00'")</f>
        <v>1900-01-00 00:00:00'</v>
      </c>
      <c r="L107" s="33"/>
      <c r="N107" s="35">
        <v>104</v>
      </c>
      <c r="O107" s="35">
        <v>0</v>
      </c>
      <c r="P107" s="37">
        <v>0</v>
      </c>
      <c r="Q107" s="39" t="e">
        <v>#N/A</v>
      </c>
      <c r="R107" s="41">
        <v>0</v>
      </c>
      <c r="S107" s="39" t="e">
        <v>#N/A</v>
      </c>
      <c r="T107" s="41">
        <v>0</v>
      </c>
      <c r="U107" s="39" t="e">
        <v>#N/A</v>
      </c>
      <c r="V107" s="41">
        <v>0</v>
      </c>
      <c r="W107" s="39" t="e">
        <v>#N/A</v>
      </c>
      <c r="X107" s="35">
        <v>0</v>
      </c>
    </row>
    <row r="108" spans="1:24" ht="28.2" customHeight="1" x14ac:dyDescent="0.3">
      <c r="A108" s="6">
        <f>IF(B108="","",ROW()-COUNTBLANK($B$4:B108)-3)</f>
        <v>105</v>
      </c>
      <c r="B108" s="6">
        <f>'web survey'!C106</f>
        <v>0</v>
      </c>
      <c r="C108" s="29">
        <f>'web survey'!AA106</f>
        <v>0</v>
      </c>
      <c r="D108" s="18" t="e">
        <f>IF(B108="FU-ACInstall",VLOOKUP(VALUE('web survey'!D106),ref!$B$6:$C$7,2,0)&amp;" ("&amp;'web survey'!D106&amp;")",VLOOKUP(VALUE('web survey'!D106),ref!$E$6:$F$10,2,0)&amp;" ("&amp;'web survey'!D106&amp;")")</f>
        <v>#N/A</v>
      </c>
      <c r="E108" s="27">
        <f>'web survey'!S106</f>
        <v>0</v>
      </c>
      <c r="F108" s="18" t="e">
        <f>IF(B108="FU-ACInstall",VLOOKUP(VALUE('web survey'!E106),ref!$B$10:$C$12,2,0)&amp;" ("&amp;'web survey'!E106&amp;")",VLOOKUP(VALUE('web survey'!E106),ref!$E$13:$F$17,2,0)&amp;" ("&amp;'web survey'!E106&amp;")")</f>
        <v>#N/A</v>
      </c>
      <c r="G108" s="27">
        <f>'web survey'!T106</f>
        <v>0</v>
      </c>
      <c r="H108" s="18" t="e">
        <f>IF(B108="FU-ACInstall",VLOOKUP(VALUE('web survey'!F106),ref!$B$15:$C$17,2,0)&amp;" ("&amp;'web survey'!F106&amp;")",VLOOKUP(VALUE('web survey'!F106),ref!$E$20:$F$21,2,0)&amp;" ("&amp;'web survey'!F106&amp;")")</f>
        <v>#N/A</v>
      </c>
      <c r="I108" s="27">
        <f>'web survey'!U106</f>
        <v>0</v>
      </c>
      <c r="J108" s="18" t="e">
        <f>IF(B108="FU-ACInstall","-",VLOOKUP(VALUE('web survey'!G106),ref!$E$24:$F$26,2,0)&amp;" ("&amp;'web survey'!G106&amp;")")</f>
        <v>#N/A</v>
      </c>
      <c r="K108" s="6" t="str">
        <f>YEAR('web survey'!Z106)&amp;"-"&amp;IF(MONTH('web survey'!Z106)&lt;10,"0"&amp;MONTH('web survey'!Z106),MONTH('web survey'!Z106))&amp;"-"&amp;IF(DAY('web survey'!Z106)&lt;10,"0"&amp;DAY('web survey'!Z106),DAY('web survey'!Z106))&amp;" "&amp;IF(HOUR('web survey'!Z106)&lt;10,"0"&amp;HOUR('web survey'!Z106),HOUR('web survey'!Z106))&amp;":"&amp;IF(MINUTE('web survey'!Z106)&lt;10,"0"&amp;MINUTE('web survey'!Z106),MINUTE('web survey'!Z106))&amp;(":00'")</f>
        <v>1900-01-00 00:00:00'</v>
      </c>
      <c r="L108" s="33"/>
      <c r="N108" s="35">
        <v>105</v>
      </c>
      <c r="O108" s="35">
        <v>0</v>
      </c>
      <c r="P108" s="37">
        <v>0</v>
      </c>
      <c r="Q108" s="39" t="e">
        <v>#N/A</v>
      </c>
      <c r="R108" s="41">
        <v>0</v>
      </c>
      <c r="S108" s="39" t="e">
        <v>#N/A</v>
      </c>
      <c r="T108" s="41">
        <v>0</v>
      </c>
      <c r="U108" s="39" t="e">
        <v>#N/A</v>
      </c>
      <c r="V108" s="41">
        <v>0</v>
      </c>
      <c r="W108" s="39" t="e">
        <v>#N/A</v>
      </c>
      <c r="X108" s="35">
        <v>0</v>
      </c>
    </row>
    <row r="109" spans="1:24" ht="28.2" customHeight="1" x14ac:dyDescent="0.3">
      <c r="A109" s="6">
        <f>IF(B109="","",ROW()-COUNTBLANK($B$4:B109)-3)</f>
        <v>106</v>
      </c>
      <c r="B109" s="6">
        <f>'web survey'!C107</f>
        <v>0</v>
      </c>
      <c r="C109" s="29">
        <f>'web survey'!AA107</f>
        <v>0</v>
      </c>
      <c r="D109" s="18" t="e">
        <f>IF(B109="FU-ACInstall",VLOOKUP(VALUE('web survey'!D107),ref!$B$6:$C$7,2,0)&amp;" ("&amp;'web survey'!D107&amp;")",VLOOKUP(VALUE('web survey'!D107),ref!$E$6:$F$10,2,0)&amp;" ("&amp;'web survey'!D107&amp;")")</f>
        <v>#N/A</v>
      </c>
      <c r="E109" s="27">
        <f>'web survey'!S107</f>
        <v>0</v>
      </c>
      <c r="F109" s="18" t="e">
        <f>IF(B109="FU-ACInstall",VLOOKUP(VALUE('web survey'!E107),ref!$B$10:$C$12,2,0)&amp;" ("&amp;'web survey'!E107&amp;")",VLOOKUP(VALUE('web survey'!E107),ref!$E$13:$F$17,2,0)&amp;" ("&amp;'web survey'!E107&amp;")")</f>
        <v>#N/A</v>
      </c>
      <c r="G109" s="27">
        <f>'web survey'!T107</f>
        <v>0</v>
      </c>
      <c r="H109" s="18" t="e">
        <f>IF(B109="FU-ACInstall",VLOOKUP(VALUE('web survey'!F107),ref!$B$15:$C$17,2,0)&amp;" ("&amp;'web survey'!F107&amp;")",VLOOKUP(VALUE('web survey'!F107),ref!$E$20:$F$21,2,0)&amp;" ("&amp;'web survey'!F107&amp;")")</f>
        <v>#N/A</v>
      </c>
      <c r="I109" s="27">
        <f>'web survey'!U107</f>
        <v>0</v>
      </c>
      <c r="J109" s="18" t="e">
        <f>IF(B109="FU-ACInstall","-",VLOOKUP(VALUE('web survey'!G107),ref!$E$24:$F$26,2,0)&amp;" ("&amp;'web survey'!G107&amp;")")</f>
        <v>#N/A</v>
      </c>
      <c r="K109" s="6" t="str">
        <f>YEAR('web survey'!Z107)&amp;"-"&amp;IF(MONTH('web survey'!Z107)&lt;10,"0"&amp;MONTH('web survey'!Z107),MONTH('web survey'!Z107))&amp;"-"&amp;IF(DAY('web survey'!Z107)&lt;10,"0"&amp;DAY('web survey'!Z107),DAY('web survey'!Z107))&amp;" "&amp;IF(HOUR('web survey'!Z107)&lt;10,"0"&amp;HOUR('web survey'!Z107),HOUR('web survey'!Z107))&amp;":"&amp;IF(MINUTE('web survey'!Z107)&lt;10,"0"&amp;MINUTE('web survey'!Z107),MINUTE('web survey'!Z107))&amp;(":00'")</f>
        <v>1900-01-00 00:00:00'</v>
      </c>
      <c r="L109" s="33"/>
      <c r="N109" s="35">
        <v>106</v>
      </c>
      <c r="O109" s="35">
        <v>0</v>
      </c>
      <c r="P109" s="37">
        <v>0</v>
      </c>
      <c r="Q109" s="39" t="e">
        <v>#N/A</v>
      </c>
      <c r="R109" s="41">
        <v>0</v>
      </c>
      <c r="S109" s="39" t="e">
        <v>#N/A</v>
      </c>
      <c r="T109" s="41">
        <v>0</v>
      </c>
      <c r="U109" s="39" t="e">
        <v>#N/A</v>
      </c>
      <c r="V109" s="41">
        <v>0</v>
      </c>
      <c r="W109" s="39" t="e">
        <v>#N/A</v>
      </c>
      <c r="X109" s="35">
        <v>0</v>
      </c>
    </row>
    <row r="110" spans="1:24" ht="28.2" customHeight="1" x14ac:dyDescent="0.3">
      <c r="A110" s="6">
        <f>IF(B110="","",ROW()-COUNTBLANK($B$4:B110)-3)</f>
        <v>107</v>
      </c>
      <c r="B110" s="6">
        <f>'web survey'!C108</f>
        <v>0</v>
      </c>
      <c r="C110" s="29">
        <f>'web survey'!AA108</f>
        <v>0</v>
      </c>
      <c r="D110" s="18" t="e">
        <f>IF(B110="FU-ACInstall",VLOOKUP(VALUE('web survey'!D108),ref!$B$6:$C$7,2,0)&amp;" ("&amp;'web survey'!D108&amp;")",VLOOKUP(VALUE('web survey'!D108),ref!$E$6:$F$10,2,0)&amp;" ("&amp;'web survey'!D108&amp;")")</f>
        <v>#N/A</v>
      </c>
      <c r="E110" s="27">
        <f>'web survey'!S108</f>
        <v>0</v>
      </c>
      <c r="F110" s="18" t="e">
        <f>IF(B110="FU-ACInstall",VLOOKUP(VALUE('web survey'!E108),ref!$B$10:$C$12,2,0)&amp;" ("&amp;'web survey'!E108&amp;")",VLOOKUP(VALUE('web survey'!E108),ref!$E$13:$F$17,2,0)&amp;" ("&amp;'web survey'!E108&amp;")")</f>
        <v>#N/A</v>
      </c>
      <c r="G110" s="27">
        <f>'web survey'!T108</f>
        <v>0</v>
      </c>
      <c r="H110" s="18" t="e">
        <f>IF(B110="FU-ACInstall",VLOOKUP(VALUE('web survey'!F108),ref!$B$15:$C$17,2,0)&amp;" ("&amp;'web survey'!F108&amp;")",VLOOKUP(VALUE('web survey'!F108),ref!$E$20:$F$21,2,0)&amp;" ("&amp;'web survey'!F108&amp;")")</f>
        <v>#N/A</v>
      </c>
      <c r="I110" s="27">
        <f>'web survey'!U108</f>
        <v>0</v>
      </c>
      <c r="J110" s="18" t="e">
        <f>IF(B110="FU-ACInstall","-",VLOOKUP(VALUE('web survey'!G108),ref!$E$24:$F$26,2,0)&amp;" ("&amp;'web survey'!G108&amp;")")</f>
        <v>#N/A</v>
      </c>
      <c r="K110" s="6" t="str">
        <f>YEAR('web survey'!Z108)&amp;"-"&amp;IF(MONTH('web survey'!Z108)&lt;10,"0"&amp;MONTH('web survey'!Z108),MONTH('web survey'!Z108))&amp;"-"&amp;IF(DAY('web survey'!Z108)&lt;10,"0"&amp;DAY('web survey'!Z108),DAY('web survey'!Z108))&amp;" "&amp;IF(HOUR('web survey'!Z108)&lt;10,"0"&amp;HOUR('web survey'!Z108),HOUR('web survey'!Z108))&amp;":"&amp;IF(MINUTE('web survey'!Z108)&lt;10,"0"&amp;MINUTE('web survey'!Z108),MINUTE('web survey'!Z108))&amp;(":00'")</f>
        <v>1900-01-00 00:00:00'</v>
      </c>
      <c r="L110" s="33"/>
      <c r="N110" s="35">
        <v>107</v>
      </c>
      <c r="O110" s="35">
        <v>0</v>
      </c>
      <c r="P110" s="37">
        <v>0</v>
      </c>
      <c r="Q110" s="39" t="e">
        <v>#N/A</v>
      </c>
      <c r="R110" s="41">
        <v>0</v>
      </c>
      <c r="S110" s="39" t="e">
        <v>#N/A</v>
      </c>
      <c r="T110" s="41">
        <v>0</v>
      </c>
      <c r="U110" s="39" t="e">
        <v>#N/A</v>
      </c>
      <c r="V110" s="41">
        <v>0</v>
      </c>
      <c r="W110" s="39" t="e">
        <v>#N/A</v>
      </c>
      <c r="X110" s="35">
        <v>0</v>
      </c>
    </row>
    <row r="111" spans="1:24" ht="28.2" customHeight="1" x14ac:dyDescent="0.3">
      <c r="A111" s="6">
        <f>IF(B111="","",ROW()-COUNTBLANK($B$4:B111)-3)</f>
        <v>108</v>
      </c>
      <c r="B111" s="6">
        <f>'web survey'!C109</f>
        <v>0</v>
      </c>
      <c r="C111" s="29">
        <f>'web survey'!AA109</f>
        <v>0</v>
      </c>
      <c r="D111" s="18" t="e">
        <f>IF(B111="FU-ACInstall",VLOOKUP(VALUE('web survey'!D109),ref!$B$6:$C$7,2,0)&amp;" ("&amp;'web survey'!D109&amp;")",VLOOKUP(VALUE('web survey'!D109),ref!$E$6:$F$10,2,0)&amp;" ("&amp;'web survey'!D109&amp;")")</f>
        <v>#N/A</v>
      </c>
      <c r="E111" s="27">
        <f>'web survey'!S109</f>
        <v>0</v>
      </c>
      <c r="F111" s="18" t="e">
        <f>IF(B111="FU-ACInstall",VLOOKUP(VALUE('web survey'!E109),ref!$B$10:$C$12,2,0)&amp;" ("&amp;'web survey'!E109&amp;")",VLOOKUP(VALUE('web survey'!E109),ref!$E$13:$F$17,2,0)&amp;" ("&amp;'web survey'!E109&amp;")")</f>
        <v>#N/A</v>
      </c>
      <c r="G111" s="27">
        <f>'web survey'!T109</f>
        <v>0</v>
      </c>
      <c r="H111" s="18" t="e">
        <f>IF(B111="FU-ACInstall",VLOOKUP(VALUE('web survey'!F109),ref!$B$15:$C$17,2,0)&amp;" ("&amp;'web survey'!F109&amp;")",VLOOKUP(VALUE('web survey'!F109),ref!$E$20:$F$21,2,0)&amp;" ("&amp;'web survey'!F109&amp;")")</f>
        <v>#N/A</v>
      </c>
      <c r="I111" s="27">
        <f>'web survey'!U109</f>
        <v>0</v>
      </c>
      <c r="J111" s="18" t="e">
        <f>IF(B111="FU-ACInstall","-",VLOOKUP(VALUE('web survey'!G109),ref!$E$24:$F$26,2,0)&amp;" ("&amp;'web survey'!G109&amp;")")</f>
        <v>#N/A</v>
      </c>
      <c r="K111" s="6" t="str">
        <f>YEAR('web survey'!Z109)&amp;"-"&amp;IF(MONTH('web survey'!Z109)&lt;10,"0"&amp;MONTH('web survey'!Z109),MONTH('web survey'!Z109))&amp;"-"&amp;IF(DAY('web survey'!Z109)&lt;10,"0"&amp;DAY('web survey'!Z109),DAY('web survey'!Z109))&amp;" "&amp;IF(HOUR('web survey'!Z109)&lt;10,"0"&amp;HOUR('web survey'!Z109),HOUR('web survey'!Z109))&amp;":"&amp;IF(MINUTE('web survey'!Z109)&lt;10,"0"&amp;MINUTE('web survey'!Z109),MINUTE('web survey'!Z109))&amp;(":00'")</f>
        <v>1900-01-00 00:00:00'</v>
      </c>
      <c r="L111" s="33"/>
      <c r="N111" s="35">
        <v>108</v>
      </c>
      <c r="O111" s="35">
        <v>0</v>
      </c>
      <c r="P111" s="37">
        <v>0</v>
      </c>
      <c r="Q111" s="39" t="e">
        <v>#N/A</v>
      </c>
      <c r="R111" s="41">
        <v>0</v>
      </c>
      <c r="S111" s="39" t="e">
        <v>#N/A</v>
      </c>
      <c r="T111" s="41">
        <v>0</v>
      </c>
      <c r="U111" s="39" t="e">
        <v>#N/A</v>
      </c>
      <c r="V111" s="41">
        <v>0</v>
      </c>
      <c r="W111" s="39" t="e">
        <v>#N/A</v>
      </c>
      <c r="X111" s="35">
        <v>0</v>
      </c>
    </row>
    <row r="112" spans="1:24" ht="28.2" customHeight="1" x14ac:dyDescent="0.3">
      <c r="A112" s="6">
        <f>IF(B112="","",ROW()-COUNTBLANK($B$4:B112)-3)</f>
        <v>109</v>
      </c>
      <c r="B112" s="6">
        <f>'web survey'!C110</f>
        <v>0</v>
      </c>
      <c r="C112" s="29">
        <f>'web survey'!AA110</f>
        <v>0</v>
      </c>
      <c r="D112" s="18" t="e">
        <f>IF(B112="FU-ACInstall",VLOOKUP(VALUE('web survey'!D110),ref!$B$6:$C$7,2,0)&amp;" ("&amp;'web survey'!D110&amp;")",VLOOKUP(VALUE('web survey'!D110),ref!$E$6:$F$10,2,0)&amp;" ("&amp;'web survey'!D110&amp;")")</f>
        <v>#N/A</v>
      </c>
      <c r="E112" s="27">
        <f>'web survey'!S110</f>
        <v>0</v>
      </c>
      <c r="F112" s="18" t="e">
        <f>IF(B112="FU-ACInstall",VLOOKUP(VALUE('web survey'!E110),ref!$B$10:$C$12,2,0)&amp;" ("&amp;'web survey'!E110&amp;")",VLOOKUP(VALUE('web survey'!E110),ref!$E$13:$F$17,2,0)&amp;" ("&amp;'web survey'!E110&amp;")")</f>
        <v>#N/A</v>
      </c>
      <c r="G112" s="27">
        <f>'web survey'!T110</f>
        <v>0</v>
      </c>
      <c r="H112" s="18" t="e">
        <f>IF(B112="FU-ACInstall",VLOOKUP(VALUE('web survey'!F110),ref!$B$15:$C$17,2,0)&amp;" ("&amp;'web survey'!F110&amp;")",VLOOKUP(VALUE('web survey'!F110),ref!$E$20:$F$21,2,0)&amp;" ("&amp;'web survey'!F110&amp;")")</f>
        <v>#N/A</v>
      </c>
      <c r="I112" s="27">
        <f>'web survey'!U110</f>
        <v>0</v>
      </c>
      <c r="J112" s="18" t="e">
        <f>IF(B112="FU-ACInstall","-",VLOOKUP(VALUE('web survey'!G110),ref!$E$24:$F$26,2,0)&amp;" ("&amp;'web survey'!G110&amp;")")</f>
        <v>#N/A</v>
      </c>
      <c r="K112" s="6" t="str">
        <f>YEAR('web survey'!Z110)&amp;"-"&amp;IF(MONTH('web survey'!Z110)&lt;10,"0"&amp;MONTH('web survey'!Z110),MONTH('web survey'!Z110))&amp;"-"&amp;IF(DAY('web survey'!Z110)&lt;10,"0"&amp;DAY('web survey'!Z110),DAY('web survey'!Z110))&amp;" "&amp;IF(HOUR('web survey'!Z110)&lt;10,"0"&amp;HOUR('web survey'!Z110),HOUR('web survey'!Z110))&amp;":"&amp;IF(MINUTE('web survey'!Z110)&lt;10,"0"&amp;MINUTE('web survey'!Z110),MINUTE('web survey'!Z110))&amp;(":00'")</f>
        <v>1900-01-00 00:00:00'</v>
      </c>
      <c r="L112" s="33"/>
      <c r="N112" s="35">
        <v>109</v>
      </c>
      <c r="O112" s="35">
        <v>0</v>
      </c>
      <c r="P112" s="37">
        <v>0</v>
      </c>
      <c r="Q112" s="39" t="e">
        <v>#N/A</v>
      </c>
      <c r="R112" s="41">
        <v>0</v>
      </c>
      <c r="S112" s="39" t="e">
        <v>#N/A</v>
      </c>
      <c r="T112" s="41">
        <v>0</v>
      </c>
      <c r="U112" s="39" t="e">
        <v>#N/A</v>
      </c>
      <c r="V112" s="41">
        <v>0</v>
      </c>
      <c r="W112" s="39" t="e">
        <v>#N/A</v>
      </c>
      <c r="X112" s="35">
        <v>0</v>
      </c>
    </row>
    <row r="113" spans="1:24" ht="28.2" customHeight="1" x14ac:dyDescent="0.3">
      <c r="A113" s="6">
        <f>IF(B113="","",ROW()-COUNTBLANK($B$4:B113)-3)</f>
        <v>110</v>
      </c>
      <c r="B113" s="6">
        <f>'web survey'!C111</f>
        <v>0</v>
      </c>
      <c r="C113" s="29">
        <f>'web survey'!AA111</f>
        <v>0</v>
      </c>
      <c r="D113" s="18" t="e">
        <f>IF(B113="FU-ACInstall",VLOOKUP(VALUE('web survey'!D111),ref!$B$6:$C$7,2,0)&amp;" ("&amp;'web survey'!D111&amp;")",VLOOKUP(VALUE('web survey'!D111),ref!$E$6:$F$10,2,0)&amp;" ("&amp;'web survey'!D111&amp;")")</f>
        <v>#N/A</v>
      </c>
      <c r="E113" s="27">
        <f>'web survey'!S111</f>
        <v>0</v>
      </c>
      <c r="F113" s="18" t="e">
        <f>IF(B113="FU-ACInstall",VLOOKUP(VALUE('web survey'!E111),ref!$B$10:$C$12,2,0)&amp;" ("&amp;'web survey'!E111&amp;")",VLOOKUP(VALUE('web survey'!E111),ref!$E$13:$F$17,2,0)&amp;" ("&amp;'web survey'!E111&amp;")")</f>
        <v>#N/A</v>
      </c>
      <c r="G113" s="27">
        <f>'web survey'!T111</f>
        <v>0</v>
      </c>
      <c r="H113" s="18" t="e">
        <f>IF(B113="FU-ACInstall",VLOOKUP(VALUE('web survey'!F111),ref!$B$15:$C$17,2,0)&amp;" ("&amp;'web survey'!F111&amp;")",VLOOKUP(VALUE('web survey'!F111),ref!$E$20:$F$21,2,0)&amp;" ("&amp;'web survey'!F111&amp;")")</f>
        <v>#N/A</v>
      </c>
      <c r="I113" s="27">
        <f>'web survey'!U111</f>
        <v>0</v>
      </c>
      <c r="J113" s="18" t="e">
        <f>IF(B113="FU-ACInstall","-",VLOOKUP(VALUE('web survey'!G111),ref!$E$24:$F$26,2,0)&amp;" ("&amp;'web survey'!G111&amp;")")</f>
        <v>#N/A</v>
      </c>
      <c r="K113" s="6" t="str">
        <f>YEAR('web survey'!Z111)&amp;"-"&amp;IF(MONTH('web survey'!Z111)&lt;10,"0"&amp;MONTH('web survey'!Z111),MONTH('web survey'!Z111))&amp;"-"&amp;IF(DAY('web survey'!Z111)&lt;10,"0"&amp;DAY('web survey'!Z111),DAY('web survey'!Z111))&amp;" "&amp;IF(HOUR('web survey'!Z111)&lt;10,"0"&amp;HOUR('web survey'!Z111),HOUR('web survey'!Z111))&amp;":"&amp;IF(MINUTE('web survey'!Z111)&lt;10,"0"&amp;MINUTE('web survey'!Z111),MINUTE('web survey'!Z111))&amp;(":00'")</f>
        <v>1900-01-00 00:00:00'</v>
      </c>
      <c r="L113" s="33"/>
      <c r="N113" s="35">
        <v>110</v>
      </c>
      <c r="O113" s="35">
        <v>0</v>
      </c>
      <c r="P113" s="37">
        <v>0</v>
      </c>
      <c r="Q113" s="39" t="e">
        <v>#N/A</v>
      </c>
      <c r="R113" s="41">
        <v>0</v>
      </c>
      <c r="S113" s="39" t="e">
        <v>#N/A</v>
      </c>
      <c r="T113" s="41">
        <v>0</v>
      </c>
      <c r="U113" s="39" t="e">
        <v>#N/A</v>
      </c>
      <c r="V113" s="41">
        <v>0</v>
      </c>
      <c r="W113" s="39" t="e">
        <v>#N/A</v>
      </c>
      <c r="X113" s="35">
        <v>0</v>
      </c>
    </row>
    <row r="114" spans="1:24" ht="28.2" customHeight="1" x14ac:dyDescent="0.3">
      <c r="A114" s="6">
        <f>IF(B114="","",ROW()-COUNTBLANK($B$4:B114)-3)</f>
        <v>111</v>
      </c>
      <c r="B114" s="6">
        <f>'web survey'!C112</f>
        <v>0</v>
      </c>
      <c r="C114" s="29">
        <f>'web survey'!AA112</f>
        <v>0</v>
      </c>
      <c r="D114" s="18" t="e">
        <f>IF(B114="FU-ACInstall",VLOOKUP(VALUE('web survey'!D112),ref!$B$6:$C$7,2,0)&amp;" ("&amp;'web survey'!D112&amp;")",VLOOKUP(VALUE('web survey'!D112),ref!$E$6:$F$10,2,0)&amp;" ("&amp;'web survey'!D112&amp;")")</f>
        <v>#N/A</v>
      </c>
      <c r="E114" s="27">
        <f>'web survey'!S112</f>
        <v>0</v>
      </c>
      <c r="F114" s="18" t="e">
        <f>IF(B114="FU-ACInstall",VLOOKUP(VALUE('web survey'!E112),ref!$B$10:$C$12,2,0)&amp;" ("&amp;'web survey'!E112&amp;")",VLOOKUP(VALUE('web survey'!E112),ref!$E$13:$F$17,2,0)&amp;" ("&amp;'web survey'!E112&amp;")")</f>
        <v>#N/A</v>
      </c>
      <c r="G114" s="27">
        <f>'web survey'!T112</f>
        <v>0</v>
      </c>
      <c r="H114" s="18" t="e">
        <f>IF(B114="FU-ACInstall",VLOOKUP(VALUE('web survey'!F112),ref!$B$15:$C$17,2,0)&amp;" ("&amp;'web survey'!F112&amp;")",VLOOKUP(VALUE('web survey'!F112),ref!$E$20:$F$21,2,0)&amp;" ("&amp;'web survey'!F112&amp;")")</f>
        <v>#N/A</v>
      </c>
      <c r="I114" s="27">
        <f>'web survey'!U112</f>
        <v>0</v>
      </c>
      <c r="J114" s="18" t="e">
        <f>IF(B114="FU-ACInstall","-",VLOOKUP(VALUE('web survey'!G112),ref!$E$24:$F$26,2,0)&amp;" ("&amp;'web survey'!G112&amp;")")</f>
        <v>#N/A</v>
      </c>
      <c r="K114" s="6" t="str">
        <f>YEAR('web survey'!Z112)&amp;"-"&amp;IF(MONTH('web survey'!Z112)&lt;10,"0"&amp;MONTH('web survey'!Z112),MONTH('web survey'!Z112))&amp;"-"&amp;IF(DAY('web survey'!Z112)&lt;10,"0"&amp;DAY('web survey'!Z112),DAY('web survey'!Z112))&amp;" "&amp;IF(HOUR('web survey'!Z112)&lt;10,"0"&amp;HOUR('web survey'!Z112),HOUR('web survey'!Z112))&amp;":"&amp;IF(MINUTE('web survey'!Z112)&lt;10,"0"&amp;MINUTE('web survey'!Z112),MINUTE('web survey'!Z112))&amp;(":00'")</f>
        <v>1900-01-00 00:00:00'</v>
      </c>
      <c r="L114" s="33"/>
      <c r="N114" s="35">
        <v>111</v>
      </c>
      <c r="O114" s="35">
        <v>0</v>
      </c>
      <c r="P114" s="37">
        <v>0</v>
      </c>
      <c r="Q114" s="39" t="e">
        <v>#N/A</v>
      </c>
      <c r="R114" s="41">
        <v>0</v>
      </c>
      <c r="S114" s="39" t="e">
        <v>#N/A</v>
      </c>
      <c r="T114" s="41">
        <v>0</v>
      </c>
      <c r="U114" s="39" t="e">
        <v>#N/A</v>
      </c>
      <c r="V114" s="41">
        <v>0</v>
      </c>
      <c r="W114" s="39" t="e">
        <v>#N/A</v>
      </c>
      <c r="X114" s="35">
        <v>0</v>
      </c>
    </row>
    <row r="115" spans="1:24" ht="28.2" customHeight="1" x14ac:dyDescent="0.3">
      <c r="A115" s="6">
        <f>IF(B115="","",ROW()-COUNTBLANK($B$4:B115)-3)</f>
        <v>112</v>
      </c>
      <c r="B115" s="6">
        <f>'web survey'!C113</f>
        <v>0</v>
      </c>
      <c r="C115" s="29">
        <f>'web survey'!AA113</f>
        <v>0</v>
      </c>
      <c r="D115" s="18" t="e">
        <f>IF(B115="FU-ACInstall",VLOOKUP(VALUE('web survey'!D113),ref!$B$6:$C$7,2,0)&amp;" ("&amp;'web survey'!D113&amp;")",VLOOKUP(VALUE('web survey'!D113),ref!$E$6:$F$10,2,0)&amp;" ("&amp;'web survey'!D113&amp;")")</f>
        <v>#N/A</v>
      </c>
      <c r="E115" s="27">
        <f>'web survey'!S113</f>
        <v>0</v>
      </c>
      <c r="F115" s="18" t="e">
        <f>IF(B115="FU-ACInstall",VLOOKUP(VALUE('web survey'!E113),ref!$B$10:$C$12,2,0)&amp;" ("&amp;'web survey'!E113&amp;")",VLOOKUP(VALUE('web survey'!E113),ref!$E$13:$F$17,2,0)&amp;" ("&amp;'web survey'!E113&amp;")")</f>
        <v>#N/A</v>
      </c>
      <c r="G115" s="27">
        <f>'web survey'!T113</f>
        <v>0</v>
      </c>
      <c r="H115" s="18" t="e">
        <f>IF(B115="FU-ACInstall",VLOOKUP(VALUE('web survey'!F113),ref!$B$15:$C$17,2,0)&amp;" ("&amp;'web survey'!F113&amp;")",VLOOKUP(VALUE('web survey'!F113),ref!$E$20:$F$21,2,0)&amp;" ("&amp;'web survey'!F113&amp;")")</f>
        <v>#N/A</v>
      </c>
      <c r="I115" s="27">
        <f>'web survey'!U113</f>
        <v>0</v>
      </c>
      <c r="J115" s="18" t="e">
        <f>IF(B115="FU-ACInstall","-",VLOOKUP(VALUE('web survey'!G113),ref!$E$24:$F$26,2,0)&amp;" ("&amp;'web survey'!G113&amp;")")</f>
        <v>#N/A</v>
      </c>
      <c r="K115" s="6" t="str">
        <f>YEAR('web survey'!Z113)&amp;"-"&amp;IF(MONTH('web survey'!Z113)&lt;10,"0"&amp;MONTH('web survey'!Z113),MONTH('web survey'!Z113))&amp;"-"&amp;IF(DAY('web survey'!Z113)&lt;10,"0"&amp;DAY('web survey'!Z113),DAY('web survey'!Z113))&amp;" "&amp;IF(HOUR('web survey'!Z113)&lt;10,"0"&amp;HOUR('web survey'!Z113),HOUR('web survey'!Z113))&amp;":"&amp;IF(MINUTE('web survey'!Z113)&lt;10,"0"&amp;MINUTE('web survey'!Z113),MINUTE('web survey'!Z113))&amp;(":00'")</f>
        <v>1900-01-00 00:00:00'</v>
      </c>
      <c r="L115" s="33"/>
      <c r="N115" s="35">
        <v>112</v>
      </c>
      <c r="O115" s="35">
        <v>0</v>
      </c>
      <c r="P115" s="37">
        <v>0</v>
      </c>
      <c r="Q115" s="39" t="e">
        <v>#N/A</v>
      </c>
      <c r="R115" s="41">
        <v>0</v>
      </c>
      <c r="S115" s="39" t="e">
        <v>#N/A</v>
      </c>
      <c r="T115" s="41">
        <v>0</v>
      </c>
      <c r="U115" s="39" t="e">
        <v>#N/A</v>
      </c>
      <c r="V115" s="41">
        <v>0</v>
      </c>
      <c r="W115" s="39" t="e">
        <v>#N/A</v>
      </c>
      <c r="X115" s="35">
        <v>0</v>
      </c>
    </row>
    <row r="116" spans="1:24" ht="28.2" customHeight="1" x14ac:dyDescent="0.3">
      <c r="A116" s="6">
        <f>IF(B116="","",ROW()-COUNTBLANK($B$4:B116)-3)</f>
        <v>113</v>
      </c>
      <c r="B116" s="6">
        <f>'web survey'!C114</f>
        <v>0</v>
      </c>
      <c r="C116" s="29">
        <f>'web survey'!AA114</f>
        <v>0</v>
      </c>
      <c r="D116" s="18" t="e">
        <f>IF(B116="FU-ACInstall",VLOOKUP(VALUE('web survey'!D114),ref!$B$6:$C$7,2,0)&amp;" ("&amp;'web survey'!D114&amp;")",VLOOKUP(VALUE('web survey'!D114),ref!$E$6:$F$10,2,0)&amp;" ("&amp;'web survey'!D114&amp;")")</f>
        <v>#N/A</v>
      </c>
      <c r="E116" s="27">
        <f>'web survey'!S114</f>
        <v>0</v>
      </c>
      <c r="F116" s="18" t="e">
        <f>IF(B116="FU-ACInstall",VLOOKUP(VALUE('web survey'!E114),ref!$B$10:$C$12,2,0)&amp;" ("&amp;'web survey'!E114&amp;")",VLOOKUP(VALUE('web survey'!E114),ref!$E$13:$F$17,2,0)&amp;" ("&amp;'web survey'!E114&amp;")")</f>
        <v>#N/A</v>
      </c>
      <c r="G116" s="27">
        <f>'web survey'!T114</f>
        <v>0</v>
      </c>
      <c r="H116" s="18" t="e">
        <f>IF(B116="FU-ACInstall",VLOOKUP(VALUE('web survey'!F114),ref!$B$15:$C$17,2,0)&amp;" ("&amp;'web survey'!F114&amp;")",VLOOKUP(VALUE('web survey'!F114),ref!$E$20:$F$21,2,0)&amp;" ("&amp;'web survey'!F114&amp;")")</f>
        <v>#N/A</v>
      </c>
      <c r="I116" s="27">
        <f>'web survey'!U114</f>
        <v>0</v>
      </c>
      <c r="J116" s="18" t="e">
        <f>IF(B116="FU-ACInstall","-",VLOOKUP(VALUE('web survey'!G114),ref!$E$24:$F$26,2,0)&amp;" ("&amp;'web survey'!G114&amp;")")</f>
        <v>#N/A</v>
      </c>
      <c r="K116" s="6" t="str">
        <f>YEAR('web survey'!Z114)&amp;"-"&amp;IF(MONTH('web survey'!Z114)&lt;10,"0"&amp;MONTH('web survey'!Z114),MONTH('web survey'!Z114))&amp;"-"&amp;IF(DAY('web survey'!Z114)&lt;10,"0"&amp;DAY('web survey'!Z114),DAY('web survey'!Z114))&amp;" "&amp;IF(HOUR('web survey'!Z114)&lt;10,"0"&amp;HOUR('web survey'!Z114),HOUR('web survey'!Z114))&amp;":"&amp;IF(MINUTE('web survey'!Z114)&lt;10,"0"&amp;MINUTE('web survey'!Z114),MINUTE('web survey'!Z114))&amp;(":00'")</f>
        <v>1900-01-00 00:00:00'</v>
      </c>
      <c r="L116" s="33"/>
      <c r="N116" s="35">
        <v>113</v>
      </c>
      <c r="O116" s="35">
        <v>0</v>
      </c>
      <c r="P116" s="37">
        <v>0</v>
      </c>
      <c r="Q116" s="39" t="e">
        <v>#N/A</v>
      </c>
      <c r="R116" s="41">
        <v>0</v>
      </c>
      <c r="S116" s="39" t="e">
        <v>#N/A</v>
      </c>
      <c r="T116" s="41">
        <v>0</v>
      </c>
      <c r="U116" s="39" t="e">
        <v>#N/A</v>
      </c>
      <c r="V116" s="41">
        <v>0</v>
      </c>
      <c r="W116" s="39" t="e">
        <v>#N/A</v>
      </c>
      <c r="X116" s="35">
        <v>0</v>
      </c>
    </row>
    <row r="117" spans="1:24" ht="28.2" customHeight="1" x14ac:dyDescent="0.3">
      <c r="A117" s="6">
        <f>IF(B117="","",ROW()-COUNTBLANK($B$4:B117)-3)</f>
        <v>114</v>
      </c>
      <c r="B117" s="6">
        <f>'web survey'!C115</f>
        <v>0</v>
      </c>
      <c r="C117" s="29">
        <f>'web survey'!AA115</f>
        <v>0</v>
      </c>
      <c r="D117" s="18" t="e">
        <f>IF(B117="FU-ACInstall",VLOOKUP(VALUE('web survey'!D115),ref!$B$6:$C$7,2,0)&amp;" ("&amp;'web survey'!D115&amp;")",VLOOKUP(VALUE('web survey'!D115),ref!$E$6:$F$10,2,0)&amp;" ("&amp;'web survey'!D115&amp;")")</f>
        <v>#N/A</v>
      </c>
      <c r="E117" s="27">
        <f>'web survey'!S115</f>
        <v>0</v>
      </c>
      <c r="F117" s="18" t="e">
        <f>IF(B117="FU-ACInstall",VLOOKUP(VALUE('web survey'!E115),ref!$B$10:$C$12,2,0)&amp;" ("&amp;'web survey'!E115&amp;")",VLOOKUP(VALUE('web survey'!E115),ref!$E$13:$F$17,2,0)&amp;" ("&amp;'web survey'!E115&amp;")")</f>
        <v>#N/A</v>
      </c>
      <c r="G117" s="27">
        <f>'web survey'!T115</f>
        <v>0</v>
      </c>
      <c r="H117" s="18" t="e">
        <f>IF(B117="FU-ACInstall",VLOOKUP(VALUE('web survey'!F115),ref!$B$15:$C$17,2,0)&amp;" ("&amp;'web survey'!F115&amp;")",VLOOKUP(VALUE('web survey'!F115),ref!$E$20:$F$21,2,0)&amp;" ("&amp;'web survey'!F115&amp;")")</f>
        <v>#N/A</v>
      </c>
      <c r="I117" s="27">
        <f>'web survey'!U115</f>
        <v>0</v>
      </c>
      <c r="J117" s="18" t="e">
        <f>IF(B117="FU-ACInstall","-",VLOOKUP(VALUE('web survey'!G115),ref!$E$24:$F$26,2,0)&amp;" ("&amp;'web survey'!G115&amp;")")</f>
        <v>#N/A</v>
      </c>
      <c r="K117" s="6" t="str">
        <f>YEAR('web survey'!Z115)&amp;"-"&amp;IF(MONTH('web survey'!Z115)&lt;10,"0"&amp;MONTH('web survey'!Z115),MONTH('web survey'!Z115))&amp;"-"&amp;IF(DAY('web survey'!Z115)&lt;10,"0"&amp;DAY('web survey'!Z115),DAY('web survey'!Z115))&amp;" "&amp;IF(HOUR('web survey'!Z115)&lt;10,"0"&amp;HOUR('web survey'!Z115),HOUR('web survey'!Z115))&amp;":"&amp;IF(MINUTE('web survey'!Z115)&lt;10,"0"&amp;MINUTE('web survey'!Z115),MINUTE('web survey'!Z115))&amp;(":00'")</f>
        <v>1900-01-00 00:00:00'</v>
      </c>
      <c r="L117" s="33"/>
      <c r="N117" s="35">
        <v>114</v>
      </c>
      <c r="O117" s="35">
        <v>0</v>
      </c>
      <c r="P117" s="37">
        <v>0</v>
      </c>
      <c r="Q117" s="39" t="e">
        <v>#N/A</v>
      </c>
      <c r="R117" s="41">
        <v>0</v>
      </c>
      <c r="S117" s="39" t="e">
        <v>#N/A</v>
      </c>
      <c r="T117" s="41">
        <v>0</v>
      </c>
      <c r="U117" s="39" t="e">
        <v>#N/A</v>
      </c>
      <c r="V117" s="41">
        <v>0</v>
      </c>
      <c r="W117" s="39" t="e">
        <v>#N/A</v>
      </c>
      <c r="X117" s="35">
        <v>0</v>
      </c>
    </row>
    <row r="118" spans="1:24" ht="28.2" customHeight="1" x14ac:dyDescent="0.3">
      <c r="A118" s="6">
        <f>IF(B118="","",ROW()-COUNTBLANK($B$4:B118)-3)</f>
        <v>115</v>
      </c>
      <c r="B118" s="6">
        <f>'web survey'!C116</f>
        <v>0</v>
      </c>
      <c r="C118" s="29">
        <f>'web survey'!AA116</f>
        <v>0</v>
      </c>
      <c r="D118" s="18" t="e">
        <f>IF(B118="FU-ACInstall",VLOOKUP(VALUE('web survey'!D116),ref!$B$6:$C$7,2,0)&amp;" ("&amp;'web survey'!D116&amp;")",VLOOKUP(VALUE('web survey'!D116),ref!$E$6:$F$10,2,0)&amp;" ("&amp;'web survey'!D116&amp;")")</f>
        <v>#N/A</v>
      </c>
      <c r="E118" s="27">
        <f>'web survey'!S116</f>
        <v>0</v>
      </c>
      <c r="F118" s="18" t="e">
        <f>IF(B118="FU-ACInstall",VLOOKUP(VALUE('web survey'!E116),ref!$B$10:$C$12,2,0)&amp;" ("&amp;'web survey'!E116&amp;")",VLOOKUP(VALUE('web survey'!E116),ref!$E$13:$F$17,2,0)&amp;" ("&amp;'web survey'!E116&amp;")")</f>
        <v>#N/A</v>
      </c>
      <c r="G118" s="27">
        <f>'web survey'!T116</f>
        <v>0</v>
      </c>
      <c r="H118" s="18" t="e">
        <f>IF(B118="FU-ACInstall",VLOOKUP(VALUE('web survey'!F116),ref!$B$15:$C$17,2,0)&amp;" ("&amp;'web survey'!F116&amp;")",VLOOKUP(VALUE('web survey'!F116),ref!$E$20:$F$21,2,0)&amp;" ("&amp;'web survey'!F116&amp;")")</f>
        <v>#N/A</v>
      </c>
      <c r="I118" s="27">
        <f>'web survey'!U116</f>
        <v>0</v>
      </c>
      <c r="J118" s="18" t="e">
        <f>IF(B118="FU-ACInstall","-",VLOOKUP(VALUE('web survey'!G116),ref!$E$24:$F$26,2,0)&amp;" ("&amp;'web survey'!G116&amp;")")</f>
        <v>#N/A</v>
      </c>
      <c r="K118" s="6" t="str">
        <f>YEAR('web survey'!Z116)&amp;"-"&amp;IF(MONTH('web survey'!Z116)&lt;10,"0"&amp;MONTH('web survey'!Z116),MONTH('web survey'!Z116))&amp;"-"&amp;IF(DAY('web survey'!Z116)&lt;10,"0"&amp;DAY('web survey'!Z116),DAY('web survey'!Z116))&amp;" "&amp;IF(HOUR('web survey'!Z116)&lt;10,"0"&amp;HOUR('web survey'!Z116),HOUR('web survey'!Z116))&amp;":"&amp;IF(MINUTE('web survey'!Z116)&lt;10,"0"&amp;MINUTE('web survey'!Z116),MINUTE('web survey'!Z116))&amp;(":00'")</f>
        <v>1900-01-00 00:00:00'</v>
      </c>
      <c r="L118" s="33"/>
      <c r="N118" s="35">
        <v>115</v>
      </c>
      <c r="O118" s="35">
        <v>0</v>
      </c>
      <c r="P118" s="37">
        <v>0</v>
      </c>
      <c r="Q118" s="39" t="e">
        <v>#N/A</v>
      </c>
      <c r="R118" s="41">
        <v>0</v>
      </c>
      <c r="S118" s="39" t="e">
        <v>#N/A</v>
      </c>
      <c r="T118" s="41">
        <v>0</v>
      </c>
      <c r="U118" s="39" t="e">
        <v>#N/A</v>
      </c>
      <c r="V118" s="41">
        <v>0</v>
      </c>
      <c r="W118" s="39" t="e">
        <v>#N/A</v>
      </c>
      <c r="X118" s="35">
        <v>0</v>
      </c>
    </row>
    <row r="119" spans="1:24" ht="28.2" customHeight="1" x14ac:dyDescent="0.3">
      <c r="A119" s="6">
        <f>IF(B119="","",ROW()-COUNTBLANK($B$4:B119)-3)</f>
        <v>116</v>
      </c>
      <c r="B119" s="6">
        <f>'web survey'!C117</f>
        <v>0</v>
      </c>
      <c r="C119" s="29">
        <f>'web survey'!AA117</f>
        <v>0</v>
      </c>
      <c r="D119" s="18" t="e">
        <f>IF(B119="FU-ACInstall",VLOOKUP(VALUE('web survey'!D117),ref!$B$6:$C$7,2,0)&amp;" ("&amp;'web survey'!D117&amp;")",VLOOKUP(VALUE('web survey'!D117),ref!$E$6:$F$10,2,0)&amp;" ("&amp;'web survey'!D117&amp;")")</f>
        <v>#N/A</v>
      </c>
      <c r="E119" s="27">
        <f>'web survey'!S117</f>
        <v>0</v>
      </c>
      <c r="F119" s="18" t="e">
        <f>IF(B119="FU-ACInstall",VLOOKUP(VALUE('web survey'!E117),ref!$B$10:$C$12,2,0)&amp;" ("&amp;'web survey'!E117&amp;")",VLOOKUP(VALUE('web survey'!E117),ref!$E$13:$F$17,2,0)&amp;" ("&amp;'web survey'!E117&amp;")")</f>
        <v>#N/A</v>
      </c>
      <c r="G119" s="27">
        <f>'web survey'!T117</f>
        <v>0</v>
      </c>
      <c r="H119" s="18" t="e">
        <f>IF(B119="FU-ACInstall",VLOOKUP(VALUE('web survey'!F117),ref!$B$15:$C$17,2,0)&amp;" ("&amp;'web survey'!F117&amp;")",VLOOKUP(VALUE('web survey'!F117),ref!$E$20:$F$21,2,0)&amp;" ("&amp;'web survey'!F117&amp;")")</f>
        <v>#N/A</v>
      </c>
      <c r="I119" s="27">
        <f>'web survey'!U117</f>
        <v>0</v>
      </c>
      <c r="J119" s="18" t="e">
        <f>IF(B119="FU-ACInstall","-",VLOOKUP(VALUE('web survey'!G117),ref!$E$24:$F$26,2,0)&amp;" ("&amp;'web survey'!G117&amp;")")</f>
        <v>#N/A</v>
      </c>
      <c r="K119" s="6" t="str">
        <f>YEAR('web survey'!Z117)&amp;"-"&amp;IF(MONTH('web survey'!Z117)&lt;10,"0"&amp;MONTH('web survey'!Z117),MONTH('web survey'!Z117))&amp;"-"&amp;IF(DAY('web survey'!Z117)&lt;10,"0"&amp;DAY('web survey'!Z117),DAY('web survey'!Z117))&amp;" "&amp;IF(HOUR('web survey'!Z117)&lt;10,"0"&amp;HOUR('web survey'!Z117),HOUR('web survey'!Z117))&amp;":"&amp;IF(MINUTE('web survey'!Z117)&lt;10,"0"&amp;MINUTE('web survey'!Z117),MINUTE('web survey'!Z117))&amp;(":00'")</f>
        <v>1900-01-00 00:00:00'</v>
      </c>
      <c r="L119" s="33"/>
      <c r="N119" s="35">
        <v>116</v>
      </c>
      <c r="O119" s="35">
        <v>0</v>
      </c>
      <c r="P119" s="37">
        <v>0</v>
      </c>
      <c r="Q119" s="39" t="e">
        <v>#N/A</v>
      </c>
      <c r="R119" s="41">
        <v>0</v>
      </c>
      <c r="S119" s="39" t="e">
        <v>#N/A</v>
      </c>
      <c r="T119" s="41">
        <v>0</v>
      </c>
      <c r="U119" s="39" t="e">
        <v>#N/A</v>
      </c>
      <c r="V119" s="41">
        <v>0</v>
      </c>
      <c r="W119" s="39" t="e">
        <v>#N/A</v>
      </c>
      <c r="X119" s="35">
        <v>0</v>
      </c>
    </row>
    <row r="120" spans="1:24" ht="28.2" customHeight="1" x14ac:dyDescent="0.3">
      <c r="A120" s="6">
        <f>IF(B120="","",ROW()-COUNTBLANK($B$4:B120)-3)</f>
        <v>117</v>
      </c>
      <c r="B120" s="6">
        <f>'web survey'!C118</f>
        <v>0</v>
      </c>
      <c r="C120" s="29">
        <f>'web survey'!AA118</f>
        <v>0</v>
      </c>
      <c r="D120" s="18" t="e">
        <f>IF(B120="FU-ACInstall",VLOOKUP(VALUE('web survey'!D118),ref!$B$6:$C$7,2,0)&amp;" ("&amp;'web survey'!D118&amp;")",VLOOKUP(VALUE('web survey'!D118),ref!$E$6:$F$10,2,0)&amp;" ("&amp;'web survey'!D118&amp;")")</f>
        <v>#N/A</v>
      </c>
      <c r="E120" s="27">
        <f>'web survey'!S118</f>
        <v>0</v>
      </c>
      <c r="F120" s="18" t="e">
        <f>IF(B120="FU-ACInstall",VLOOKUP(VALUE('web survey'!E118),ref!$B$10:$C$12,2,0)&amp;" ("&amp;'web survey'!E118&amp;")",VLOOKUP(VALUE('web survey'!E118),ref!$E$13:$F$17,2,0)&amp;" ("&amp;'web survey'!E118&amp;")")</f>
        <v>#N/A</v>
      </c>
      <c r="G120" s="27">
        <f>'web survey'!T118</f>
        <v>0</v>
      </c>
      <c r="H120" s="18" t="e">
        <f>IF(B120="FU-ACInstall",VLOOKUP(VALUE('web survey'!F118),ref!$B$15:$C$17,2,0)&amp;" ("&amp;'web survey'!F118&amp;")",VLOOKUP(VALUE('web survey'!F118),ref!$E$20:$F$21,2,0)&amp;" ("&amp;'web survey'!F118&amp;")")</f>
        <v>#N/A</v>
      </c>
      <c r="I120" s="27">
        <f>'web survey'!U118</f>
        <v>0</v>
      </c>
      <c r="J120" s="18" t="e">
        <f>IF(B120="FU-ACInstall","-",VLOOKUP(VALUE('web survey'!G118),ref!$E$24:$F$26,2,0)&amp;" ("&amp;'web survey'!G118&amp;")")</f>
        <v>#N/A</v>
      </c>
      <c r="K120" s="6" t="str">
        <f>YEAR('web survey'!Z118)&amp;"-"&amp;IF(MONTH('web survey'!Z118)&lt;10,"0"&amp;MONTH('web survey'!Z118),MONTH('web survey'!Z118))&amp;"-"&amp;IF(DAY('web survey'!Z118)&lt;10,"0"&amp;DAY('web survey'!Z118),DAY('web survey'!Z118))&amp;" "&amp;IF(HOUR('web survey'!Z118)&lt;10,"0"&amp;HOUR('web survey'!Z118),HOUR('web survey'!Z118))&amp;":"&amp;IF(MINUTE('web survey'!Z118)&lt;10,"0"&amp;MINUTE('web survey'!Z118),MINUTE('web survey'!Z118))&amp;(":00'")</f>
        <v>1900-01-00 00:00:00'</v>
      </c>
      <c r="L120" s="33"/>
      <c r="N120" s="35">
        <v>117</v>
      </c>
      <c r="O120" s="35">
        <v>0</v>
      </c>
      <c r="P120" s="37">
        <v>0</v>
      </c>
      <c r="Q120" s="39" t="e">
        <v>#N/A</v>
      </c>
      <c r="R120" s="41">
        <v>0</v>
      </c>
      <c r="S120" s="39" t="e">
        <v>#N/A</v>
      </c>
      <c r="T120" s="41">
        <v>0</v>
      </c>
      <c r="U120" s="39" t="e">
        <v>#N/A</v>
      </c>
      <c r="V120" s="41">
        <v>0</v>
      </c>
      <c r="W120" s="39" t="e">
        <v>#N/A</v>
      </c>
      <c r="X120" s="35">
        <v>0</v>
      </c>
    </row>
    <row r="121" spans="1:24" ht="28.2" customHeight="1" x14ac:dyDescent="0.3">
      <c r="A121" s="6">
        <f>IF(B121="","",ROW()-COUNTBLANK($B$4:B121)-3)</f>
        <v>118</v>
      </c>
      <c r="B121" s="6">
        <f>'web survey'!C119</f>
        <v>0</v>
      </c>
      <c r="C121" s="29">
        <f>'web survey'!AA119</f>
        <v>0</v>
      </c>
      <c r="D121" s="18" t="e">
        <f>IF(B121="FU-ACInstall",VLOOKUP(VALUE('web survey'!D119),ref!$B$6:$C$7,2,0)&amp;" ("&amp;'web survey'!D119&amp;")",VLOOKUP(VALUE('web survey'!D119),ref!$E$6:$F$10,2,0)&amp;" ("&amp;'web survey'!D119&amp;")")</f>
        <v>#N/A</v>
      </c>
      <c r="E121" s="27">
        <f>'web survey'!S119</f>
        <v>0</v>
      </c>
      <c r="F121" s="18" t="e">
        <f>IF(B121="FU-ACInstall",VLOOKUP(VALUE('web survey'!E119),ref!$B$10:$C$12,2,0)&amp;" ("&amp;'web survey'!E119&amp;")",VLOOKUP(VALUE('web survey'!E119),ref!$E$13:$F$17,2,0)&amp;" ("&amp;'web survey'!E119&amp;")")</f>
        <v>#N/A</v>
      </c>
      <c r="G121" s="27">
        <f>'web survey'!T119</f>
        <v>0</v>
      </c>
      <c r="H121" s="18" t="e">
        <f>IF(B121="FU-ACInstall",VLOOKUP(VALUE('web survey'!F119),ref!$B$15:$C$17,2,0)&amp;" ("&amp;'web survey'!F119&amp;")",VLOOKUP(VALUE('web survey'!F119),ref!$E$20:$F$21,2,0)&amp;" ("&amp;'web survey'!F119&amp;")")</f>
        <v>#N/A</v>
      </c>
      <c r="I121" s="27">
        <f>'web survey'!U119</f>
        <v>0</v>
      </c>
      <c r="J121" s="18" t="e">
        <f>IF(B121="FU-ACInstall","-",VLOOKUP(VALUE('web survey'!G119),ref!$E$24:$F$26,2,0)&amp;" ("&amp;'web survey'!G119&amp;")")</f>
        <v>#N/A</v>
      </c>
      <c r="K121" s="6" t="str">
        <f>YEAR('web survey'!Z119)&amp;"-"&amp;IF(MONTH('web survey'!Z119)&lt;10,"0"&amp;MONTH('web survey'!Z119),MONTH('web survey'!Z119))&amp;"-"&amp;IF(DAY('web survey'!Z119)&lt;10,"0"&amp;DAY('web survey'!Z119),DAY('web survey'!Z119))&amp;" "&amp;IF(HOUR('web survey'!Z119)&lt;10,"0"&amp;HOUR('web survey'!Z119),HOUR('web survey'!Z119))&amp;":"&amp;IF(MINUTE('web survey'!Z119)&lt;10,"0"&amp;MINUTE('web survey'!Z119),MINUTE('web survey'!Z119))&amp;(":00'")</f>
        <v>1900-01-00 00:00:00'</v>
      </c>
      <c r="L121" s="33"/>
      <c r="N121" s="35">
        <v>118</v>
      </c>
      <c r="O121" s="35">
        <v>0</v>
      </c>
      <c r="P121" s="37">
        <v>0</v>
      </c>
      <c r="Q121" s="39" t="e">
        <v>#N/A</v>
      </c>
      <c r="R121" s="41">
        <v>0</v>
      </c>
      <c r="S121" s="39" t="e">
        <v>#N/A</v>
      </c>
      <c r="T121" s="41">
        <v>0</v>
      </c>
      <c r="U121" s="39" t="e">
        <v>#N/A</v>
      </c>
      <c r="V121" s="41">
        <v>0</v>
      </c>
      <c r="W121" s="39" t="e">
        <v>#N/A</v>
      </c>
      <c r="X121" s="35">
        <v>0</v>
      </c>
    </row>
    <row r="122" spans="1:24" ht="28.2" customHeight="1" x14ac:dyDescent="0.3">
      <c r="A122" s="6">
        <f>IF(B122="","",ROW()-COUNTBLANK($B$4:B122)-3)</f>
        <v>119</v>
      </c>
      <c r="B122" s="6">
        <f>'web survey'!C120</f>
        <v>0</v>
      </c>
      <c r="C122" s="29">
        <f>'web survey'!AA120</f>
        <v>0</v>
      </c>
      <c r="D122" s="18" t="e">
        <f>IF(B122="FU-ACInstall",VLOOKUP(VALUE('web survey'!D120),ref!$B$6:$C$7,2,0)&amp;" ("&amp;'web survey'!D120&amp;")",VLOOKUP(VALUE('web survey'!D120),ref!$E$6:$F$10,2,0)&amp;" ("&amp;'web survey'!D120&amp;")")</f>
        <v>#N/A</v>
      </c>
      <c r="E122" s="27">
        <f>'web survey'!S120</f>
        <v>0</v>
      </c>
      <c r="F122" s="18" t="e">
        <f>IF(B122="FU-ACInstall",VLOOKUP(VALUE('web survey'!E120),ref!$B$10:$C$12,2,0)&amp;" ("&amp;'web survey'!E120&amp;")",VLOOKUP(VALUE('web survey'!E120),ref!$E$13:$F$17,2,0)&amp;" ("&amp;'web survey'!E120&amp;")")</f>
        <v>#N/A</v>
      </c>
      <c r="G122" s="27">
        <f>'web survey'!T120</f>
        <v>0</v>
      </c>
      <c r="H122" s="18" t="e">
        <f>IF(B122="FU-ACInstall",VLOOKUP(VALUE('web survey'!F120),ref!$B$15:$C$17,2,0)&amp;" ("&amp;'web survey'!F120&amp;")",VLOOKUP(VALUE('web survey'!F120),ref!$E$20:$F$21,2,0)&amp;" ("&amp;'web survey'!F120&amp;")")</f>
        <v>#N/A</v>
      </c>
      <c r="I122" s="27">
        <f>'web survey'!U120</f>
        <v>0</v>
      </c>
      <c r="J122" s="18" t="e">
        <f>IF(B122="FU-ACInstall","-",VLOOKUP(VALUE('web survey'!G120),ref!$E$24:$F$26,2,0)&amp;" ("&amp;'web survey'!G120&amp;")")</f>
        <v>#N/A</v>
      </c>
      <c r="K122" s="6" t="str">
        <f>YEAR('web survey'!Z120)&amp;"-"&amp;IF(MONTH('web survey'!Z120)&lt;10,"0"&amp;MONTH('web survey'!Z120),MONTH('web survey'!Z120))&amp;"-"&amp;IF(DAY('web survey'!Z120)&lt;10,"0"&amp;DAY('web survey'!Z120),DAY('web survey'!Z120))&amp;" "&amp;IF(HOUR('web survey'!Z120)&lt;10,"0"&amp;HOUR('web survey'!Z120),HOUR('web survey'!Z120))&amp;":"&amp;IF(MINUTE('web survey'!Z120)&lt;10,"0"&amp;MINUTE('web survey'!Z120),MINUTE('web survey'!Z120))&amp;(":00'")</f>
        <v>1900-01-00 00:00:00'</v>
      </c>
      <c r="L122" s="33"/>
      <c r="N122" s="35">
        <v>119</v>
      </c>
      <c r="O122" s="35">
        <v>0</v>
      </c>
      <c r="P122" s="37">
        <v>0</v>
      </c>
      <c r="Q122" s="39" t="e">
        <v>#N/A</v>
      </c>
      <c r="R122" s="41">
        <v>0</v>
      </c>
      <c r="S122" s="39" t="e">
        <v>#N/A</v>
      </c>
      <c r="T122" s="41">
        <v>0</v>
      </c>
      <c r="U122" s="39" t="e">
        <v>#N/A</v>
      </c>
      <c r="V122" s="41">
        <v>0</v>
      </c>
      <c r="W122" s="39" t="e">
        <v>#N/A</v>
      </c>
      <c r="X122" s="35">
        <v>0</v>
      </c>
    </row>
    <row r="123" spans="1:24" ht="28.2" customHeight="1" x14ac:dyDescent="0.3">
      <c r="A123" s="6">
        <f>IF(B123="","",ROW()-COUNTBLANK($B$4:B123)-3)</f>
        <v>120</v>
      </c>
      <c r="B123" s="6">
        <f>'web survey'!C121</f>
        <v>0</v>
      </c>
      <c r="C123" s="29">
        <f>'web survey'!AA121</f>
        <v>0</v>
      </c>
      <c r="D123" s="18" t="e">
        <f>IF(B123="FU-ACInstall",VLOOKUP(VALUE('web survey'!D121),ref!$B$6:$C$7,2,0)&amp;" ("&amp;'web survey'!D121&amp;")",VLOOKUP(VALUE('web survey'!D121),ref!$E$6:$F$10,2,0)&amp;" ("&amp;'web survey'!D121&amp;")")</f>
        <v>#N/A</v>
      </c>
      <c r="E123" s="27">
        <f>'web survey'!S121</f>
        <v>0</v>
      </c>
      <c r="F123" s="18" t="e">
        <f>IF(B123="FU-ACInstall",VLOOKUP(VALUE('web survey'!E121),ref!$B$10:$C$12,2,0)&amp;" ("&amp;'web survey'!E121&amp;")",VLOOKUP(VALUE('web survey'!E121),ref!$E$13:$F$17,2,0)&amp;" ("&amp;'web survey'!E121&amp;")")</f>
        <v>#N/A</v>
      </c>
      <c r="G123" s="27">
        <f>'web survey'!T121</f>
        <v>0</v>
      </c>
      <c r="H123" s="18" t="e">
        <f>IF(B123="FU-ACInstall",VLOOKUP(VALUE('web survey'!F121),ref!$B$15:$C$17,2,0)&amp;" ("&amp;'web survey'!F121&amp;")",VLOOKUP(VALUE('web survey'!F121),ref!$E$20:$F$21,2,0)&amp;" ("&amp;'web survey'!F121&amp;")")</f>
        <v>#N/A</v>
      </c>
      <c r="I123" s="27">
        <f>'web survey'!U121</f>
        <v>0</v>
      </c>
      <c r="J123" s="18" t="e">
        <f>IF(B123="FU-ACInstall","-",VLOOKUP(VALUE('web survey'!G121),ref!$E$24:$F$26,2,0)&amp;" ("&amp;'web survey'!G121&amp;")")</f>
        <v>#N/A</v>
      </c>
      <c r="K123" s="6" t="str">
        <f>YEAR('web survey'!Z121)&amp;"-"&amp;IF(MONTH('web survey'!Z121)&lt;10,"0"&amp;MONTH('web survey'!Z121),MONTH('web survey'!Z121))&amp;"-"&amp;IF(DAY('web survey'!Z121)&lt;10,"0"&amp;DAY('web survey'!Z121),DAY('web survey'!Z121))&amp;" "&amp;IF(HOUR('web survey'!Z121)&lt;10,"0"&amp;HOUR('web survey'!Z121),HOUR('web survey'!Z121))&amp;":"&amp;IF(MINUTE('web survey'!Z121)&lt;10,"0"&amp;MINUTE('web survey'!Z121),MINUTE('web survey'!Z121))&amp;(":00'")</f>
        <v>1900-01-00 00:00:00'</v>
      </c>
      <c r="L123" s="33"/>
      <c r="N123" s="35">
        <v>120</v>
      </c>
      <c r="O123" s="35">
        <v>0</v>
      </c>
      <c r="P123" s="37">
        <v>0</v>
      </c>
      <c r="Q123" s="39" t="e">
        <v>#N/A</v>
      </c>
      <c r="R123" s="41">
        <v>0</v>
      </c>
      <c r="S123" s="39" t="e">
        <v>#N/A</v>
      </c>
      <c r="T123" s="41">
        <v>0</v>
      </c>
      <c r="U123" s="39" t="e">
        <v>#N/A</v>
      </c>
      <c r="V123" s="41">
        <v>0</v>
      </c>
      <c r="W123" s="39" t="e">
        <v>#N/A</v>
      </c>
      <c r="X123" s="35">
        <v>0</v>
      </c>
    </row>
    <row r="124" spans="1:24" ht="28.2" customHeight="1" x14ac:dyDescent="0.3">
      <c r="A124" s="6">
        <f>IF(B124="","",ROW()-COUNTBLANK($B$4:B124)-3)</f>
        <v>121</v>
      </c>
      <c r="B124" s="6">
        <f>'web survey'!C122</f>
        <v>0</v>
      </c>
      <c r="C124" s="29">
        <f>'web survey'!AA122</f>
        <v>0</v>
      </c>
      <c r="D124" s="18" t="e">
        <f>IF(B124="FU-ACInstall",VLOOKUP(VALUE('web survey'!D122),ref!$B$6:$C$7,2,0)&amp;" ("&amp;'web survey'!D122&amp;")",VLOOKUP(VALUE('web survey'!D122),ref!$E$6:$F$10,2,0)&amp;" ("&amp;'web survey'!D122&amp;")")</f>
        <v>#N/A</v>
      </c>
      <c r="E124" s="27">
        <f>'web survey'!S122</f>
        <v>0</v>
      </c>
      <c r="F124" s="18" t="e">
        <f>IF(B124="FU-ACInstall",VLOOKUP(VALUE('web survey'!E122),ref!$B$10:$C$12,2,0)&amp;" ("&amp;'web survey'!E122&amp;")",VLOOKUP(VALUE('web survey'!E122),ref!$E$13:$F$17,2,0)&amp;" ("&amp;'web survey'!E122&amp;")")</f>
        <v>#N/A</v>
      </c>
      <c r="G124" s="27">
        <f>'web survey'!T122</f>
        <v>0</v>
      </c>
      <c r="H124" s="18" t="e">
        <f>IF(B124="FU-ACInstall",VLOOKUP(VALUE('web survey'!F122),ref!$B$15:$C$17,2,0)&amp;" ("&amp;'web survey'!F122&amp;")",VLOOKUP(VALUE('web survey'!F122),ref!$E$20:$F$21,2,0)&amp;" ("&amp;'web survey'!F122&amp;")")</f>
        <v>#N/A</v>
      </c>
      <c r="I124" s="27">
        <f>'web survey'!U122</f>
        <v>0</v>
      </c>
      <c r="J124" s="18" t="e">
        <f>IF(B124="FU-ACInstall","-",VLOOKUP(VALUE('web survey'!G122),ref!$E$24:$F$26,2,0)&amp;" ("&amp;'web survey'!G122&amp;")")</f>
        <v>#N/A</v>
      </c>
      <c r="K124" s="6" t="str">
        <f>YEAR('web survey'!Z122)&amp;"-"&amp;IF(MONTH('web survey'!Z122)&lt;10,"0"&amp;MONTH('web survey'!Z122),MONTH('web survey'!Z122))&amp;"-"&amp;IF(DAY('web survey'!Z122)&lt;10,"0"&amp;DAY('web survey'!Z122),DAY('web survey'!Z122))&amp;" "&amp;IF(HOUR('web survey'!Z122)&lt;10,"0"&amp;HOUR('web survey'!Z122),HOUR('web survey'!Z122))&amp;":"&amp;IF(MINUTE('web survey'!Z122)&lt;10,"0"&amp;MINUTE('web survey'!Z122),MINUTE('web survey'!Z122))&amp;(":00'")</f>
        <v>1900-01-00 00:00:00'</v>
      </c>
      <c r="L124" s="33"/>
      <c r="N124" s="35">
        <v>121</v>
      </c>
      <c r="O124" s="35">
        <v>0</v>
      </c>
      <c r="P124" s="37">
        <v>0</v>
      </c>
      <c r="Q124" s="39" t="e">
        <v>#N/A</v>
      </c>
      <c r="R124" s="41">
        <v>0</v>
      </c>
      <c r="S124" s="39" t="e">
        <v>#N/A</v>
      </c>
      <c r="T124" s="41">
        <v>0</v>
      </c>
      <c r="U124" s="39" t="e">
        <v>#N/A</v>
      </c>
      <c r="V124" s="41">
        <v>0</v>
      </c>
      <c r="W124" s="39" t="e">
        <v>#N/A</v>
      </c>
      <c r="X124" s="35">
        <v>0</v>
      </c>
    </row>
    <row r="125" spans="1:24" ht="28.2" customHeight="1" x14ac:dyDescent="0.3">
      <c r="A125" s="6">
        <f>IF(B125="","",ROW()-COUNTBLANK($B$4:B125)-3)</f>
        <v>122</v>
      </c>
      <c r="B125" s="6">
        <f>'web survey'!C123</f>
        <v>0</v>
      </c>
      <c r="C125" s="29">
        <f>'web survey'!AA123</f>
        <v>0</v>
      </c>
      <c r="D125" s="18" t="e">
        <f>IF(B125="FU-ACInstall",VLOOKUP(VALUE('web survey'!D123),ref!$B$6:$C$7,2,0)&amp;" ("&amp;'web survey'!D123&amp;")",VLOOKUP(VALUE('web survey'!D123),ref!$E$6:$F$10,2,0)&amp;" ("&amp;'web survey'!D123&amp;")")</f>
        <v>#N/A</v>
      </c>
      <c r="E125" s="27">
        <f>'web survey'!S123</f>
        <v>0</v>
      </c>
      <c r="F125" s="18" t="e">
        <f>IF(B125="FU-ACInstall",VLOOKUP(VALUE('web survey'!E123),ref!$B$10:$C$12,2,0)&amp;" ("&amp;'web survey'!E123&amp;")",VLOOKUP(VALUE('web survey'!E123),ref!$E$13:$F$17,2,0)&amp;" ("&amp;'web survey'!E123&amp;")")</f>
        <v>#N/A</v>
      </c>
      <c r="G125" s="27">
        <f>'web survey'!T123</f>
        <v>0</v>
      </c>
      <c r="H125" s="18" t="e">
        <f>IF(B125="FU-ACInstall",VLOOKUP(VALUE('web survey'!F123),ref!$B$15:$C$17,2,0)&amp;" ("&amp;'web survey'!F123&amp;")",VLOOKUP(VALUE('web survey'!F123),ref!$E$20:$F$21,2,0)&amp;" ("&amp;'web survey'!F123&amp;")")</f>
        <v>#N/A</v>
      </c>
      <c r="I125" s="27">
        <f>'web survey'!U123</f>
        <v>0</v>
      </c>
      <c r="J125" s="18" t="e">
        <f>IF(B125="FU-ACInstall","-",VLOOKUP(VALUE('web survey'!G123),ref!$E$24:$F$26,2,0)&amp;" ("&amp;'web survey'!G123&amp;")")</f>
        <v>#N/A</v>
      </c>
      <c r="K125" s="6" t="str">
        <f>YEAR('web survey'!Z123)&amp;"-"&amp;IF(MONTH('web survey'!Z123)&lt;10,"0"&amp;MONTH('web survey'!Z123),MONTH('web survey'!Z123))&amp;"-"&amp;IF(DAY('web survey'!Z123)&lt;10,"0"&amp;DAY('web survey'!Z123),DAY('web survey'!Z123))&amp;" "&amp;IF(HOUR('web survey'!Z123)&lt;10,"0"&amp;HOUR('web survey'!Z123),HOUR('web survey'!Z123))&amp;":"&amp;IF(MINUTE('web survey'!Z123)&lt;10,"0"&amp;MINUTE('web survey'!Z123),MINUTE('web survey'!Z123))&amp;(":00'")</f>
        <v>1900-01-00 00:00:00'</v>
      </c>
      <c r="L125" s="33"/>
      <c r="N125" s="35">
        <v>122</v>
      </c>
      <c r="O125" s="35">
        <v>0</v>
      </c>
      <c r="P125" s="37">
        <v>0</v>
      </c>
      <c r="Q125" s="39" t="e">
        <v>#N/A</v>
      </c>
      <c r="R125" s="41">
        <v>0</v>
      </c>
      <c r="S125" s="39" t="e">
        <v>#N/A</v>
      </c>
      <c r="T125" s="41">
        <v>0</v>
      </c>
      <c r="U125" s="39" t="e">
        <v>#N/A</v>
      </c>
      <c r="V125" s="41">
        <v>0</v>
      </c>
      <c r="W125" s="39" t="e">
        <v>#N/A</v>
      </c>
      <c r="X125" s="35">
        <v>0</v>
      </c>
    </row>
    <row r="126" spans="1:24" ht="28.2" customHeight="1" x14ac:dyDescent="0.3">
      <c r="A126" s="6">
        <f>IF(B126="","",ROW()-COUNTBLANK($B$4:B126)-3)</f>
        <v>123</v>
      </c>
      <c r="B126" s="6">
        <f>'web survey'!C124</f>
        <v>0</v>
      </c>
      <c r="C126" s="29">
        <f>'web survey'!AA124</f>
        <v>0</v>
      </c>
      <c r="D126" s="18" t="e">
        <f>IF(B126="FU-ACInstall",VLOOKUP(VALUE('web survey'!D124),ref!$B$6:$C$7,2,0)&amp;" ("&amp;'web survey'!D124&amp;")",VLOOKUP(VALUE('web survey'!D124),ref!$E$6:$F$10,2,0)&amp;" ("&amp;'web survey'!D124&amp;")")</f>
        <v>#N/A</v>
      </c>
      <c r="E126" s="27">
        <f>'web survey'!S124</f>
        <v>0</v>
      </c>
      <c r="F126" s="18" t="e">
        <f>IF(B126="FU-ACInstall",VLOOKUP(VALUE('web survey'!E124),ref!$B$10:$C$12,2,0)&amp;" ("&amp;'web survey'!E124&amp;")",VLOOKUP(VALUE('web survey'!E124),ref!$E$13:$F$17,2,0)&amp;" ("&amp;'web survey'!E124&amp;")")</f>
        <v>#N/A</v>
      </c>
      <c r="G126" s="27">
        <f>'web survey'!T124</f>
        <v>0</v>
      </c>
      <c r="H126" s="18" t="e">
        <f>IF(B126="FU-ACInstall",VLOOKUP(VALUE('web survey'!F124),ref!$B$15:$C$17,2,0)&amp;" ("&amp;'web survey'!F124&amp;")",VLOOKUP(VALUE('web survey'!F124),ref!$E$20:$F$21,2,0)&amp;" ("&amp;'web survey'!F124&amp;")")</f>
        <v>#N/A</v>
      </c>
      <c r="I126" s="27">
        <f>'web survey'!U124</f>
        <v>0</v>
      </c>
      <c r="J126" s="18" t="e">
        <f>IF(B126="FU-ACInstall","-",VLOOKUP(VALUE('web survey'!G124),ref!$E$24:$F$26,2,0)&amp;" ("&amp;'web survey'!G124&amp;")")</f>
        <v>#N/A</v>
      </c>
      <c r="K126" s="6" t="str">
        <f>YEAR('web survey'!Z124)&amp;"-"&amp;IF(MONTH('web survey'!Z124)&lt;10,"0"&amp;MONTH('web survey'!Z124),MONTH('web survey'!Z124))&amp;"-"&amp;IF(DAY('web survey'!Z124)&lt;10,"0"&amp;DAY('web survey'!Z124),DAY('web survey'!Z124))&amp;" "&amp;IF(HOUR('web survey'!Z124)&lt;10,"0"&amp;HOUR('web survey'!Z124),HOUR('web survey'!Z124))&amp;":"&amp;IF(MINUTE('web survey'!Z124)&lt;10,"0"&amp;MINUTE('web survey'!Z124),MINUTE('web survey'!Z124))&amp;(":00'")</f>
        <v>1900-01-00 00:00:00'</v>
      </c>
      <c r="L126" s="33"/>
      <c r="N126" s="35">
        <v>123</v>
      </c>
      <c r="O126" s="35">
        <v>0</v>
      </c>
      <c r="P126" s="37">
        <v>0</v>
      </c>
      <c r="Q126" s="39" t="e">
        <v>#N/A</v>
      </c>
      <c r="R126" s="41">
        <v>0</v>
      </c>
      <c r="S126" s="39" t="e">
        <v>#N/A</v>
      </c>
      <c r="T126" s="41">
        <v>0</v>
      </c>
      <c r="U126" s="39" t="e">
        <v>#N/A</v>
      </c>
      <c r="V126" s="41">
        <v>0</v>
      </c>
      <c r="W126" s="39" t="e">
        <v>#N/A</v>
      </c>
      <c r="X126" s="35">
        <v>0</v>
      </c>
    </row>
    <row r="127" spans="1:24" ht="28.2" customHeight="1" x14ac:dyDescent="0.3">
      <c r="A127" s="6">
        <f>IF(B127="","",ROW()-COUNTBLANK($B$4:B127)-3)</f>
        <v>124</v>
      </c>
      <c r="B127" s="6">
        <f>'web survey'!C125</f>
        <v>0</v>
      </c>
      <c r="C127" s="29">
        <f>'web survey'!AA125</f>
        <v>0</v>
      </c>
      <c r="D127" s="18" t="e">
        <f>IF(B127="FU-ACInstall",VLOOKUP(VALUE('web survey'!D125),ref!$B$6:$C$7,2,0)&amp;" ("&amp;'web survey'!D125&amp;")",VLOOKUP(VALUE('web survey'!D125),ref!$E$6:$F$10,2,0)&amp;" ("&amp;'web survey'!D125&amp;")")</f>
        <v>#N/A</v>
      </c>
      <c r="E127" s="27">
        <f>'web survey'!S125</f>
        <v>0</v>
      </c>
      <c r="F127" s="18" t="e">
        <f>IF(B127="FU-ACInstall",VLOOKUP(VALUE('web survey'!E125),ref!$B$10:$C$12,2,0)&amp;" ("&amp;'web survey'!E125&amp;")",VLOOKUP(VALUE('web survey'!E125),ref!$E$13:$F$17,2,0)&amp;" ("&amp;'web survey'!E125&amp;")")</f>
        <v>#N/A</v>
      </c>
      <c r="G127" s="27">
        <f>'web survey'!T125</f>
        <v>0</v>
      </c>
      <c r="H127" s="18" t="e">
        <f>IF(B127="FU-ACInstall",VLOOKUP(VALUE('web survey'!F125),ref!$B$15:$C$17,2,0)&amp;" ("&amp;'web survey'!F125&amp;")",VLOOKUP(VALUE('web survey'!F125),ref!$E$20:$F$21,2,0)&amp;" ("&amp;'web survey'!F125&amp;")")</f>
        <v>#N/A</v>
      </c>
      <c r="I127" s="27">
        <f>'web survey'!U125</f>
        <v>0</v>
      </c>
      <c r="J127" s="18" t="e">
        <f>IF(B127="FU-ACInstall","-",VLOOKUP(VALUE('web survey'!G125),ref!$E$24:$F$26,2,0)&amp;" ("&amp;'web survey'!G125&amp;")")</f>
        <v>#N/A</v>
      </c>
      <c r="K127" s="6" t="str">
        <f>YEAR('web survey'!Z125)&amp;"-"&amp;IF(MONTH('web survey'!Z125)&lt;10,"0"&amp;MONTH('web survey'!Z125),MONTH('web survey'!Z125))&amp;"-"&amp;IF(DAY('web survey'!Z125)&lt;10,"0"&amp;DAY('web survey'!Z125),DAY('web survey'!Z125))&amp;" "&amp;IF(HOUR('web survey'!Z125)&lt;10,"0"&amp;HOUR('web survey'!Z125),HOUR('web survey'!Z125))&amp;":"&amp;IF(MINUTE('web survey'!Z125)&lt;10,"0"&amp;MINUTE('web survey'!Z125),MINUTE('web survey'!Z125))&amp;(":00'")</f>
        <v>1900-01-00 00:00:00'</v>
      </c>
      <c r="L127" s="33"/>
      <c r="N127" s="35">
        <v>124</v>
      </c>
      <c r="O127" s="35">
        <v>0</v>
      </c>
      <c r="P127" s="37">
        <v>0</v>
      </c>
      <c r="Q127" s="39" t="e">
        <v>#N/A</v>
      </c>
      <c r="R127" s="41">
        <v>0</v>
      </c>
      <c r="S127" s="39" t="e">
        <v>#N/A</v>
      </c>
      <c r="T127" s="41">
        <v>0</v>
      </c>
      <c r="U127" s="39" t="e">
        <v>#N/A</v>
      </c>
      <c r="V127" s="41">
        <v>0</v>
      </c>
      <c r="W127" s="39" t="e">
        <v>#N/A</v>
      </c>
      <c r="X127" s="35">
        <v>0</v>
      </c>
    </row>
    <row r="128" spans="1:24" ht="28.2" customHeight="1" x14ac:dyDescent="0.3">
      <c r="A128" s="6">
        <f>IF(B128="","",ROW()-COUNTBLANK($B$4:B128)-3)</f>
        <v>125</v>
      </c>
      <c r="B128" s="6">
        <f>'web survey'!C126</f>
        <v>0</v>
      </c>
      <c r="C128" s="29">
        <f>'web survey'!AA126</f>
        <v>0</v>
      </c>
      <c r="D128" s="18" t="e">
        <f>IF(B128="FU-ACInstall",VLOOKUP(VALUE('web survey'!D126),ref!$B$6:$C$7,2,0)&amp;" ("&amp;'web survey'!D126&amp;")",VLOOKUP(VALUE('web survey'!D126),ref!$E$6:$F$10,2,0)&amp;" ("&amp;'web survey'!D126&amp;")")</f>
        <v>#N/A</v>
      </c>
      <c r="E128" s="27">
        <f>'web survey'!S126</f>
        <v>0</v>
      </c>
      <c r="F128" s="18" t="e">
        <f>IF(B128="FU-ACInstall",VLOOKUP(VALUE('web survey'!E126),ref!$B$10:$C$12,2,0)&amp;" ("&amp;'web survey'!E126&amp;")",VLOOKUP(VALUE('web survey'!E126),ref!$E$13:$F$17,2,0)&amp;" ("&amp;'web survey'!E126&amp;")")</f>
        <v>#N/A</v>
      </c>
      <c r="G128" s="27">
        <f>'web survey'!T126</f>
        <v>0</v>
      </c>
      <c r="H128" s="18" t="e">
        <f>IF(B128="FU-ACInstall",VLOOKUP(VALUE('web survey'!F126),ref!$B$15:$C$17,2,0)&amp;" ("&amp;'web survey'!F126&amp;")",VLOOKUP(VALUE('web survey'!F126),ref!$E$20:$F$21,2,0)&amp;" ("&amp;'web survey'!F126&amp;")")</f>
        <v>#N/A</v>
      </c>
      <c r="I128" s="27">
        <f>'web survey'!U126</f>
        <v>0</v>
      </c>
      <c r="J128" s="18" t="e">
        <f>IF(B128="FU-ACInstall","-",VLOOKUP(VALUE('web survey'!G126),ref!$E$24:$F$26,2,0)&amp;" ("&amp;'web survey'!G126&amp;")")</f>
        <v>#N/A</v>
      </c>
      <c r="K128" s="6" t="str">
        <f>YEAR('web survey'!Z126)&amp;"-"&amp;IF(MONTH('web survey'!Z126)&lt;10,"0"&amp;MONTH('web survey'!Z126),MONTH('web survey'!Z126))&amp;"-"&amp;IF(DAY('web survey'!Z126)&lt;10,"0"&amp;DAY('web survey'!Z126),DAY('web survey'!Z126))&amp;" "&amp;IF(HOUR('web survey'!Z126)&lt;10,"0"&amp;HOUR('web survey'!Z126),HOUR('web survey'!Z126))&amp;":"&amp;IF(MINUTE('web survey'!Z126)&lt;10,"0"&amp;MINUTE('web survey'!Z126),MINUTE('web survey'!Z126))&amp;(":00'")</f>
        <v>1900-01-00 00:00:00'</v>
      </c>
      <c r="L128" s="33"/>
      <c r="N128" s="35">
        <v>125</v>
      </c>
      <c r="O128" s="35">
        <v>0</v>
      </c>
      <c r="P128" s="37">
        <v>0</v>
      </c>
      <c r="Q128" s="39" t="e">
        <v>#N/A</v>
      </c>
      <c r="R128" s="41">
        <v>0</v>
      </c>
      <c r="S128" s="39" t="e">
        <v>#N/A</v>
      </c>
      <c r="T128" s="41">
        <v>0</v>
      </c>
      <c r="U128" s="39" t="e">
        <v>#N/A</v>
      </c>
      <c r="V128" s="41">
        <v>0</v>
      </c>
      <c r="W128" s="39" t="e">
        <v>#N/A</v>
      </c>
      <c r="X128" s="35">
        <v>0</v>
      </c>
    </row>
    <row r="129" spans="1:24" ht="28.2" customHeight="1" x14ac:dyDescent="0.3">
      <c r="A129" s="6">
        <f>IF(B129="","",ROW()-COUNTBLANK($B$4:B129)-3)</f>
        <v>126</v>
      </c>
      <c r="B129" s="6">
        <f>'web survey'!C127</f>
        <v>0</v>
      </c>
      <c r="C129" s="29">
        <f>'web survey'!AA127</f>
        <v>0</v>
      </c>
      <c r="D129" s="18" t="e">
        <f>IF(B129="FU-ACInstall",VLOOKUP(VALUE('web survey'!D127),ref!$B$6:$C$7,2,0)&amp;" ("&amp;'web survey'!D127&amp;")",VLOOKUP(VALUE('web survey'!D127),ref!$E$6:$F$10,2,0)&amp;" ("&amp;'web survey'!D127&amp;")")</f>
        <v>#N/A</v>
      </c>
      <c r="E129" s="27">
        <f>'web survey'!S127</f>
        <v>0</v>
      </c>
      <c r="F129" s="18" t="e">
        <f>IF(B129="FU-ACInstall",VLOOKUP(VALUE('web survey'!E127),ref!$B$10:$C$12,2,0)&amp;" ("&amp;'web survey'!E127&amp;")",VLOOKUP(VALUE('web survey'!E127),ref!$E$13:$F$17,2,0)&amp;" ("&amp;'web survey'!E127&amp;")")</f>
        <v>#N/A</v>
      </c>
      <c r="G129" s="27">
        <f>'web survey'!T127</f>
        <v>0</v>
      </c>
      <c r="H129" s="18" t="e">
        <f>IF(B129="FU-ACInstall",VLOOKUP(VALUE('web survey'!F127),ref!$B$15:$C$17,2,0)&amp;" ("&amp;'web survey'!F127&amp;")",VLOOKUP(VALUE('web survey'!F127),ref!$E$20:$F$21,2,0)&amp;" ("&amp;'web survey'!F127&amp;")")</f>
        <v>#N/A</v>
      </c>
      <c r="I129" s="27">
        <f>'web survey'!U127</f>
        <v>0</v>
      </c>
      <c r="J129" s="18" t="e">
        <f>IF(B129="FU-ACInstall","-",VLOOKUP(VALUE('web survey'!G127),ref!$E$24:$F$26,2,0)&amp;" ("&amp;'web survey'!G127&amp;")")</f>
        <v>#N/A</v>
      </c>
      <c r="K129" s="6" t="str">
        <f>YEAR('web survey'!Z127)&amp;"-"&amp;IF(MONTH('web survey'!Z127)&lt;10,"0"&amp;MONTH('web survey'!Z127),MONTH('web survey'!Z127))&amp;"-"&amp;IF(DAY('web survey'!Z127)&lt;10,"0"&amp;DAY('web survey'!Z127),DAY('web survey'!Z127))&amp;" "&amp;IF(HOUR('web survey'!Z127)&lt;10,"0"&amp;HOUR('web survey'!Z127),HOUR('web survey'!Z127))&amp;":"&amp;IF(MINUTE('web survey'!Z127)&lt;10,"0"&amp;MINUTE('web survey'!Z127),MINUTE('web survey'!Z127))&amp;(":00'")</f>
        <v>1900-01-00 00:00:00'</v>
      </c>
      <c r="L129" s="33"/>
      <c r="N129" s="35">
        <v>126</v>
      </c>
      <c r="O129" s="35">
        <v>0</v>
      </c>
      <c r="P129" s="37">
        <v>0</v>
      </c>
      <c r="Q129" s="39" t="e">
        <v>#N/A</v>
      </c>
      <c r="R129" s="41">
        <v>0</v>
      </c>
      <c r="S129" s="39" t="e">
        <v>#N/A</v>
      </c>
      <c r="T129" s="41">
        <v>0</v>
      </c>
      <c r="U129" s="39" t="e">
        <v>#N/A</v>
      </c>
      <c r="V129" s="41">
        <v>0</v>
      </c>
      <c r="W129" s="39" t="e">
        <v>#N/A</v>
      </c>
      <c r="X129" s="35">
        <v>0</v>
      </c>
    </row>
    <row r="130" spans="1:24" ht="28.2" customHeight="1" x14ac:dyDescent="0.3">
      <c r="A130" s="6">
        <f>IF(B130="","",ROW()-COUNTBLANK($B$4:B130)-3)</f>
        <v>127</v>
      </c>
      <c r="B130" s="6">
        <f>'web survey'!C128</f>
        <v>0</v>
      </c>
      <c r="C130" s="29">
        <f>'web survey'!AA128</f>
        <v>0</v>
      </c>
      <c r="D130" s="18" t="e">
        <f>IF(B130="FU-ACInstall",VLOOKUP(VALUE('web survey'!D128),ref!$B$6:$C$7,2,0)&amp;" ("&amp;'web survey'!D128&amp;")",VLOOKUP(VALUE('web survey'!D128),ref!$E$6:$F$10,2,0)&amp;" ("&amp;'web survey'!D128&amp;")")</f>
        <v>#N/A</v>
      </c>
      <c r="E130" s="27">
        <f>'web survey'!S128</f>
        <v>0</v>
      </c>
      <c r="F130" s="18" t="e">
        <f>IF(B130="FU-ACInstall",VLOOKUP(VALUE('web survey'!E128),ref!$B$10:$C$12,2,0)&amp;" ("&amp;'web survey'!E128&amp;")",VLOOKUP(VALUE('web survey'!E128),ref!$E$13:$F$17,2,0)&amp;" ("&amp;'web survey'!E128&amp;")")</f>
        <v>#N/A</v>
      </c>
      <c r="G130" s="27">
        <f>'web survey'!T128</f>
        <v>0</v>
      </c>
      <c r="H130" s="18" t="e">
        <f>IF(B130="FU-ACInstall",VLOOKUP(VALUE('web survey'!F128),ref!$B$15:$C$17,2,0)&amp;" ("&amp;'web survey'!F128&amp;")",VLOOKUP(VALUE('web survey'!F128),ref!$E$20:$F$21,2,0)&amp;" ("&amp;'web survey'!F128&amp;")")</f>
        <v>#N/A</v>
      </c>
      <c r="I130" s="27">
        <f>'web survey'!U128</f>
        <v>0</v>
      </c>
      <c r="J130" s="18" t="e">
        <f>IF(B130="FU-ACInstall","-",VLOOKUP(VALUE('web survey'!G128),ref!$E$24:$F$26,2,0)&amp;" ("&amp;'web survey'!G128&amp;")")</f>
        <v>#N/A</v>
      </c>
      <c r="K130" s="6" t="str">
        <f>YEAR('web survey'!Z128)&amp;"-"&amp;IF(MONTH('web survey'!Z128)&lt;10,"0"&amp;MONTH('web survey'!Z128),MONTH('web survey'!Z128))&amp;"-"&amp;IF(DAY('web survey'!Z128)&lt;10,"0"&amp;DAY('web survey'!Z128),DAY('web survey'!Z128))&amp;" "&amp;IF(HOUR('web survey'!Z128)&lt;10,"0"&amp;HOUR('web survey'!Z128),HOUR('web survey'!Z128))&amp;":"&amp;IF(MINUTE('web survey'!Z128)&lt;10,"0"&amp;MINUTE('web survey'!Z128),MINUTE('web survey'!Z128))&amp;(":00'")</f>
        <v>1900-01-00 00:00:00'</v>
      </c>
      <c r="L130" s="33"/>
      <c r="N130" s="35">
        <v>127</v>
      </c>
      <c r="O130" s="35">
        <v>0</v>
      </c>
      <c r="P130" s="37">
        <v>0</v>
      </c>
      <c r="Q130" s="39" t="e">
        <v>#N/A</v>
      </c>
      <c r="R130" s="41">
        <v>0</v>
      </c>
      <c r="S130" s="39" t="e">
        <v>#N/A</v>
      </c>
      <c r="T130" s="41">
        <v>0</v>
      </c>
      <c r="U130" s="39" t="e">
        <v>#N/A</v>
      </c>
      <c r="V130" s="41">
        <v>0</v>
      </c>
      <c r="W130" s="39" t="e">
        <v>#N/A</v>
      </c>
      <c r="X130" s="35">
        <v>0</v>
      </c>
    </row>
    <row r="131" spans="1:24" ht="28.2" customHeight="1" x14ac:dyDescent="0.3">
      <c r="A131" s="6">
        <f>IF(B131="","",ROW()-COUNTBLANK($B$4:B131)-3)</f>
        <v>128</v>
      </c>
      <c r="B131" s="6">
        <f>'web survey'!C129</f>
        <v>0</v>
      </c>
      <c r="C131" s="29">
        <f>'web survey'!AA129</f>
        <v>0</v>
      </c>
      <c r="D131" s="18" t="e">
        <f>IF(B131="FU-ACInstall",VLOOKUP(VALUE('web survey'!D129),ref!$B$6:$C$7,2,0)&amp;" ("&amp;'web survey'!D129&amp;")",VLOOKUP(VALUE('web survey'!D129),ref!$E$6:$F$10,2,0)&amp;" ("&amp;'web survey'!D129&amp;")")</f>
        <v>#N/A</v>
      </c>
      <c r="E131" s="27">
        <f>'web survey'!S129</f>
        <v>0</v>
      </c>
      <c r="F131" s="18" t="e">
        <f>IF(B131="FU-ACInstall",VLOOKUP(VALUE('web survey'!E129),ref!$B$10:$C$12,2,0)&amp;" ("&amp;'web survey'!E129&amp;")",VLOOKUP(VALUE('web survey'!E129),ref!$E$13:$F$17,2,0)&amp;" ("&amp;'web survey'!E129&amp;")")</f>
        <v>#N/A</v>
      </c>
      <c r="G131" s="27">
        <f>'web survey'!T129</f>
        <v>0</v>
      </c>
      <c r="H131" s="18" t="e">
        <f>IF(B131="FU-ACInstall",VLOOKUP(VALUE('web survey'!F129),ref!$B$15:$C$17,2,0)&amp;" ("&amp;'web survey'!F129&amp;")",VLOOKUP(VALUE('web survey'!F129),ref!$E$20:$F$21,2,0)&amp;" ("&amp;'web survey'!F129&amp;")")</f>
        <v>#N/A</v>
      </c>
      <c r="I131" s="27">
        <f>'web survey'!U129</f>
        <v>0</v>
      </c>
      <c r="J131" s="18" t="e">
        <f>IF(B131="FU-ACInstall","-",VLOOKUP(VALUE('web survey'!G129),ref!$E$24:$F$26,2,0)&amp;" ("&amp;'web survey'!G129&amp;")")</f>
        <v>#N/A</v>
      </c>
      <c r="K131" s="6" t="str">
        <f>YEAR('web survey'!Z129)&amp;"-"&amp;IF(MONTH('web survey'!Z129)&lt;10,"0"&amp;MONTH('web survey'!Z129),MONTH('web survey'!Z129))&amp;"-"&amp;IF(DAY('web survey'!Z129)&lt;10,"0"&amp;DAY('web survey'!Z129),DAY('web survey'!Z129))&amp;" "&amp;IF(HOUR('web survey'!Z129)&lt;10,"0"&amp;HOUR('web survey'!Z129),HOUR('web survey'!Z129))&amp;":"&amp;IF(MINUTE('web survey'!Z129)&lt;10,"0"&amp;MINUTE('web survey'!Z129),MINUTE('web survey'!Z129))&amp;(":00'")</f>
        <v>1900-01-00 00:00:00'</v>
      </c>
      <c r="L131" s="33"/>
      <c r="N131" s="35">
        <v>128</v>
      </c>
      <c r="O131" s="35">
        <v>0</v>
      </c>
      <c r="P131" s="37">
        <v>0</v>
      </c>
      <c r="Q131" s="39" t="e">
        <v>#N/A</v>
      </c>
      <c r="R131" s="41">
        <v>0</v>
      </c>
      <c r="S131" s="39" t="e">
        <v>#N/A</v>
      </c>
      <c r="T131" s="41">
        <v>0</v>
      </c>
      <c r="U131" s="39" t="e">
        <v>#N/A</v>
      </c>
      <c r="V131" s="41">
        <v>0</v>
      </c>
      <c r="W131" s="39" t="e">
        <v>#N/A</v>
      </c>
      <c r="X131" s="35">
        <v>0</v>
      </c>
    </row>
    <row r="132" spans="1:24" ht="28.2" customHeight="1" x14ac:dyDescent="0.3">
      <c r="A132" s="6">
        <f>IF(B132="","",ROW()-COUNTBLANK($B$4:B132)-3)</f>
        <v>129</v>
      </c>
      <c r="B132" s="6">
        <f>'web survey'!C130</f>
        <v>0</v>
      </c>
      <c r="C132" s="29">
        <f>'web survey'!AA130</f>
        <v>0</v>
      </c>
      <c r="D132" s="18" t="e">
        <f>IF(B132="FU-ACInstall",VLOOKUP(VALUE('web survey'!D130),ref!$B$6:$C$7,2,0)&amp;" ("&amp;'web survey'!D130&amp;")",VLOOKUP(VALUE('web survey'!D130),ref!$E$6:$F$10,2,0)&amp;" ("&amp;'web survey'!D130&amp;")")</f>
        <v>#N/A</v>
      </c>
      <c r="E132" s="27">
        <f>'web survey'!S130</f>
        <v>0</v>
      </c>
      <c r="F132" s="18" t="e">
        <f>IF(B132="FU-ACInstall",VLOOKUP(VALUE('web survey'!E130),ref!$B$10:$C$12,2,0)&amp;" ("&amp;'web survey'!E130&amp;")",VLOOKUP(VALUE('web survey'!E130),ref!$E$13:$F$17,2,0)&amp;" ("&amp;'web survey'!E130&amp;")")</f>
        <v>#N/A</v>
      </c>
      <c r="G132" s="27">
        <f>'web survey'!T130</f>
        <v>0</v>
      </c>
      <c r="H132" s="18" t="e">
        <f>IF(B132="FU-ACInstall",VLOOKUP(VALUE('web survey'!F130),ref!$B$15:$C$17,2,0)&amp;" ("&amp;'web survey'!F130&amp;")",VLOOKUP(VALUE('web survey'!F130),ref!$E$20:$F$21,2,0)&amp;" ("&amp;'web survey'!F130&amp;")")</f>
        <v>#N/A</v>
      </c>
      <c r="I132" s="27">
        <f>'web survey'!U130</f>
        <v>0</v>
      </c>
      <c r="J132" s="18" t="e">
        <f>IF(B132="FU-ACInstall","-",VLOOKUP(VALUE('web survey'!G130),ref!$E$24:$F$26,2,0)&amp;" ("&amp;'web survey'!G130&amp;")")</f>
        <v>#N/A</v>
      </c>
      <c r="K132" s="6" t="str">
        <f>YEAR('web survey'!Z130)&amp;"-"&amp;IF(MONTH('web survey'!Z130)&lt;10,"0"&amp;MONTH('web survey'!Z130),MONTH('web survey'!Z130))&amp;"-"&amp;IF(DAY('web survey'!Z130)&lt;10,"0"&amp;DAY('web survey'!Z130),DAY('web survey'!Z130))&amp;" "&amp;IF(HOUR('web survey'!Z130)&lt;10,"0"&amp;HOUR('web survey'!Z130),HOUR('web survey'!Z130))&amp;":"&amp;IF(MINUTE('web survey'!Z130)&lt;10,"0"&amp;MINUTE('web survey'!Z130),MINUTE('web survey'!Z130))&amp;(":00'")</f>
        <v>1900-01-00 00:00:00'</v>
      </c>
      <c r="L132" s="33"/>
      <c r="N132" s="35">
        <v>129</v>
      </c>
      <c r="O132" s="35">
        <v>0</v>
      </c>
      <c r="P132" s="37">
        <v>0</v>
      </c>
      <c r="Q132" s="39" t="e">
        <v>#N/A</v>
      </c>
      <c r="R132" s="41">
        <v>0</v>
      </c>
      <c r="S132" s="39" t="e">
        <v>#N/A</v>
      </c>
      <c r="T132" s="41">
        <v>0</v>
      </c>
      <c r="U132" s="39" t="e">
        <v>#N/A</v>
      </c>
      <c r="V132" s="41">
        <v>0</v>
      </c>
      <c r="W132" s="39" t="e">
        <v>#N/A</v>
      </c>
      <c r="X132" s="35">
        <v>0</v>
      </c>
    </row>
    <row r="133" spans="1:24" ht="28.2" customHeight="1" x14ac:dyDescent="0.3">
      <c r="A133" s="6">
        <f>IF(B133="","",ROW()-COUNTBLANK($B$4:B133)-3)</f>
        <v>130</v>
      </c>
      <c r="B133" s="6">
        <f>'web survey'!C131</f>
        <v>0</v>
      </c>
      <c r="C133" s="29">
        <f>'web survey'!AA131</f>
        <v>0</v>
      </c>
      <c r="D133" s="18" t="e">
        <f>IF(B133="FU-ACInstall",VLOOKUP(VALUE('web survey'!D131),ref!$B$6:$C$7,2,0)&amp;" ("&amp;'web survey'!D131&amp;")",VLOOKUP(VALUE('web survey'!D131),ref!$E$6:$F$10,2,0)&amp;" ("&amp;'web survey'!D131&amp;")")</f>
        <v>#N/A</v>
      </c>
      <c r="E133" s="27">
        <f>'web survey'!S131</f>
        <v>0</v>
      </c>
      <c r="F133" s="18" t="e">
        <f>IF(B133="FU-ACInstall",VLOOKUP(VALUE('web survey'!E131),ref!$B$10:$C$12,2,0)&amp;" ("&amp;'web survey'!E131&amp;")",VLOOKUP(VALUE('web survey'!E131),ref!$E$13:$F$17,2,0)&amp;" ("&amp;'web survey'!E131&amp;")")</f>
        <v>#N/A</v>
      </c>
      <c r="G133" s="27">
        <f>'web survey'!T131</f>
        <v>0</v>
      </c>
      <c r="H133" s="18" t="e">
        <f>IF(B133="FU-ACInstall",VLOOKUP(VALUE('web survey'!F131),ref!$B$15:$C$17,2,0)&amp;" ("&amp;'web survey'!F131&amp;")",VLOOKUP(VALUE('web survey'!F131),ref!$E$20:$F$21,2,0)&amp;" ("&amp;'web survey'!F131&amp;")")</f>
        <v>#N/A</v>
      </c>
      <c r="I133" s="27">
        <f>'web survey'!U131</f>
        <v>0</v>
      </c>
      <c r="J133" s="18" t="e">
        <f>IF(B133="FU-ACInstall","-",VLOOKUP(VALUE('web survey'!G131),ref!$E$24:$F$26,2,0)&amp;" ("&amp;'web survey'!G131&amp;")")</f>
        <v>#N/A</v>
      </c>
      <c r="K133" s="6" t="str">
        <f>YEAR('web survey'!Z131)&amp;"-"&amp;IF(MONTH('web survey'!Z131)&lt;10,"0"&amp;MONTH('web survey'!Z131),MONTH('web survey'!Z131))&amp;"-"&amp;IF(DAY('web survey'!Z131)&lt;10,"0"&amp;DAY('web survey'!Z131),DAY('web survey'!Z131))&amp;" "&amp;IF(HOUR('web survey'!Z131)&lt;10,"0"&amp;HOUR('web survey'!Z131),HOUR('web survey'!Z131))&amp;":"&amp;IF(MINUTE('web survey'!Z131)&lt;10,"0"&amp;MINUTE('web survey'!Z131),MINUTE('web survey'!Z131))&amp;(":00'")</f>
        <v>1900-01-00 00:00:00'</v>
      </c>
      <c r="L133" s="33"/>
      <c r="N133" s="35">
        <v>130</v>
      </c>
      <c r="O133" s="35">
        <v>0</v>
      </c>
      <c r="P133" s="37">
        <v>0</v>
      </c>
      <c r="Q133" s="39" t="e">
        <v>#N/A</v>
      </c>
      <c r="R133" s="41">
        <v>0</v>
      </c>
      <c r="S133" s="39" t="e">
        <v>#N/A</v>
      </c>
      <c r="T133" s="41">
        <v>0</v>
      </c>
      <c r="U133" s="39" t="e">
        <v>#N/A</v>
      </c>
      <c r="V133" s="41">
        <v>0</v>
      </c>
      <c r="W133" s="39" t="e">
        <v>#N/A</v>
      </c>
      <c r="X133" s="35">
        <v>0</v>
      </c>
    </row>
    <row r="134" spans="1:24" ht="28.2" customHeight="1" x14ac:dyDescent="0.3">
      <c r="A134" s="6">
        <f>IF(B134="","",ROW()-COUNTBLANK($B$4:B134)-3)</f>
        <v>131</v>
      </c>
      <c r="B134" s="6">
        <f>'web survey'!C132</f>
        <v>0</v>
      </c>
      <c r="C134" s="29">
        <f>'web survey'!AA132</f>
        <v>0</v>
      </c>
      <c r="D134" s="18" t="e">
        <f>IF(B134="FU-ACInstall",VLOOKUP(VALUE('web survey'!D132),ref!$B$6:$C$7,2,0)&amp;" ("&amp;'web survey'!D132&amp;")",VLOOKUP(VALUE('web survey'!D132),ref!$E$6:$F$10,2,0)&amp;" ("&amp;'web survey'!D132&amp;")")</f>
        <v>#N/A</v>
      </c>
      <c r="E134" s="27">
        <f>'web survey'!S132</f>
        <v>0</v>
      </c>
      <c r="F134" s="18" t="e">
        <f>IF(B134="FU-ACInstall",VLOOKUP(VALUE('web survey'!E132),ref!$B$10:$C$12,2,0)&amp;" ("&amp;'web survey'!E132&amp;")",VLOOKUP(VALUE('web survey'!E132),ref!$E$13:$F$17,2,0)&amp;" ("&amp;'web survey'!E132&amp;")")</f>
        <v>#N/A</v>
      </c>
      <c r="G134" s="27">
        <f>'web survey'!T132</f>
        <v>0</v>
      </c>
      <c r="H134" s="18" t="e">
        <f>IF(B134="FU-ACInstall",VLOOKUP(VALUE('web survey'!F132),ref!$B$15:$C$17,2,0)&amp;" ("&amp;'web survey'!F132&amp;")",VLOOKUP(VALUE('web survey'!F132),ref!$E$20:$F$21,2,0)&amp;" ("&amp;'web survey'!F132&amp;")")</f>
        <v>#N/A</v>
      </c>
      <c r="I134" s="27">
        <f>'web survey'!U132</f>
        <v>0</v>
      </c>
      <c r="J134" s="18" t="e">
        <f>IF(B134="FU-ACInstall","-",VLOOKUP(VALUE('web survey'!G132),ref!$E$24:$F$26,2,0)&amp;" ("&amp;'web survey'!G132&amp;")")</f>
        <v>#N/A</v>
      </c>
      <c r="K134" s="6" t="str">
        <f>YEAR('web survey'!Z132)&amp;"-"&amp;IF(MONTH('web survey'!Z132)&lt;10,"0"&amp;MONTH('web survey'!Z132),MONTH('web survey'!Z132))&amp;"-"&amp;IF(DAY('web survey'!Z132)&lt;10,"0"&amp;DAY('web survey'!Z132),DAY('web survey'!Z132))&amp;" "&amp;IF(HOUR('web survey'!Z132)&lt;10,"0"&amp;HOUR('web survey'!Z132),HOUR('web survey'!Z132))&amp;":"&amp;IF(MINUTE('web survey'!Z132)&lt;10,"0"&amp;MINUTE('web survey'!Z132),MINUTE('web survey'!Z132))&amp;(":00'")</f>
        <v>1900-01-00 00:00:00'</v>
      </c>
      <c r="L134" s="33"/>
      <c r="N134" s="35">
        <v>131</v>
      </c>
      <c r="O134" s="35">
        <v>0</v>
      </c>
      <c r="P134" s="37">
        <v>0</v>
      </c>
      <c r="Q134" s="39" t="e">
        <v>#N/A</v>
      </c>
      <c r="R134" s="41">
        <v>0</v>
      </c>
      <c r="S134" s="39" t="e">
        <v>#N/A</v>
      </c>
      <c r="T134" s="41">
        <v>0</v>
      </c>
      <c r="U134" s="39" t="e">
        <v>#N/A</v>
      </c>
      <c r="V134" s="41">
        <v>0</v>
      </c>
      <c r="W134" s="39" t="e">
        <v>#N/A</v>
      </c>
      <c r="X134" s="35">
        <v>0</v>
      </c>
    </row>
    <row r="135" spans="1:24" ht="28.2" customHeight="1" x14ac:dyDescent="0.3">
      <c r="A135" s="6">
        <f>IF(B135="","",ROW()-COUNTBLANK($B$4:B135)-3)</f>
        <v>132</v>
      </c>
      <c r="B135" s="6">
        <f>'web survey'!C133</f>
        <v>0</v>
      </c>
      <c r="C135" s="29">
        <f>'web survey'!AA133</f>
        <v>0</v>
      </c>
      <c r="D135" s="18" t="e">
        <f>IF(B135="FU-ACInstall",VLOOKUP(VALUE('web survey'!D133),ref!$B$6:$C$7,2,0)&amp;" ("&amp;'web survey'!D133&amp;")",VLOOKUP(VALUE('web survey'!D133),ref!$E$6:$F$10,2,0)&amp;" ("&amp;'web survey'!D133&amp;")")</f>
        <v>#N/A</v>
      </c>
      <c r="E135" s="27">
        <f>'web survey'!S133</f>
        <v>0</v>
      </c>
      <c r="F135" s="18" t="e">
        <f>IF(B135="FU-ACInstall",VLOOKUP(VALUE('web survey'!E133),ref!$B$10:$C$12,2,0)&amp;" ("&amp;'web survey'!E133&amp;")",VLOOKUP(VALUE('web survey'!E133),ref!$E$13:$F$17,2,0)&amp;" ("&amp;'web survey'!E133&amp;")")</f>
        <v>#N/A</v>
      </c>
      <c r="G135" s="27">
        <f>'web survey'!T133</f>
        <v>0</v>
      </c>
      <c r="H135" s="18" t="e">
        <f>IF(B135="FU-ACInstall",VLOOKUP(VALUE('web survey'!F133),ref!$B$15:$C$17,2,0)&amp;" ("&amp;'web survey'!F133&amp;")",VLOOKUP(VALUE('web survey'!F133),ref!$E$20:$F$21,2,0)&amp;" ("&amp;'web survey'!F133&amp;")")</f>
        <v>#N/A</v>
      </c>
      <c r="I135" s="27">
        <f>'web survey'!U133</f>
        <v>0</v>
      </c>
      <c r="J135" s="18" t="e">
        <f>IF(B135="FU-ACInstall","-",VLOOKUP(VALUE('web survey'!G133),ref!$E$24:$F$26,2,0)&amp;" ("&amp;'web survey'!G133&amp;")")</f>
        <v>#N/A</v>
      </c>
      <c r="K135" s="6" t="str">
        <f>YEAR('web survey'!Z133)&amp;"-"&amp;IF(MONTH('web survey'!Z133)&lt;10,"0"&amp;MONTH('web survey'!Z133),MONTH('web survey'!Z133))&amp;"-"&amp;IF(DAY('web survey'!Z133)&lt;10,"0"&amp;DAY('web survey'!Z133),DAY('web survey'!Z133))&amp;" "&amp;IF(HOUR('web survey'!Z133)&lt;10,"0"&amp;HOUR('web survey'!Z133),HOUR('web survey'!Z133))&amp;":"&amp;IF(MINUTE('web survey'!Z133)&lt;10,"0"&amp;MINUTE('web survey'!Z133),MINUTE('web survey'!Z133))&amp;(":00'")</f>
        <v>1900-01-00 00:00:00'</v>
      </c>
      <c r="L135" s="33"/>
      <c r="N135" s="35">
        <v>132</v>
      </c>
      <c r="O135" s="35">
        <v>0</v>
      </c>
      <c r="P135" s="37">
        <v>0</v>
      </c>
      <c r="Q135" s="39" t="e">
        <v>#N/A</v>
      </c>
      <c r="R135" s="41">
        <v>0</v>
      </c>
      <c r="S135" s="39" t="e">
        <v>#N/A</v>
      </c>
      <c r="T135" s="41">
        <v>0</v>
      </c>
      <c r="U135" s="39" t="e">
        <v>#N/A</v>
      </c>
      <c r="V135" s="41">
        <v>0</v>
      </c>
      <c r="W135" s="39" t="e">
        <v>#N/A</v>
      </c>
      <c r="X135" s="35">
        <v>0</v>
      </c>
    </row>
    <row r="136" spans="1:24" ht="28.2" customHeight="1" x14ac:dyDescent="0.3">
      <c r="A136" s="6">
        <f>IF(B136="","",ROW()-COUNTBLANK($B$4:B136)-3)</f>
        <v>133</v>
      </c>
      <c r="B136" s="6">
        <f>'web survey'!C134</f>
        <v>0</v>
      </c>
      <c r="C136" s="29">
        <f>'web survey'!AA134</f>
        <v>0</v>
      </c>
      <c r="D136" s="18" t="e">
        <f>IF(B136="FU-ACInstall",VLOOKUP(VALUE('web survey'!D134),ref!$B$6:$C$7,2,0)&amp;" ("&amp;'web survey'!D134&amp;")",VLOOKUP(VALUE('web survey'!D134),ref!$E$6:$F$10,2,0)&amp;" ("&amp;'web survey'!D134&amp;")")</f>
        <v>#N/A</v>
      </c>
      <c r="E136" s="27">
        <f>'web survey'!S134</f>
        <v>0</v>
      </c>
      <c r="F136" s="18" t="e">
        <f>IF(B136="FU-ACInstall",VLOOKUP(VALUE('web survey'!E134),ref!$B$10:$C$12,2,0)&amp;" ("&amp;'web survey'!E134&amp;")",VLOOKUP(VALUE('web survey'!E134),ref!$E$13:$F$17,2,0)&amp;" ("&amp;'web survey'!E134&amp;")")</f>
        <v>#N/A</v>
      </c>
      <c r="G136" s="27">
        <f>'web survey'!T134</f>
        <v>0</v>
      </c>
      <c r="H136" s="18" t="e">
        <f>IF(B136="FU-ACInstall",VLOOKUP(VALUE('web survey'!F134),ref!$B$15:$C$17,2,0)&amp;" ("&amp;'web survey'!F134&amp;")",VLOOKUP(VALUE('web survey'!F134),ref!$E$20:$F$21,2,0)&amp;" ("&amp;'web survey'!F134&amp;")")</f>
        <v>#N/A</v>
      </c>
      <c r="I136" s="27">
        <f>'web survey'!U134</f>
        <v>0</v>
      </c>
      <c r="J136" s="18" t="e">
        <f>IF(B136="FU-ACInstall","-",VLOOKUP(VALUE('web survey'!G134),ref!$E$24:$F$26,2,0)&amp;" ("&amp;'web survey'!G134&amp;")")</f>
        <v>#N/A</v>
      </c>
      <c r="K136" s="6" t="str">
        <f>YEAR('web survey'!Z134)&amp;"-"&amp;IF(MONTH('web survey'!Z134)&lt;10,"0"&amp;MONTH('web survey'!Z134),MONTH('web survey'!Z134))&amp;"-"&amp;IF(DAY('web survey'!Z134)&lt;10,"0"&amp;DAY('web survey'!Z134),DAY('web survey'!Z134))&amp;" "&amp;IF(HOUR('web survey'!Z134)&lt;10,"0"&amp;HOUR('web survey'!Z134),HOUR('web survey'!Z134))&amp;":"&amp;IF(MINUTE('web survey'!Z134)&lt;10,"0"&amp;MINUTE('web survey'!Z134),MINUTE('web survey'!Z134))&amp;(":00'")</f>
        <v>1900-01-00 00:00:00'</v>
      </c>
      <c r="L136" s="33"/>
      <c r="N136" s="35">
        <v>133</v>
      </c>
      <c r="O136" s="35">
        <v>0</v>
      </c>
      <c r="P136" s="37">
        <v>0</v>
      </c>
      <c r="Q136" s="39" t="e">
        <v>#N/A</v>
      </c>
      <c r="R136" s="41">
        <v>0</v>
      </c>
      <c r="S136" s="39" t="e">
        <v>#N/A</v>
      </c>
      <c r="T136" s="41">
        <v>0</v>
      </c>
      <c r="U136" s="39" t="e">
        <v>#N/A</v>
      </c>
      <c r="V136" s="41">
        <v>0</v>
      </c>
      <c r="W136" s="39" t="e">
        <v>#N/A</v>
      </c>
      <c r="X136" s="35">
        <v>0</v>
      </c>
    </row>
    <row r="137" spans="1:24" ht="28.2" customHeight="1" x14ac:dyDescent="0.3">
      <c r="A137" s="6">
        <f>IF(B137="","",ROW()-COUNTBLANK($B$4:B137)-3)</f>
        <v>134</v>
      </c>
      <c r="B137" s="6">
        <f>'web survey'!C135</f>
        <v>0</v>
      </c>
      <c r="C137" s="29">
        <f>'web survey'!AA135</f>
        <v>0</v>
      </c>
      <c r="D137" s="18" t="e">
        <f>IF(B137="FU-ACInstall",VLOOKUP(VALUE('web survey'!D135),ref!$B$6:$C$7,2,0)&amp;" ("&amp;'web survey'!D135&amp;")",VLOOKUP(VALUE('web survey'!D135),ref!$E$6:$F$10,2,0)&amp;" ("&amp;'web survey'!D135&amp;")")</f>
        <v>#N/A</v>
      </c>
      <c r="E137" s="27">
        <f>'web survey'!S135</f>
        <v>0</v>
      </c>
      <c r="F137" s="18" t="e">
        <f>IF(B137="FU-ACInstall",VLOOKUP(VALUE('web survey'!E135),ref!$B$10:$C$12,2,0)&amp;" ("&amp;'web survey'!E135&amp;")",VLOOKUP(VALUE('web survey'!E135),ref!$E$13:$F$17,2,0)&amp;" ("&amp;'web survey'!E135&amp;")")</f>
        <v>#N/A</v>
      </c>
      <c r="G137" s="27">
        <f>'web survey'!T135</f>
        <v>0</v>
      </c>
      <c r="H137" s="18" t="e">
        <f>IF(B137="FU-ACInstall",VLOOKUP(VALUE('web survey'!F135),ref!$B$15:$C$17,2,0)&amp;" ("&amp;'web survey'!F135&amp;")",VLOOKUP(VALUE('web survey'!F135),ref!$E$20:$F$21,2,0)&amp;" ("&amp;'web survey'!F135&amp;")")</f>
        <v>#N/A</v>
      </c>
      <c r="I137" s="27">
        <f>'web survey'!U135</f>
        <v>0</v>
      </c>
      <c r="J137" s="18" t="e">
        <f>IF(B137="FU-ACInstall","-",VLOOKUP(VALUE('web survey'!G135),ref!$E$24:$F$26,2,0)&amp;" ("&amp;'web survey'!G135&amp;")")</f>
        <v>#N/A</v>
      </c>
      <c r="K137" s="6" t="str">
        <f>YEAR('web survey'!Z135)&amp;"-"&amp;IF(MONTH('web survey'!Z135)&lt;10,"0"&amp;MONTH('web survey'!Z135),MONTH('web survey'!Z135))&amp;"-"&amp;IF(DAY('web survey'!Z135)&lt;10,"0"&amp;DAY('web survey'!Z135),DAY('web survey'!Z135))&amp;" "&amp;IF(HOUR('web survey'!Z135)&lt;10,"0"&amp;HOUR('web survey'!Z135),HOUR('web survey'!Z135))&amp;":"&amp;IF(MINUTE('web survey'!Z135)&lt;10,"0"&amp;MINUTE('web survey'!Z135),MINUTE('web survey'!Z135))&amp;(":00'")</f>
        <v>1900-01-00 00:00:00'</v>
      </c>
      <c r="L137" s="33"/>
      <c r="N137" s="35">
        <v>134</v>
      </c>
      <c r="O137" s="35">
        <v>0</v>
      </c>
      <c r="P137" s="37">
        <v>0</v>
      </c>
      <c r="Q137" s="39" t="e">
        <v>#N/A</v>
      </c>
      <c r="R137" s="41">
        <v>0</v>
      </c>
      <c r="S137" s="39" t="e">
        <v>#N/A</v>
      </c>
      <c r="T137" s="41">
        <v>0</v>
      </c>
      <c r="U137" s="39" t="e">
        <v>#N/A</v>
      </c>
      <c r="V137" s="41">
        <v>0</v>
      </c>
      <c r="W137" s="39" t="e">
        <v>#N/A</v>
      </c>
      <c r="X137" s="35">
        <v>0</v>
      </c>
    </row>
    <row r="138" spans="1:24" ht="28.2" customHeight="1" x14ac:dyDescent="0.3">
      <c r="A138" s="6">
        <f>IF(B138="","",ROW()-COUNTBLANK($B$4:B138)-3)</f>
        <v>135</v>
      </c>
      <c r="B138" s="6">
        <f>'web survey'!C136</f>
        <v>0</v>
      </c>
      <c r="C138" s="29">
        <f>'web survey'!AA136</f>
        <v>0</v>
      </c>
      <c r="D138" s="18" t="e">
        <f>IF(B138="FU-ACInstall",VLOOKUP(VALUE('web survey'!D136),ref!$B$6:$C$7,2,0)&amp;" ("&amp;'web survey'!D136&amp;")",VLOOKUP(VALUE('web survey'!D136),ref!$E$6:$F$10,2,0)&amp;" ("&amp;'web survey'!D136&amp;")")</f>
        <v>#N/A</v>
      </c>
      <c r="E138" s="27">
        <f>'web survey'!S136</f>
        <v>0</v>
      </c>
      <c r="F138" s="18" t="e">
        <f>IF(B138="FU-ACInstall",VLOOKUP(VALUE('web survey'!E136),ref!$B$10:$C$12,2,0)&amp;" ("&amp;'web survey'!E136&amp;")",VLOOKUP(VALUE('web survey'!E136),ref!$E$13:$F$17,2,0)&amp;" ("&amp;'web survey'!E136&amp;")")</f>
        <v>#N/A</v>
      </c>
      <c r="G138" s="27">
        <f>'web survey'!T136</f>
        <v>0</v>
      </c>
      <c r="H138" s="18" t="e">
        <f>IF(B138="FU-ACInstall",VLOOKUP(VALUE('web survey'!F136),ref!$B$15:$C$17,2,0)&amp;" ("&amp;'web survey'!F136&amp;")",VLOOKUP(VALUE('web survey'!F136),ref!$E$20:$F$21,2,0)&amp;" ("&amp;'web survey'!F136&amp;")")</f>
        <v>#N/A</v>
      </c>
      <c r="I138" s="27">
        <f>'web survey'!U136</f>
        <v>0</v>
      </c>
      <c r="J138" s="18" t="e">
        <f>IF(B138="FU-ACInstall","-",VLOOKUP(VALUE('web survey'!G136),ref!$E$24:$F$26,2,0)&amp;" ("&amp;'web survey'!G136&amp;")")</f>
        <v>#N/A</v>
      </c>
      <c r="K138" s="6" t="str">
        <f>YEAR('web survey'!Z136)&amp;"-"&amp;IF(MONTH('web survey'!Z136)&lt;10,"0"&amp;MONTH('web survey'!Z136),MONTH('web survey'!Z136))&amp;"-"&amp;IF(DAY('web survey'!Z136)&lt;10,"0"&amp;DAY('web survey'!Z136),DAY('web survey'!Z136))&amp;" "&amp;IF(HOUR('web survey'!Z136)&lt;10,"0"&amp;HOUR('web survey'!Z136),HOUR('web survey'!Z136))&amp;":"&amp;IF(MINUTE('web survey'!Z136)&lt;10,"0"&amp;MINUTE('web survey'!Z136),MINUTE('web survey'!Z136))&amp;(":00'")</f>
        <v>1900-01-00 00:00:00'</v>
      </c>
      <c r="L138" s="33"/>
      <c r="N138" s="35">
        <v>135</v>
      </c>
      <c r="O138" s="35">
        <v>0</v>
      </c>
      <c r="P138" s="37">
        <v>0</v>
      </c>
      <c r="Q138" s="39" t="e">
        <v>#N/A</v>
      </c>
      <c r="R138" s="41">
        <v>0</v>
      </c>
      <c r="S138" s="39" t="e">
        <v>#N/A</v>
      </c>
      <c r="T138" s="41">
        <v>0</v>
      </c>
      <c r="U138" s="39" t="e">
        <v>#N/A</v>
      </c>
      <c r="V138" s="41">
        <v>0</v>
      </c>
      <c r="W138" s="39" t="e">
        <v>#N/A</v>
      </c>
      <c r="X138" s="35">
        <v>0</v>
      </c>
    </row>
    <row r="139" spans="1:24" ht="28.2" customHeight="1" x14ac:dyDescent="0.3">
      <c r="A139" s="6">
        <f>IF(B139="","",ROW()-COUNTBLANK($B$4:B139)-3)</f>
        <v>136</v>
      </c>
      <c r="B139" s="6">
        <f>'web survey'!C137</f>
        <v>0</v>
      </c>
      <c r="C139" s="29">
        <f>'web survey'!AA137</f>
        <v>0</v>
      </c>
      <c r="D139" s="18" t="e">
        <f>IF(B139="FU-ACInstall",VLOOKUP(VALUE('web survey'!D137),ref!$B$6:$C$7,2,0)&amp;" ("&amp;'web survey'!D137&amp;")",VLOOKUP(VALUE('web survey'!D137),ref!$E$6:$F$10,2,0)&amp;" ("&amp;'web survey'!D137&amp;")")</f>
        <v>#N/A</v>
      </c>
      <c r="E139" s="27">
        <f>'web survey'!S137</f>
        <v>0</v>
      </c>
      <c r="F139" s="18" t="e">
        <f>IF(B139="FU-ACInstall",VLOOKUP(VALUE('web survey'!E137),ref!$B$10:$C$12,2,0)&amp;" ("&amp;'web survey'!E137&amp;")",VLOOKUP(VALUE('web survey'!E137),ref!$E$13:$F$17,2,0)&amp;" ("&amp;'web survey'!E137&amp;")")</f>
        <v>#N/A</v>
      </c>
      <c r="G139" s="27">
        <f>'web survey'!T137</f>
        <v>0</v>
      </c>
      <c r="H139" s="18" t="e">
        <f>IF(B139="FU-ACInstall",VLOOKUP(VALUE('web survey'!F137),ref!$B$15:$C$17,2,0)&amp;" ("&amp;'web survey'!F137&amp;")",VLOOKUP(VALUE('web survey'!F137),ref!$E$20:$F$21,2,0)&amp;" ("&amp;'web survey'!F137&amp;")")</f>
        <v>#N/A</v>
      </c>
      <c r="I139" s="27">
        <f>'web survey'!U137</f>
        <v>0</v>
      </c>
      <c r="J139" s="18" t="e">
        <f>IF(B139="FU-ACInstall","-",VLOOKUP(VALUE('web survey'!G137),ref!$E$24:$F$26,2,0)&amp;" ("&amp;'web survey'!G137&amp;")")</f>
        <v>#N/A</v>
      </c>
      <c r="K139" s="6" t="str">
        <f>YEAR('web survey'!Z137)&amp;"-"&amp;IF(MONTH('web survey'!Z137)&lt;10,"0"&amp;MONTH('web survey'!Z137),MONTH('web survey'!Z137))&amp;"-"&amp;IF(DAY('web survey'!Z137)&lt;10,"0"&amp;DAY('web survey'!Z137),DAY('web survey'!Z137))&amp;" "&amp;IF(HOUR('web survey'!Z137)&lt;10,"0"&amp;HOUR('web survey'!Z137),HOUR('web survey'!Z137))&amp;":"&amp;IF(MINUTE('web survey'!Z137)&lt;10,"0"&amp;MINUTE('web survey'!Z137),MINUTE('web survey'!Z137))&amp;(":00'")</f>
        <v>1900-01-00 00:00:00'</v>
      </c>
      <c r="L139" s="33"/>
      <c r="N139" s="35">
        <v>136</v>
      </c>
      <c r="O139" s="35">
        <v>0</v>
      </c>
      <c r="P139" s="37">
        <v>0</v>
      </c>
      <c r="Q139" s="39" t="e">
        <v>#N/A</v>
      </c>
      <c r="R139" s="41">
        <v>0</v>
      </c>
      <c r="S139" s="39" t="e">
        <v>#N/A</v>
      </c>
      <c r="T139" s="41">
        <v>0</v>
      </c>
      <c r="U139" s="39" t="e">
        <v>#N/A</v>
      </c>
      <c r="V139" s="41">
        <v>0</v>
      </c>
      <c r="W139" s="39" t="e">
        <v>#N/A</v>
      </c>
      <c r="X139" s="35">
        <v>0</v>
      </c>
    </row>
    <row r="140" spans="1:24" ht="28.2" customHeight="1" x14ac:dyDescent="0.3">
      <c r="A140" s="6">
        <f>IF(B140="","",ROW()-COUNTBLANK($B$4:B140)-3)</f>
        <v>137</v>
      </c>
      <c r="B140" s="6">
        <f>'web survey'!C138</f>
        <v>0</v>
      </c>
      <c r="C140" s="29">
        <f>'web survey'!AA138</f>
        <v>0</v>
      </c>
      <c r="D140" s="18" t="e">
        <f>IF(B140="FU-ACInstall",VLOOKUP(VALUE('web survey'!D138),ref!$B$6:$C$7,2,0)&amp;" ("&amp;'web survey'!D138&amp;")",VLOOKUP(VALUE('web survey'!D138),ref!$E$6:$F$10,2,0)&amp;" ("&amp;'web survey'!D138&amp;")")</f>
        <v>#N/A</v>
      </c>
      <c r="E140" s="27">
        <f>'web survey'!S138</f>
        <v>0</v>
      </c>
      <c r="F140" s="18" t="e">
        <f>IF(B140="FU-ACInstall",VLOOKUP(VALUE('web survey'!E138),ref!$B$10:$C$12,2,0)&amp;" ("&amp;'web survey'!E138&amp;")",VLOOKUP(VALUE('web survey'!E138),ref!$E$13:$F$17,2,0)&amp;" ("&amp;'web survey'!E138&amp;")")</f>
        <v>#N/A</v>
      </c>
      <c r="G140" s="27">
        <f>'web survey'!T138</f>
        <v>0</v>
      </c>
      <c r="H140" s="18" t="e">
        <f>IF(B140="FU-ACInstall",VLOOKUP(VALUE('web survey'!F138),ref!$B$15:$C$17,2,0)&amp;" ("&amp;'web survey'!F138&amp;")",VLOOKUP(VALUE('web survey'!F138),ref!$E$20:$F$21,2,0)&amp;" ("&amp;'web survey'!F138&amp;")")</f>
        <v>#N/A</v>
      </c>
      <c r="I140" s="27">
        <f>'web survey'!U138</f>
        <v>0</v>
      </c>
      <c r="J140" s="18" t="e">
        <f>IF(B140="FU-ACInstall","-",VLOOKUP(VALUE('web survey'!G138),ref!$E$24:$F$26,2,0)&amp;" ("&amp;'web survey'!G138&amp;")")</f>
        <v>#N/A</v>
      </c>
      <c r="K140" s="6" t="str">
        <f>YEAR('web survey'!Z138)&amp;"-"&amp;IF(MONTH('web survey'!Z138)&lt;10,"0"&amp;MONTH('web survey'!Z138),MONTH('web survey'!Z138))&amp;"-"&amp;IF(DAY('web survey'!Z138)&lt;10,"0"&amp;DAY('web survey'!Z138),DAY('web survey'!Z138))&amp;" "&amp;IF(HOUR('web survey'!Z138)&lt;10,"0"&amp;HOUR('web survey'!Z138),HOUR('web survey'!Z138))&amp;":"&amp;IF(MINUTE('web survey'!Z138)&lt;10,"0"&amp;MINUTE('web survey'!Z138),MINUTE('web survey'!Z138))&amp;(":00'")</f>
        <v>1900-01-00 00:00:00'</v>
      </c>
      <c r="L140" s="33"/>
      <c r="N140" s="35">
        <v>137</v>
      </c>
      <c r="O140" s="35">
        <v>0</v>
      </c>
      <c r="P140" s="37">
        <v>0</v>
      </c>
      <c r="Q140" s="39" t="e">
        <v>#N/A</v>
      </c>
      <c r="R140" s="41">
        <v>0</v>
      </c>
      <c r="S140" s="39" t="e">
        <v>#N/A</v>
      </c>
      <c r="T140" s="41">
        <v>0</v>
      </c>
      <c r="U140" s="39" t="e">
        <v>#N/A</v>
      </c>
      <c r="V140" s="41">
        <v>0</v>
      </c>
      <c r="W140" s="39" t="e">
        <v>#N/A</v>
      </c>
      <c r="X140" s="35">
        <v>0</v>
      </c>
    </row>
    <row r="141" spans="1:24" ht="28.2" customHeight="1" x14ac:dyDescent="0.3">
      <c r="A141" s="6">
        <f>IF(B141="","",ROW()-COUNTBLANK($B$4:B141)-3)</f>
        <v>138</v>
      </c>
      <c r="B141" s="6">
        <f>'web survey'!C139</f>
        <v>0</v>
      </c>
      <c r="C141" s="29">
        <f>'web survey'!AA139</f>
        <v>0</v>
      </c>
      <c r="D141" s="18" t="e">
        <f>IF(B141="FU-ACInstall",VLOOKUP(VALUE('web survey'!D139),ref!$B$6:$C$7,2,0)&amp;" ("&amp;'web survey'!D139&amp;")",VLOOKUP(VALUE('web survey'!D139),ref!$E$6:$F$10,2,0)&amp;" ("&amp;'web survey'!D139&amp;")")</f>
        <v>#N/A</v>
      </c>
      <c r="E141" s="27">
        <f>'web survey'!S139</f>
        <v>0</v>
      </c>
      <c r="F141" s="18" t="e">
        <f>IF(B141="FU-ACInstall",VLOOKUP(VALUE('web survey'!E139),ref!$B$10:$C$12,2,0)&amp;" ("&amp;'web survey'!E139&amp;")",VLOOKUP(VALUE('web survey'!E139),ref!$E$13:$F$17,2,0)&amp;" ("&amp;'web survey'!E139&amp;")")</f>
        <v>#N/A</v>
      </c>
      <c r="G141" s="27">
        <f>'web survey'!T139</f>
        <v>0</v>
      </c>
      <c r="H141" s="18" t="e">
        <f>IF(B141="FU-ACInstall",VLOOKUP(VALUE('web survey'!F139),ref!$B$15:$C$17,2,0)&amp;" ("&amp;'web survey'!F139&amp;")",VLOOKUP(VALUE('web survey'!F139),ref!$E$20:$F$21,2,0)&amp;" ("&amp;'web survey'!F139&amp;")")</f>
        <v>#N/A</v>
      </c>
      <c r="I141" s="27">
        <f>'web survey'!U139</f>
        <v>0</v>
      </c>
      <c r="J141" s="18" t="e">
        <f>IF(B141="FU-ACInstall","-",VLOOKUP(VALUE('web survey'!G139),ref!$E$24:$F$26,2,0)&amp;" ("&amp;'web survey'!G139&amp;")")</f>
        <v>#N/A</v>
      </c>
      <c r="K141" s="6" t="str">
        <f>YEAR('web survey'!Z139)&amp;"-"&amp;IF(MONTH('web survey'!Z139)&lt;10,"0"&amp;MONTH('web survey'!Z139),MONTH('web survey'!Z139))&amp;"-"&amp;IF(DAY('web survey'!Z139)&lt;10,"0"&amp;DAY('web survey'!Z139),DAY('web survey'!Z139))&amp;" "&amp;IF(HOUR('web survey'!Z139)&lt;10,"0"&amp;HOUR('web survey'!Z139),HOUR('web survey'!Z139))&amp;":"&amp;IF(MINUTE('web survey'!Z139)&lt;10,"0"&amp;MINUTE('web survey'!Z139),MINUTE('web survey'!Z139))&amp;(":00'")</f>
        <v>1900-01-00 00:00:00'</v>
      </c>
      <c r="L141" s="33"/>
      <c r="N141" s="35">
        <v>138</v>
      </c>
      <c r="O141" s="35">
        <v>0</v>
      </c>
      <c r="P141" s="37">
        <v>0</v>
      </c>
      <c r="Q141" s="39" t="e">
        <v>#N/A</v>
      </c>
      <c r="R141" s="41">
        <v>0</v>
      </c>
      <c r="S141" s="39" t="e">
        <v>#N/A</v>
      </c>
      <c r="T141" s="41">
        <v>0</v>
      </c>
      <c r="U141" s="39" t="e">
        <v>#N/A</v>
      </c>
      <c r="V141" s="41">
        <v>0</v>
      </c>
      <c r="W141" s="39" t="e">
        <v>#N/A</v>
      </c>
      <c r="X141" s="35">
        <v>0</v>
      </c>
    </row>
    <row r="142" spans="1:24" ht="28.2" customHeight="1" x14ac:dyDescent="0.3">
      <c r="A142" s="6">
        <f>IF(B142="","",ROW()-COUNTBLANK($B$4:B142)-3)</f>
        <v>139</v>
      </c>
      <c r="B142" s="6">
        <f>'web survey'!C140</f>
        <v>0</v>
      </c>
      <c r="C142" s="29">
        <f>'web survey'!AA140</f>
        <v>0</v>
      </c>
      <c r="D142" s="18" t="e">
        <f>IF(B142="FU-ACInstall",VLOOKUP(VALUE('web survey'!D140),ref!$B$6:$C$7,2,0)&amp;" ("&amp;'web survey'!D140&amp;")",VLOOKUP(VALUE('web survey'!D140),ref!$E$6:$F$10,2,0)&amp;" ("&amp;'web survey'!D140&amp;")")</f>
        <v>#N/A</v>
      </c>
      <c r="E142" s="27">
        <f>'web survey'!S140</f>
        <v>0</v>
      </c>
      <c r="F142" s="18" t="e">
        <f>IF(B142="FU-ACInstall",VLOOKUP(VALUE('web survey'!E140),ref!$B$10:$C$12,2,0)&amp;" ("&amp;'web survey'!E140&amp;")",VLOOKUP(VALUE('web survey'!E140),ref!$E$13:$F$17,2,0)&amp;" ("&amp;'web survey'!E140&amp;")")</f>
        <v>#N/A</v>
      </c>
      <c r="G142" s="27">
        <f>'web survey'!T140</f>
        <v>0</v>
      </c>
      <c r="H142" s="18" t="e">
        <f>IF(B142="FU-ACInstall",VLOOKUP(VALUE('web survey'!F140),ref!$B$15:$C$17,2,0)&amp;" ("&amp;'web survey'!F140&amp;")",VLOOKUP(VALUE('web survey'!F140),ref!$E$20:$F$21,2,0)&amp;" ("&amp;'web survey'!F140&amp;")")</f>
        <v>#N/A</v>
      </c>
      <c r="I142" s="27">
        <f>'web survey'!U140</f>
        <v>0</v>
      </c>
      <c r="J142" s="18" t="e">
        <f>IF(B142="FU-ACInstall","-",VLOOKUP(VALUE('web survey'!G140),ref!$E$24:$F$26,2,0)&amp;" ("&amp;'web survey'!G140&amp;")")</f>
        <v>#N/A</v>
      </c>
      <c r="K142" s="6" t="str">
        <f>YEAR('web survey'!Z140)&amp;"-"&amp;IF(MONTH('web survey'!Z140)&lt;10,"0"&amp;MONTH('web survey'!Z140),MONTH('web survey'!Z140))&amp;"-"&amp;IF(DAY('web survey'!Z140)&lt;10,"0"&amp;DAY('web survey'!Z140),DAY('web survey'!Z140))&amp;" "&amp;IF(HOUR('web survey'!Z140)&lt;10,"0"&amp;HOUR('web survey'!Z140),HOUR('web survey'!Z140))&amp;":"&amp;IF(MINUTE('web survey'!Z140)&lt;10,"0"&amp;MINUTE('web survey'!Z140),MINUTE('web survey'!Z140))&amp;(":00'")</f>
        <v>1900-01-00 00:00:00'</v>
      </c>
      <c r="L142" s="33"/>
      <c r="N142" s="35">
        <v>139</v>
      </c>
      <c r="O142" s="35">
        <v>0</v>
      </c>
      <c r="P142" s="37">
        <v>0</v>
      </c>
      <c r="Q142" s="39" t="e">
        <v>#N/A</v>
      </c>
      <c r="R142" s="41">
        <v>0</v>
      </c>
      <c r="S142" s="39" t="e">
        <v>#N/A</v>
      </c>
      <c r="T142" s="41">
        <v>0</v>
      </c>
      <c r="U142" s="39" t="e">
        <v>#N/A</v>
      </c>
      <c r="V142" s="41">
        <v>0</v>
      </c>
      <c r="W142" s="39" t="e">
        <v>#N/A</v>
      </c>
      <c r="X142" s="35">
        <v>0</v>
      </c>
    </row>
    <row r="143" spans="1:24" ht="28.2" customHeight="1" x14ac:dyDescent="0.3">
      <c r="A143" s="6">
        <f>IF(B143="","",ROW()-COUNTBLANK($B$4:B143)-3)</f>
        <v>140</v>
      </c>
      <c r="B143" s="6">
        <f>'web survey'!C141</f>
        <v>0</v>
      </c>
      <c r="C143" s="29">
        <f>'web survey'!AA141</f>
        <v>0</v>
      </c>
      <c r="D143" s="18" t="e">
        <f>IF(B143="FU-ACInstall",VLOOKUP(VALUE('web survey'!D141),ref!$B$6:$C$7,2,0)&amp;" ("&amp;'web survey'!D141&amp;")",VLOOKUP(VALUE('web survey'!D141),ref!$E$6:$F$10,2,0)&amp;" ("&amp;'web survey'!D141&amp;")")</f>
        <v>#N/A</v>
      </c>
      <c r="E143" s="27">
        <f>'web survey'!S141</f>
        <v>0</v>
      </c>
      <c r="F143" s="18" t="e">
        <f>IF(B143="FU-ACInstall",VLOOKUP(VALUE('web survey'!E141),ref!$B$10:$C$12,2,0)&amp;" ("&amp;'web survey'!E141&amp;")",VLOOKUP(VALUE('web survey'!E141),ref!$E$13:$F$17,2,0)&amp;" ("&amp;'web survey'!E141&amp;")")</f>
        <v>#N/A</v>
      </c>
      <c r="G143" s="27">
        <f>'web survey'!T141</f>
        <v>0</v>
      </c>
      <c r="H143" s="18" t="e">
        <f>IF(B143="FU-ACInstall",VLOOKUP(VALUE('web survey'!F141),ref!$B$15:$C$17,2,0)&amp;" ("&amp;'web survey'!F141&amp;")",VLOOKUP(VALUE('web survey'!F141),ref!$E$20:$F$21,2,0)&amp;" ("&amp;'web survey'!F141&amp;")")</f>
        <v>#N/A</v>
      </c>
      <c r="I143" s="27">
        <f>'web survey'!U141</f>
        <v>0</v>
      </c>
      <c r="J143" s="18" t="e">
        <f>IF(B143="FU-ACInstall","-",VLOOKUP(VALUE('web survey'!G141),ref!$E$24:$F$26,2,0)&amp;" ("&amp;'web survey'!G141&amp;")")</f>
        <v>#N/A</v>
      </c>
      <c r="K143" s="6" t="str">
        <f>YEAR('web survey'!Z141)&amp;"-"&amp;IF(MONTH('web survey'!Z141)&lt;10,"0"&amp;MONTH('web survey'!Z141),MONTH('web survey'!Z141))&amp;"-"&amp;IF(DAY('web survey'!Z141)&lt;10,"0"&amp;DAY('web survey'!Z141),DAY('web survey'!Z141))&amp;" "&amp;IF(HOUR('web survey'!Z141)&lt;10,"0"&amp;HOUR('web survey'!Z141),HOUR('web survey'!Z141))&amp;":"&amp;IF(MINUTE('web survey'!Z141)&lt;10,"0"&amp;MINUTE('web survey'!Z141),MINUTE('web survey'!Z141))&amp;(":00'")</f>
        <v>1900-01-00 00:00:00'</v>
      </c>
      <c r="L143" s="33"/>
      <c r="N143" s="35">
        <v>140</v>
      </c>
      <c r="O143" s="35">
        <v>0</v>
      </c>
      <c r="P143" s="37">
        <v>0</v>
      </c>
      <c r="Q143" s="39" t="e">
        <v>#N/A</v>
      </c>
      <c r="R143" s="41">
        <v>0</v>
      </c>
      <c r="S143" s="39" t="e">
        <v>#N/A</v>
      </c>
      <c r="T143" s="41">
        <v>0</v>
      </c>
      <c r="U143" s="39" t="e">
        <v>#N/A</v>
      </c>
      <c r="V143" s="41">
        <v>0</v>
      </c>
      <c r="W143" s="39" t="e">
        <v>#N/A</v>
      </c>
      <c r="X143" s="35">
        <v>0</v>
      </c>
    </row>
    <row r="144" spans="1:24" ht="28.2" customHeight="1" x14ac:dyDescent="0.3">
      <c r="A144" s="6">
        <f>IF(B144="","",ROW()-COUNTBLANK($B$4:B144)-3)</f>
        <v>141</v>
      </c>
      <c r="B144" s="6">
        <f>'web survey'!C142</f>
        <v>0</v>
      </c>
      <c r="C144" s="29">
        <f>'web survey'!AA142</f>
        <v>0</v>
      </c>
      <c r="D144" s="18" t="e">
        <f>IF(B144="FU-ACInstall",VLOOKUP(VALUE('web survey'!D142),ref!$B$6:$C$7,2,0)&amp;" ("&amp;'web survey'!D142&amp;")",VLOOKUP(VALUE('web survey'!D142),ref!$E$6:$F$10,2,0)&amp;" ("&amp;'web survey'!D142&amp;")")</f>
        <v>#N/A</v>
      </c>
      <c r="E144" s="27">
        <f>'web survey'!S142</f>
        <v>0</v>
      </c>
      <c r="F144" s="18" t="e">
        <f>IF(B144="FU-ACInstall",VLOOKUP(VALUE('web survey'!E142),ref!$B$10:$C$12,2,0)&amp;" ("&amp;'web survey'!E142&amp;")",VLOOKUP(VALUE('web survey'!E142),ref!$E$13:$F$17,2,0)&amp;" ("&amp;'web survey'!E142&amp;")")</f>
        <v>#N/A</v>
      </c>
      <c r="G144" s="27">
        <f>'web survey'!T142</f>
        <v>0</v>
      </c>
      <c r="H144" s="18" t="e">
        <f>IF(B144="FU-ACInstall",VLOOKUP(VALUE('web survey'!F142),ref!$B$15:$C$17,2,0)&amp;" ("&amp;'web survey'!F142&amp;")",VLOOKUP(VALUE('web survey'!F142),ref!$E$20:$F$21,2,0)&amp;" ("&amp;'web survey'!F142&amp;")")</f>
        <v>#N/A</v>
      </c>
      <c r="I144" s="27">
        <f>'web survey'!U142</f>
        <v>0</v>
      </c>
      <c r="J144" s="18" t="e">
        <f>IF(B144="FU-ACInstall","-",VLOOKUP(VALUE('web survey'!G142),ref!$E$24:$F$26,2,0)&amp;" ("&amp;'web survey'!G142&amp;")")</f>
        <v>#N/A</v>
      </c>
      <c r="K144" s="6" t="str">
        <f>YEAR('web survey'!Z142)&amp;"-"&amp;IF(MONTH('web survey'!Z142)&lt;10,"0"&amp;MONTH('web survey'!Z142),MONTH('web survey'!Z142))&amp;"-"&amp;IF(DAY('web survey'!Z142)&lt;10,"0"&amp;DAY('web survey'!Z142),DAY('web survey'!Z142))&amp;" "&amp;IF(HOUR('web survey'!Z142)&lt;10,"0"&amp;HOUR('web survey'!Z142),HOUR('web survey'!Z142))&amp;":"&amp;IF(MINUTE('web survey'!Z142)&lt;10,"0"&amp;MINUTE('web survey'!Z142),MINUTE('web survey'!Z142))&amp;(":00'")</f>
        <v>1900-01-00 00:00:00'</v>
      </c>
      <c r="L144" s="33"/>
      <c r="N144" s="35">
        <v>141</v>
      </c>
      <c r="O144" s="35">
        <v>0</v>
      </c>
      <c r="P144" s="37">
        <v>0</v>
      </c>
      <c r="Q144" s="39" t="e">
        <v>#N/A</v>
      </c>
      <c r="R144" s="41">
        <v>0</v>
      </c>
      <c r="S144" s="39" t="e">
        <v>#N/A</v>
      </c>
      <c r="T144" s="41">
        <v>0</v>
      </c>
      <c r="U144" s="39" t="e">
        <v>#N/A</v>
      </c>
      <c r="V144" s="41">
        <v>0</v>
      </c>
      <c r="W144" s="39" t="e">
        <v>#N/A</v>
      </c>
      <c r="X144" s="35">
        <v>0</v>
      </c>
    </row>
    <row r="145" spans="1:24" ht="28.2" customHeight="1" x14ac:dyDescent="0.3">
      <c r="A145" s="6">
        <f>IF(B145="","",ROW()-COUNTBLANK($B$4:B145)-3)</f>
        <v>142</v>
      </c>
      <c r="B145" s="6">
        <f>'web survey'!C143</f>
        <v>0</v>
      </c>
      <c r="C145" s="29">
        <f>'web survey'!AA143</f>
        <v>0</v>
      </c>
      <c r="D145" s="18" t="e">
        <f>IF(B145="FU-ACInstall",VLOOKUP(VALUE('web survey'!D143),ref!$B$6:$C$7,2,0)&amp;" ("&amp;'web survey'!D143&amp;")",VLOOKUP(VALUE('web survey'!D143),ref!$E$6:$F$10,2,0)&amp;" ("&amp;'web survey'!D143&amp;")")</f>
        <v>#N/A</v>
      </c>
      <c r="E145" s="27">
        <f>'web survey'!S143</f>
        <v>0</v>
      </c>
      <c r="F145" s="18" t="e">
        <f>IF(B145="FU-ACInstall",VLOOKUP(VALUE('web survey'!E143),ref!$B$10:$C$12,2,0)&amp;" ("&amp;'web survey'!E143&amp;")",VLOOKUP(VALUE('web survey'!E143),ref!$E$13:$F$17,2,0)&amp;" ("&amp;'web survey'!E143&amp;")")</f>
        <v>#N/A</v>
      </c>
      <c r="G145" s="27">
        <f>'web survey'!T143</f>
        <v>0</v>
      </c>
      <c r="H145" s="18" t="e">
        <f>IF(B145="FU-ACInstall",VLOOKUP(VALUE('web survey'!F143),ref!$B$15:$C$17,2,0)&amp;" ("&amp;'web survey'!F143&amp;")",VLOOKUP(VALUE('web survey'!F143),ref!$E$20:$F$21,2,0)&amp;" ("&amp;'web survey'!F143&amp;")")</f>
        <v>#N/A</v>
      </c>
      <c r="I145" s="27">
        <f>'web survey'!U143</f>
        <v>0</v>
      </c>
      <c r="J145" s="18" t="e">
        <f>IF(B145="FU-ACInstall","-",VLOOKUP(VALUE('web survey'!G143),ref!$E$24:$F$26,2,0)&amp;" ("&amp;'web survey'!G143&amp;")")</f>
        <v>#N/A</v>
      </c>
      <c r="K145" s="6" t="str">
        <f>YEAR('web survey'!Z143)&amp;"-"&amp;IF(MONTH('web survey'!Z143)&lt;10,"0"&amp;MONTH('web survey'!Z143),MONTH('web survey'!Z143))&amp;"-"&amp;IF(DAY('web survey'!Z143)&lt;10,"0"&amp;DAY('web survey'!Z143),DAY('web survey'!Z143))&amp;" "&amp;IF(HOUR('web survey'!Z143)&lt;10,"0"&amp;HOUR('web survey'!Z143),HOUR('web survey'!Z143))&amp;":"&amp;IF(MINUTE('web survey'!Z143)&lt;10,"0"&amp;MINUTE('web survey'!Z143),MINUTE('web survey'!Z143))&amp;(":00'")</f>
        <v>1900-01-00 00:00:00'</v>
      </c>
      <c r="L145" s="33"/>
      <c r="N145" s="35">
        <v>142</v>
      </c>
      <c r="O145" s="35">
        <v>0</v>
      </c>
      <c r="P145" s="37">
        <v>0</v>
      </c>
      <c r="Q145" s="39" t="e">
        <v>#N/A</v>
      </c>
      <c r="R145" s="41">
        <v>0</v>
      </c>
      <c r="S145" s="39" t="e">
        <v>#N/A</v>
      </c>
      <c r="T145" s="41">
        <v>0</v>
      </c>
      <c r="U145" s="39" t="e">
        <v>#N/A</v>
      </c>
      <c r="V145" s="41">
        <v>0</v>
      </c>
      <c r="W145" s="39" t="e">
        <v>#N/A</v>
      </c>
      <c r="X145" s="35">
        <v>0</v>
      </c>
    </row>
    <row r="146" spans="1:24" ht="28.2" customHeight="1" x14ac:dyDescent="0.3">
      <c r="A146" s="6">
        <f>IF(B146="","",ROW()-COUNTBLANK($B$4:B146)-3)</f>
        <v>143</v>
      </c>
      <c r="B146" s="6">
        <f>'web survey'!C144</f>
        <v>0</v>
      </c>
      <c r="C146" s="29">
        <f>'web survey'!AA144</f>
        <v>0</v>
      </c>
      <c r="D146" s="18" t="e">
        <f>IF(B146="FU-ACInstall",VLOOKUP(VALUE('web survey'!D144),ref!$B$6:$C$7,2,0)&amp;" ("&amp;'web survey'!D144&amp;")",VLOOKUP(VALUE('web survey'!D144),ref!$E$6:$F$10,2,0)&amp;" ("&amp;'web survey'!D144&amp;")")</f>
        <v>#N/A</v>
      </c>
      <c r="E146" s="27">
        <f>'web survey'!S144</f>
        <v>0</v>
      </c>
      <c r="F146" s="18" t="e">
        <f>IF(B146="FU-ACInstall",VLOOKUP(VALUE('web survey'!E144),ref!$B$10:$C$12,2,0)&amp;" ("&amp;'web survey'!E144&amp;")",VLOOKUP(VALUE('web survey'!E144),ref!$E$13:$F$17,2,0)&amp;" ("&amp;'web survey'!E144&amp;")")</f>
        <v>#N/A</v>
      </c>
      <c r="G146" s="27">
        <f>'web survey'!T144</f>
        <v>0</v>
      </c>
      <c r="H146" s="18" t="e">
        <f>IF(B146="FU-ACInstall",VLOOKUP(VALUE('web survey'!F144),ref!$B$15:$C$17,2,0)&amp;" ("&amp;'web survey'!F144&amp;")",VLOOKUP(VALUE('web survey'!F144),ref!$E$20:$F$21,2,0)&amp;" ("&amp;'web survey'!F144&amp;")")</f>
        <v>#N/A</v>
      </c>
      <c r="I146" s="27">
        <f>'web survey'!U144</f>
        <v>0</v>
      </c>
      <c r="J146" s="18" t="e">
        <f>IF(B146="FU-ACInstall","-",VLOOKUP(VALUE('web survey'!G144),ref!$E$24:$F$26,2,0)&amp;" ("&amp;'web survey'!G144&amp;")")</f>
        <v>#N/A</v>
      </c>
      <c r="K146" s="6" t="str">
        <f>YEAR('web survey'!Z144)&amp;"-"&amp;IF(MONTH('web survey'!Z144)&lt;10,"0"&amp;MONTH('web survey'!Z144),MONTH('web survey'!Z144))&amp;"-"&amp;IF(DAY('web survey'!Z144)&lt;10,"0"&amp;DAY('web survey'!Z144),DAY('web survey'!Z144))&amp;" "&amp;IF(HOUR('web survey'!Z144)&lt;10,"0"&amp;HOUR('web survey'!Z144),HOUR('web survey'!Z144))&amp;":"&amp;IF(MINUTE('web survey'!Z144)&lt;10,"0"&amp;MINUTE('web survey'!Z144),MINUTE('web survey'!Z144))&amp;(":00'")</f>
        <v>1900-01-00 00:00:00'</v>
      </c>
      <c r="L146" s="33"/>
      <c r="N146" s="35">
        <v>143</v>
      </c>
      <c r="O146" s="35">
        <v>0</v>
      </c>
      <c r="P146" s="37">
        <v>0</v>
      </c>
      <c r="Q146" s="39" t="e">
        <v>#N/A</v>
      </c>
      <c r="R146" s="41">
        <v>0</v>
      </c>
      <c r="S146" s="39" t="e">
        <v>#N/A</v>
      </c>
      <c r="T146" s="41">
        <v>0</v>
      </c>
      <c r="U146" s="39" t="e">
        <v>#N/A</v>
      </c>
      <c r="V146" s="41">
        <v>0</v>
      </c>
      <c r="W146" s="39" t="e">
        <v>#N/A</v>
      </c>
      <c r="X146" s="35">
        <v>0</v>
      </c>
    </row>
    <row r="147" spans="1:24" ht="28.2" customHeight="1" x14ac:dyDescent="0.3">
      <c r="A147" s="6">
        <f>IF(B147="","",ROW()-COUNTBLANK($B$4:B147)-3)</f>
        <v>144</v>
      </c>
      <c r="B147" s="6">
        <f>'web survey'!C145</f>
        <v>0</v>
      </c>
      <c r="C147" s="29">
        <f>'web survey'!AA145</f>
        <v>0</v>
      </c>
      <c r="D147" s="18" t="e">
        <f>IF(B147="FU-ACInstall",VLOOKUP(VALUE('web survey'!D145),ref!$B$6:$C$7,2,0)&amp;" ("&amp;'web survey'!D145&amp;")",VLOOKUP(VALUE('web survey'!D145),ref!$E$6:$F$10,2,0)&amp;" ("&amp;'web survey'!D145&amp;")")</f>
        <v>#N/A</v>
      </c>
      <c r="E147" s="27">
        <f>'web survey'!S145</f>
        <v>0</v>
      </c>
      <c r="F147" s="18" t="e">
        <f>IF(B147="FU-ACInstall",VLOOKUP(VALUE('web survey'!E145),ref!$B$10:$C$12,2,0)&amp;" ("&amp;'web survey'!E145&amp;")",VLOOKUP(VALUE('web survey'!E145),ref!$E$13:$F$17,2,0)&amp;" ("&amp;'web survey'!E145&amp;")")</f>
        <v>#N/A</v>
      </c>
      <c r="G147" s="27">
        <f>'web survey'!T145</f>
        <v>0</v>
      </c>
      <c r="H147" s="18" t="e">
        <f>IF(B147="FU-ACInstall",VLOOKUP(VALUE('web survey'!F145),ref!$B$15:$C$17,2,0)&amp;" ("&amp;'web survey'!F145&amp;")",VLOOKUP(VALUE('web survey'!F145),ref!$E$20:$F$21,2,0)&amp;" ("&amp;'web survey'!F145&amp;")")</f>
        <v>#N/A</v>
      </c>
      <c r="I147" s="27">
        <f>'web survey'!U145</f>
        <v>0</v>
      </c>
      <c r="J147" s="18" t="e">
        <f>IF(B147="FU-ACInstall","-",VLOOKUP(VALUE('web survey'!G145),ref!$E$24:$F$26,2,0)&amp;" ("&amp;'web survey'!G145&amp;")")</f>
        <v>#N/A</v>
      </c>
      <c r="K147" s="6" t="str">
        <f>YEAR('web survey'!Z145)&amp;"-"&amp;IF(MONTH('web survey'!Z145)&lt;10,"0"&amp;MONTH('web survey'!Z145),MONTH('web survey'!Z145))&amp;"-"&amp;IF(DAY('web survey'!Z145)&lt;10,"0"&amp;DAY('web survey'!Z145),DAY('web survey'!Z145))&amp;" "&amp;IF(HOUR('web survey'!Z145)&lt;10,"0"&amp;HOUR('web survey'!Z145),HOUR('web survey'!Z145))&amp;":"&amp;IF(MINUTE('web survey'!Z145)&lt;10,"0"&amp;MINUTE('web survey'!Z145),MINUTE('web survey'!Z145))&amp;(":00'")</f>
        <v>1900-01-00 00:00:00'</v>
      </c>
      <c r="L147" s="33"/>
      <c r="N147" s="35">
        <v>144</v>
      </c>
      <c r="O147" s="35">
        <v>0</v>
      </c>
      <c r="P147" s="37">
        <v>0</v>
      </c>
      <c r="Q147" s="39" t="e">
        <v>#N/A</v>
      </c>
      <c r="R147" s="41">
        <v>0</v>
      </c>
      <c r="S147" s="39" t="e">
        <v>#N/A</v>
      </c>
      <c r="T147" s="41">
        <v>0</v>
      </c>
      <c r="U147" s="39" t="e">
        <v>#N/A</v>
      </c>
      <c r="V147" s="41">
        <v>0</v>
      </c>
      <c r="W147" s="39" t="e">
        <v>#N/A</v>
      </c>
      <c r="X147" s="35">
        <v>0</v>
      </c>
    </row>
    <row r="148" spans="1:24" ht="28.2" customHeight="1" x14ac:dyDescent="0.3">
      <c r="A148" s="6">
        <f>IF(B148="","",ROW()-COUNTBLANK($B$4:B148)-3)</f>
        <v>145</v>
      </c>
      <c r="B148" s="6">
        <f>'web survey'!C146</f>
        <v>0</v>
      </c>
      <c r="C148" s="29">
        <f>'web survey'!AA146</f>
        <v>0</v>
      </c>
      <c r="D148" s="18" t="e">
        <f>IF(B148="FU-ACInstall",VLOOKUP(VALUE('web survey'!D146),ref!$B$6:$C$7,2,0)&amp;" ("&amp;'web survey'!D146&amp;")",VLOOKUP(VALUE('web survey'!D146),ref!$E$6:$F$10,2,0)&amp;" ("&amp;'web survey'!D146&amp;")")</f>
        <v>#N/A</v>
      </c>
      <c r="E148" s="27">
        <f>'web survey'!S146</f>
        <v>0</v>
      </c>
      <c r="F148" s="18" t="e">
        <f>IF(B148="FU-ACInstall",VLOOKUP(VALUE('web survey'!E146),ref!$B$10:$C$12,2,0)&amp;" ("&amp;'web survey'!E146&amp;")",VLOOKUP(VALUE('web survey'!E146),ref!$E$13:$F$17,2,0)&amp;" ("&amp;'web survey'!E146&amp;")")</f>
        <v>#N/A</v>
      </c>
      <c r="G148" s="27">
        <f>'web survey'!T146</f>
        <v>0</v>
      </c>
      <c r="H148" s="18" t="e">
        <f>IF(B148="FU-ACInstall",VLOOKUP(VALUE('web survey'!F146),ref!$B$15:$C$17,2,0)&amp;" ("&amp;'web survey'!F146&amp;")",VLOOKUP(VALUE('web survey'!F146),ref!$E$20:$F$21,2,0)&amp;" ("&amp;'web survey'!F146&amp;")")</f>
        <v>#N/A</v>
      </c>
      <c r="I148" s="27">
        <f>'web survey'!U146</f>
        <v>0</v>
      </c>
      <c r="J148" s="18" t="e">
        <f>IF(B148="FU-ACInstall","-",VLOOKUP(VALUE('web survey'!G146),ref!$E$24:$F$26,2,0)&amp;" ("&amp;'web survey'!G146&amp;")")</f>
        <v>#N/A</v>
      </c>
      <c r="K148" s="6" t="str">
        <f>YEAR('web survey'!Z146)&amp;"-"&amp;IF(MONTH('web survey'!Z146)&lt;10,"0"&amp;MONTH('web survey'!Z146),MONTH('web survey'!Z146))&amp;"-"&amp;IF(DAY('web survey'!Z146)&lt;10,"0"&amp;DAY('web survey'!Z146),DAY('web survey'!Z146))&amp;" "&amp;IF(HOUR('web survey'!Z146)&lt;10,"0"&amp;HOUR('web survey'!Z146),HOUR('web survey'!Z146))&amp;":"&amp;IF(MINUTE('web survey'!Z146)&lt;10,"0"&amp;MINUTE('web survey'!Z146),MINUTE('web survey'!Z146))&amp;(":00'")</f>
        <v>1900-01-00 00:00:00'</v>
      </c>
      <c r="L148" s="33"/>
      <c r="N148" s="35">
        <v>145</v>
      </c>
      <c r="O148" s="35">
        <v>0</v>
      </c>
      <c r="P148" s="37">
        <v>0</v>
      </c>
      <c r="Q148" s="39" t="e">
        <v>#N/A</v>
      </c>
      <c r="R148" s="41">
        <v>0</v>
      </c>
      <c r="S148" s="39" t="e">
        <v>#N/A</v>
      </c>
      <c r="T148" s="41">
        <v>0</v>
      </c>
      <c r="U148" s="39" t="e">
        <v>#N/A</v>
      </c>
      <c r="V148" s="41">
        <v>0</v>
      </c>
      <c r="W148" s="39" t="e">
        <v>#N/A</v>
      </c>
      <c r="X148" s="35">
        <v>0</v>
      </c>
    </row>
    <row r="149" spans="1:24" ht="28.2" customHeight="1" x14ac:dyDescent="0.3">
      <c r="A149" s="6">
        <f>IF(B149="","",ROW()-COUNTBLANK($B$4:B149)-3)</f>
        <v>146</v>
      </c>
      <c r="B149" s="6">
        <f>'web survey'!C147</f>
        <v>0</v>
      </c>
      <c r="C149" s="29">
        <f>'web survey'!AA147</f>
        <v>0</v>
      </c>
      <c r="D149" s="18" t="e">
        <f>IF(B149="FU-ACInstall",VLOOKUP(VALUE('web survey'!D147),ref!$B$6:$C$7,2,0)&amp;" ("&amp;'web survey'!D147&amp;")",VLOOKUP(VALUE('web survey'!D147),ref!$E$6:$F$10,2,0)&amp;" ("&amp;'web survey'!D147&amp;")")</f>
        <v>#N/A</v>
      </c>
      <c r="E149" s="27">
        <f>'web survey'!S147</f>
        <v>0</v>
      </c>
      <c r="F149" s="18" t="e">
        <f>IF(B149="FU-ACInstall",VLOOKUP(VALUE('web survey'!E147),ref!$B$10:$C$12,2,0)&amp;" ("&amp;'web survey'!E147&amp;")",VLOOKUP(VALUE('web survey'!E147),ref!$E$13:$F$17,2,0)&amp;" ("&amp;'web survey'!E147&amp;")")</f>
        <v>#N/A</v>
      </c>
      <c r="G149" s="27">
        <f>'web survey'!T147</f>
        <v>0</v>
      </c>
      <c r="H149" s="18" t="e">
        <f>IF(B149="FU-ACInstall",VLOOKUP(VALUE('web survey'!F147),ref!$B$15:$C$17,2,0)&amp;" ("&amp;'web survey'!F147&amp;")",VLOOKUP(VALUE('web survey'!F147),ref!$E$20:$F$21,2,0)&amp;" ("&amp;'web survey'!F147&amp;")")</f>
        <v>#N/A</v>
      </c>
      <c r="I149" s="27">
        <f>'web survey'!U147</f>
        <v>0</v>
      </c>
      <c r="J149" s="18" t="e">
        <f>IF(B149="FU-ACInstall","-",VLOOKUP(VALUE('web survey'!G147),ref!$E$24:$F$26,2,0)&amp;" ("&amp;'web survey'!G147&amp;")")</f>
        <v>#N/A</v>
      </c>
      <c r="K149" s="6" t="str">
        <f>YEAR('web survey'!Z147)&amp;"-"&amp;IF(MONTH('web survey'!Z147)&lt;10,"0"&amp;MONTH('web survey'!Z147),MONTH('web survey'!Z147))&amp;"-"&amp;IF(DAY('web survey'!Z147)&lt;10,"0"&amp;DAY('web survey'!Z147),DAY('web survey'!Z147))&amp;" "&amp;IF(HOUR('web survey'!Z147)&lt;10,"0"&amp;HOUR('web survey'!Z147),HOUR('web survey'!Z147))&amp;":"&amp;IF(MINUTE('web survey'!Z147)&lt;10,"0"&amp;MINUTE('web survey'!Z147),MINUTE('web survey'!Z147))&amp;(":00'")</f>
        <v>1900-01-00 00:00:00'</v>
      </c>
      <c r="L149" s="33"/>
      <c r="N149" s="35">
        <v>146</v>
      </c>
      <c r="O149" s="35">
        <v>0</v>
      </c>
      <c r="P149" s="37">
        <v>0</v>
      </c>
      <c r="Q149" s="39" t="e">
        <v>#N/A</v>
      </c>
      <c r="R149" s="41">
        <v>0</v>
      </c>
      <c r="S149" s="39" t="e">
        <v>#N/A</v>
      </c>
      <c r="T149" s="41">
        <v>0</v>
      </c>
      <c r="U149" s="39" t="e">
        <v>#N/A</v>
      </c>
      <c r="V149" s="41">
        <v>0</v>
      </c>
      <c r="W149" s="39" t="e">
        <v>#N/A</v>
      </c>
      <c r="X149" s="35">
        <v>0</v>
      </c>
    </row>
    <row r="150" spans="1:24" ht="28.2" customHeight="1" x14ac:dyDescent="0.3">
      <c r="A150" s="6">
        <f>IF(B150="","",ROW()-COUNTBLANK($B$4:B150)-3)</f>
        <v>147</v>
      </c>
      <c r="B150" s="6">
        <f>'web survey'!C148</f>
        <v>0</v>
      </c>
      <c r="C150" s="29">
        <f>'web survey'!AA148</f>
        <v>0</v>
      </c>
      <c r="D150" s="18" t="e">
        <f>IF(B150="FU-ACInstall",VLOOKUP(VALUE('web survey'!D148),ref!$B$6:$C$7,2,0)&amp;" ("&amp;'web survey'!D148&amp;")",VLOOKUP(VALUE('web survey'!D148),ref!$E$6:$F$10,2,0)&amp;" ("&amp;'web survey'!D148&amp;")")</f>
        <v>#N/A</v>
      </c>
      <c r="E150" s="27">
        <f>'web survey'!S148</f>
        <v>0</v>
      </c>
      <c r="F150" s="18" t="e">
        <f>IF(B150="FU-ACInstall",VLOOKUP(VALUE('web survey'!E148),ref!$B$10:$C$12,2,0)&amp;" ("&amp;'web survey'!E148&amp;")",VLOOKUP(VALUE('web survey'!E148),ref!$E$13:$F$17,2,0)&amp;" ("&amp;'web survey'!E148&amp;")")</f>
        <v>#N/A</v>
      </c>
      <c r="G150" s="27">
        <f>'web survey'!T148</f>
        <v>0</v>
      </c>
      <c r="H150" s="18" t="e">
        <f>IF(B150="FU-ACInstall",VLOOKUP(VALUE('web survey'!F148),ref!$B$15:$C$17,2,0)&amp;" ("&amp;'web survey'!F148&amp;")",VLOOKUP(VALUE('web survey'!F148),ref!$E$20:$F$21,2,0)&amp;" ("&amp;'web survey'!F148&amp;")")</f>
        <v>#N/A</v>
      </c>
      <c r="I150" s="27">
        <f>'web survey'!U148</f>
        <v>0</v>
      </c>
      <c r="J150" s="18" t="e">
        <f>IF(B150="FU-ACInstall","-",VLOOKUP(VALUE('web survey'!G148),ref!$E$24:$F$26,2,0)&amp;" ("&amp;'web survey'!G148&amp;")")</f>
        <v>#N/A</v>
      </c>
      <c r="K150" s="6" t="str">
        <f>YEAR('web survey'!Z148)&amp;"-"&amp;IF(MONTH('web survey'!Z148)&lt;10,"0"&amp;MONTH('web survey'!Z148),MONTH('web survey'!Z148))&amp;"-"&amp;IF(DAY('web survey'!Z148)&lt;10,"0"&amp;DAY('web survey'!Z148),DAY('web survey'!Z148))&amp;" "&amp;IF(HOUR('web survey'!Z148)&lt;10,"0"&amp;HOUR('web survey'!Z148),HOUR('web survey'!Z148))&amp;":"&amp;IF(MINUTE('web survey'!Z148)&lt;10,"0"&amp;MINUTE('web survey'!Z148),MINUTE('web survey'!Z148))&amp;(":00'")</f>
        <v>1900-01-00 00:00:00'</v>
      </c>
      <c r="L150" s="33"/>
      <c r="N150" s="35">
        <v>147</v>
      </c>
      <c r="O150" s="35">
        <v>0</v>
      </c>
      <c r="P150" s="37">
        <v>0</v>
      </c>
      <c r="Q150" s="39" t="e">
        <v>#N/A</v>
      </c>
      <c r="R150" s="41">
        <v>0</v>
      </c>
      <c r="S150" s="39" t="e">
        <v>#N/A</v>
      </c>
      <c r="T150" s="41">
        <v>0</v>
      </c>
      <c r="U150" s="39" t="e">
        <v>#N/A</v>
      </c>
      <c r="V150" s="41">
        <v>0</v>
      </c>
      <c r="W150" s="39" t="e">
        <v>#N/A</v>
      </c>
      <c r="X150" s="35">
        <v>0</v>
      </c>
    </row>
    <row r="151" spans="1:24" ht="28.2" customHeight="1" x14ac:dyDescent="0.3">
      <c r="A151" s="6">
        <f>IF(B151="","",ROW()-COUNTBLANK($B$4:B151)-3)</f>
        <v>148</v>
      </c>
      <c r="B151" s="6">
        <f>'web survey'!C149</f>
        <v>0</v>
      </c>
      <c r="C151" s="29">
        <f>'web survey'!AA149</f>
        <v>0</v>
      </c>
      <c r="D151" s="18" t="e">
        <f>IF(B151="FU-ACInstall",VLOOKUP(VALUE('web survey'!D149),ref!$B$6:$C$7,2,0)&amp;" ("&amp;'web survey'!D149&amp;")",VLOOKUP(VALUE('web survey'!D149),ref!$E$6:$F$10,2,0)&amp;" ("&amp;'web survey'!D149&amp;")")</f>
        <v>#N/A</v>
      </c>
      <c r="E151" s="27">
        <f>'web survey'!S149</f>
        <v>0</v>
      </c>
      <c r="F151" s="18" t="e">
        <f>IF(B151="FU-ACInstall",VLOOKUP(VALUE('web survey'!E149),ref!$B$10:$C$12,2,0)&amp;" ("&amp;'web survey'!E149&amp;")",VLOOKUP(VALUE('web survey'!E149),ref!$E$13:$F$17,2,0)&amp;" ("&amp;'web survey'!E149&amp;")")</f>
        <v>#N/A</v>
      </c>
      <c r="G151" s="27">
        <f>'web survey'!T149</f>
        <v>0</v>
      </c>
      <c r="H151" s="18" t="e">
        <f>IF(B151="FU-ACInstall",VLOOKUP(VALUE('web survey'!F149),ref!$B$15:$C$17,2,0)&amp;" ("&amp;'web survey'!F149&amp;")",VLOOKUP(VALUE('web survey'!F149),ref!$E$20:$F$21,2,0)&amp;" ("&amp;'web survey'!F149&amp;")")</f>
        <v>#N/A</v>
      </c>
      <c r="I151" s="27">
        <f>'web survey'!U149</f>
        <v>0</v>
      </c>
      <c r="J151" s="18" t="e">
        <f>IF(B151="FU-ACInstall","-",VLOOKUP(VALUE('web survey'!G149),ref!$E$24:$F$26,2,0)&amp;" ("&amp;'web survey'!G149&amp;")")</f>
        <v>#N/A</v>
      </c>
      <c r="K151" s="6" t="str">
        <f>YEAR('web survey'!Z149)&amp;"-"&amp;IF(MONTH('web survey'!Z149)&lt;10,"0"&amp;MONTH('web survey'!Z149),MONTH('web survey'!Z149))&amp;"-"&amp;IF(DAY('web survey'!Z149)&lt;10,"0"&amp;DAY('web survey'!Z149),DAY('web survey'!Z149))&amp;" "&amp;IF(HOUR('web survey'!Z149)&lt;10,"0"&amp;HOUR('web survey'!Z149),HOUR('web survey'!Z149))&amp;":"&amp;IF(MINUTE('web survey'!Z149)&lt;10,"0"&amp;MINUTE('web survey'!Z149),MINUTE('web survey'!Z149))&amp;(":00'")</f>
        <v>1900-01-00 00:00:00'</v>
      </c>
      <c r="L151" s="33"/>
      <c r="N151" s="35">
        <v>148</v>
      </c>
      <c r="O151" s="35">
        <v>0</v>
      </c>
      <c r="P151" s="37">
        <v>0</v>
      </c>
      <c r="Q151" s="39" t="e">
        <v>#N/A</v>
      </c>
      <c r="R151" s="41">
        <v>0</v>
      </c>
      <c r="S151" s="39" t="e">
        <v>#N/A</v>
      </c>
      <c r="T151" s="41">
        <v>0</v>
      </c>
      <c r="U151" s="39" t="e">
        <v>#N/A</v>
      </c>
      <c r="V151" s="41">
        <v>0</v>
      </c>
      <c r="W151" s="39" t="e">
        <v>#N/A</v>
      </c>
      <c r="X151" s="35">
        <v>0</v>
      </c>
    </row>
    <row r="152" spans="1:24" ht="28.2" customHeight="1" x14ac:dyDescent="0.3">
      <c r="A152" s="6">
        <f>IF(B152="","",ROW()-COUNTBLANK($B$4:B152)-3)</f>
        <v>149</v>
      </c>
      <c r="B152" s="6">
        <f>'web survey'!C150</f>
        <v>0</v>
      </c>
      <c r="C152" s="29">
        <f>'web survey'!AA150</f>
        <v>0</v>
      </c>
      <c r="D152" s="18" t="e">
        <f>IF(B152="FU-ACInstall",VLOOKUP(VALUE('web survey'!D150),ref!$B$6:$C$7,2,0)&amp;" ("&amp;'web survey'!D150&amp;")",VLOOKUP(VALUE('web survey'!D150),ref!$E$6:$F$10,2,0)&amp;" ("&amp;'web survey'!D150&amp;")")</f>
        <v>#N/A</v>
      </c>
      <c r="E152" s="27">
        <f>'web survey'!S150</f>
        <v>0</v>
      </c>
      <c r="F152" s="18" t="e">
        <f>IF(B152="FU-ACInstall",VLOOKUP(VALUE('web survey'!E150),ref!$B$10:$C$12,2,0)&amp;" ("&amp;'web survey'!E150&amp;")",VLOOKUP(VALUE('web survey'!E150),ref!$E$13:$F$17,2,0)&amp;" ("&amp;'web survey'!E150&amp;")")</f>
        <v>#N/A</v>
      </c>
      <c r="G152" s="27">
        <f>'web survey'!T150</f>
        <v>0</v>
      </c>
      <c r="H152" s="18" t="e">
        <f>IF(B152="FU-ACInstall",VLOOKUP(VALUE('web survey'!F150),ref!$B$15:$C$17,2,0)&amp;" ("&amp;'web survey'!F150&amp;")",VLOOKUP(VALUE('web survey'!F150),ref!$E$20:$F$21,2,0)&amp;" ("&amp;'web survey'!F150&amp;")")</f>
        <v>#N/A</v>
      </c>
      <c r="I152" s="27">
        <f>'web survey'!U150</f>
        <v>0</v>
      </c>
      <c r="J152" s="18" t="e">
        <f>IF(B152="FU-ACInstall","-",VLOOKUP(VALUE('web survey'!G150),ref!$E$24:$F$26,2,0)&amp;" ("&amp;'web survey'!G150&amp;")")</f>
        <v>#N/A</v>
      </c>
      <c r="K152" s="6" t="str">
        <f>YEAR('web survey'!Z150)&amp;"-"&amp;IF(MONTH('web survey'!Z150)&lt;10,"0"&amp;MONTH('web survey'!Z150),MONTH('web survey'!Z150))&amp;"-"&amp;IF(DAY('web survey'!Z150)&lt;10,"0"&amp;DAY('web survey'!Z150),DAY('web survey'!Z150))&amp;" "&amp;IF(HOUR('web survey'!Z150)&lt;10,"0"&amp;HOUR('web survey'!Z150),HOUR('web survey'!Z150))&amp;":"&amp;IF(MINUTE('web survey'!Z150)&lt;10,"0"&amp;MINUTE('web survey'!Z150),MINUTE('web survey'!Z150))&amp;(":00'")</f>
        <v>1900-01-00 00:00:00'</v>
      </c>
      <c r="L152" s="33"/>
      <c r="N152" s="35">
        <v>149</v>
      </c>
      <c r="O152" s="35">
        <v>0</v>
      </c>
      <c r="P152" s="37">
        <v>0</v>
      </c>
      <c r="Q152" s="39" t="e">
        <v>#N/A</v>
      </c>
      <c r="R152" s="41">
        <v>0</v>
      </c>
      <c r="S152" s="39" t="e">
        <v>#N/A</v>
      </c>
      <c r="T152" s="41">
        <v>0</v>
      </c>
      <c r="U152" s="39" t="e">
        <v>#N/A</v>
      </c>
      <c r="V152" s="41">
        <v>0</v>
      </c>
      <c r="W152" s="39" t="e">
        <v>#N/A</v>
      </c>
      <c r="X152" s="35">
        <v>0</v>
      </c>
    </row>
    <row r="153" spans="1:24" ht="28.2" customHeight="1" x14ac:dyDescent="0.3">
      <c r="A153" s="6">
        <f>IF(B153="","",ROW()-COUNTBLANK($B$4:B153)-3)</f>
        <v>150</v>
      </c>
      <c r="B153" s="6">
        <f>'web survey'!C151</f>
        <v>0</v>
      </c>
      <c r="C153" s="29">
        <f>'web survey'!AA151</f>
        <v>0</v>
      </c>
      <c r="D153" s="18" t="e">
        <f>IF(B153="FU-ACInstall",VLOOKUP(VALUE('web survey'!D151),ref!$B$6:$C$7,2,0)&amp;" ("&amp;'web survey'!D151&amp;")",VLOOKUP(VALUE('web survey'!D151),ref!$E$6:$F$10,2,0)&amp;" ("&amp;'web survey'!D151&amp;")")</f>
        <v>#N/A</v>
      </c>
      <c r="E153" s="27">
        <f>'web survey'!S151</f>
        <v>0</v>
      </c>
      <c r="F153" s="18" t="e">
        <f>IF(B153="FU-ACInstall",VLOOKUP(VALUE('web survey'!E151),ref!$B$10:$C$12,2,0)&amp;" ("&amp;'web survey'!E151&amp;")",VLOOKUP(VALUE('web survey'!E151),ref!$E$13:$F$17,2,0)&amp;" ("&amp;'web survey'!E151&amp;")")</f>
        <v>#N/A</v>
      </c>
      <c r="G153" s="27">
        <f>'web survey'!T151</f>
        <v>0</v>
      </c>
      <c r="H153" s="18" t="e">
        <f>IF(B153="FU-ACInstall",VLOOKUP(VALUE('web survey'!F151),ref!$B$15:$C$17,2,0)&amp;" ("&amp;'web survey'!F151&amp;")",VLOOKUP(VALUE('web survey'!F151),ref!$E$20:$F$21,2,0)&amp;" ("&amp;'web survey'!F151&amp;")")</f>
        <v>#N/A</v>
      </c>
      <c r="I153" s="27">
        <f>'web survey'!U151</f>
        <v>0</v>
      </c>
      <c r="J153" s="18" t="e">
        <f>IF(B153="FU-ACInstall","-",VLOOKUP(VALUE('web survey'!G151),ref!$E$24:$F$26,2,0)&amp;" ("&amp;'web survey'!G151&amp;")")</f>
        <v>#N/A</v>
      </c>
      <c r="K153" s="6" t="str">
        <f>YEAR('web survey'!Z151)&amp;"-"&amp;IF(MONTH('web survey'!Z151)&lt;10,"0"&amp;MONTH('web survey'!Z151),MONTH('web survey'!Z151))&amp;"-"&amp;IF(DAY('web survey'!Z151)&lt;10,"0"&amp;DAY('web survey'!Z151),DAY('web survey'!Z151))&amp;" "&amp;IF(HOUR('web survey'!Z151)&lt;10,"0"&amp;HOUR('web survey'!Z151),HOUR('web survey'!Z151))&amp;":"&amp;IF(MINUTE('web survey'!Z151)&lt;10,"0"&amp;MINUTE('web survey'!Z151),MINUTE('web survey'!Z151))&amp;(":00'")</f>
        <v>1900-01-00 00:00:00'</v>
      </c>
      <c r="L153" s="33"/>
      <c r="N153" s="35">
        <v>150</v>
      </c>
      <c r="O153" s="35">
        <v>0</v>
      </c>
      <c r="P153" s="37">
        <v>0</v>
      </c>
      <c r="Q153" s="39" t="e">
        <v>#N/A</v>
      </c>
      <c r="R153" s="41">
        <v>0</v>
      </c>
      <c r="S153" s="39" t="e">
        <v>#N/A</v>
      </c>
      <c r="T153" s="41">
        <v>0</v>
      </c>
      <c r="U153" s="39" t="e">
        <v>#N/A</v>
      </c>
      <c r="V153" s="41">
        <v>0</v>
      </c>
      <c r="W153" s="39" t="e">
        <v>#N/A</v>
      </c>
      <c r="X153" s="35">
        <v>0</v>
      </c>
    </row>
    <row r="154" spans="1:24" ht="28.2" customHeight="1" x14ac:dyDescent="0.3">
      <c r="A154" s="6">
        <f>IF(B154="","",ROW()-COUNTBLANK($B$4:B154)-3)</f>
        <v>151</v>
      </c>
      <c r="B154" s="6">
        <f>'web survey'!C152</f>
        <v>0</v>
      </c>
      <c r="C154" s="29">
        <f>'web survey'!AA152</f>
        <v>0</v>
      </c>
      <c r="D154" s="18" t="e">
        <f>IF(B154="FU-ACInstall",VLOOKUP(VALUE('web survey'!D152),ref!$B$6:$C$7,2,0)&amp;" ("&amp;'web survey'!D152&amp;")",VLOOKUP(VALUE('web survey'!D152),ref!$E$6:$F$10,2,0)&amp;" ("&amp;'web survey'!D152&amp;")")</f>
        <v>#N/A</v>
      </c>
      <c r="E154" s="27">
        <f>'web survey'!S152</f>
        <v>0</v>
      </c>
      <c r="F154" s="18" t="e">
        <f>IF(B154="FU-ACInstall",VLOOKUP(VALUE('web survey'!E152),ref!$B$10:$C$12,2,0)&amp;" ("&amp;'web survey'!E152&amp;")",VLOOKUP(VALUE('web survey'!E152),ref!$E$13:$F$17,2,0)&amp;" ("&amp;'web survey'!E152&amp;")")</f>
        <v>#N/A</v>
      </c>
      <c r="G154" s="27">
        <f>'web survey'!T152</f>
        <v>0</v>
      </c>
      <c r="H154" s="18" t="e">
        <f>IF(B154="FU-ACInstall",VLOOKUP(VALUE('web survey'!F152),ref!$B$15:$C$17,2,0)&amp;" ("&amp;'web survey'!F152&amp;")",VLOOKUP(VALUE('web survey'!F152),ref!$E$20:$F$21,2,0)&amp;" ("&amp;'web survey'!F152&amp;")")</f>
        <v>#N/A</v>
      </c>
      <c r="I154" s="27">
        <f>'web survey'!U152</f>
        <v>0</v>
      </c>
      <c r="J154" s="18" t="e">
        <f>IF(B154="FU-ACInstall","-",VLOOKUP(VALUE('web survey'!G152),ref!$E$24:$F$26,2,0)&amp;" ("&amp;'web survey'!G152&amp;")")</f>
        <v>#N/A</v>
      </c>
      <c r="K154" s="6" t="str">
        <f>YEAR('web survey'!Z152)&amp;"-"&amp;IF(MONTH('web survey'!Z152)&lt;10,"0"&amp;MONTH('web survey'!Z152),MONTH('web survey'!Z152))&amp;"-"&amp;IF(DAY('web survey'!Z152)&lt;10,"0"&amp;DAY('web survey'!Z152),DAY('web survey'!Z152))&amp;" "&amp;IF(HOUR('web survey'!Z152)&lt;10,"0"&amp;HOUR('web survey'!Z152),HOUR('web survey'!Z152))&amp;":"&amp;IF(MINUTE('web survey'!Z152)&lt;10,"0"&amp;MINUTE('web survey'!Z152),MINUTE('web survey'!Z152))&amp;(":00'")</f>
        <v>1900-01-00 00:00:00'</v>
      </c>
      <c r="L154" s="33"/>
      <c r="N154" s="35">
        <v>151</v>
      </c>
      <c r="O154" s="35">
        <v>0</v>
      </c>
      <c r="P154" s="37">
        <v>0</v>
      </c>
      <c r="Q154" s="39" t="e">
        <v>#N/A</v>
      </c>
      <c r="R154" s="41">
        <v>0</v>
      </c>
      <c r="S154" s="39" t="e">
        <v>#N/A</v>
      </c>
      <c r="T154" s="41">
        <v>0</v>
      </c>
      <c r="U154" s="39" t="e">
        <v>#N/A</v>
      </c>
      <c r="V154" s="41">
        <v>0</v>
      </c>
      <c r="W154" s="39" t="e">
        <v>#N/A</v>
      </c>
      <c r="X154" s="35">
        <v>0</v>
      </c>
    </row>
    <row r="155" spans="1:24" ht="28.2" customHeight="1" x14ac:dyDescent="0.3">
      <c r="A155" s="6">
        <f>IF(B155="","",ROW()-COUNTBLANK($B$4:B155)-3)</f>
        <v>152</v>
      </c>
      <c r="B155" s="6">
        <f>'web survey'!C153</f>
        <v>0</v>
      </c>
      <c r="C155" s="29">
        <f>'web survey'!AA153</f>
        <v>0</v>
      </c>
      <c r="D155" s="18" t="e">
        <f>IF(B155="FU-ACInstall",VLOOKUP(VALUE('web survey'!D153),ref!$B$6:$C$7,2,0)&amp;" ("&amp;'web survey'!D153&amp;")",VLOOKUP(VALUE('web survey'!D153),ref!$E$6:$F$10,2,0)&amp;" ("&amp;'web survey'!D153&amp;")")</f>
        <v>#N/A</v>
      </c>
      <c r="E155" s="27">
        <f>'web survey'!S153</f>
        <v>0</v>
      </c>
      <c r="F155" s="18" t="e">
        <f>IF(B155="FU-ACInstall",VLOOKUP(VALUE('web survey'!E153),ref!$B$10:$C$12,2,0)&amp;" ("&amp;'web survey'!E153&amp;")",VLOOKUP(VALUE('web survey'!E153),ref!$E$13:$F$17,2,0)&amp;" ("&amp;'web survey'!E153&amp;")")</f>
        <v>#N/A</v>
      </c>
      <c r="G155" s="27">
        <f>'web survey'!T153</f>
        <v>0</v>
      </c>
      <c r="H155" s="18" t="e">
        <f>IF(B155="FU-ACInstall",VLOOKUP(VALUE('web survey'!F153),ref!$B$15:$C$17,2,0)&amp;" ("&amp;'web survey'!F153&amp;")",VLOOKUP(VALUE('web survey'!F153),ref!$E$20:$F$21,2,0)&amp;" ("&amp;'web survey'!F153&amp;")")</f>
        <v>#N/A</v>
      </c>
      <c r="I155" s="27">
        <f>'web survey'!U153</f>
        <v>0</v>
      </c>
      <c r="J155" s="18" t="e">
        <f>IF(B155="FU-ACInstall","-",VLOOKUP(VALUE('web survey'!G153),ref!$E$24:$F$26,2,0)&amp;" ("&amp;'web survey'!G153&amp;")")</f>
        <v>#N/A</v>
      </c>
      <c r="K155" s="6" t="str">
        <f>YEAR('web survey'!Z153)&amp;"-"&amp;IF(MONTH('web survey'!Z153)&lt;10,"0"&amp;MONTH('web survey'!Z153),MONTH('web survey'!Z153))&amp;"-"&amp;IF(DAY('web survey'!Z153)&lt;10,"0"&amp;DAY('web survey'!Z153),DAY('web survey'!Z153))&amp;" "&amp;IF(HOUR('web survey'!Z153)&lt;10,"0"&amp;HOUR('web survey'!Z153),HOUR('web survey'!Z153))&amp;":"&amp;IF(MINUTE('web survey'!Z153)&lt;10,"0"&amp;MINUTE('web survey'!Z153),MINUTE('web survey'!Z153))&amp;(":00'")</f>
        <v>1900-01-00 00:00:00'</v>
      </c>
      <c r="L155" s="33"/>
      <c r="N155" s="35">
        <v>152</v>
      </c>
      <c r="O155" s="35">
        <v>0</v>
      </c>
      <c r="P155" s="37">
        <v>0</v>
      </c>
      <c r="Q155" s="39" t="e">
        <v>#N/A</v>
      </c>
      <c r="R155" s="41">
        <v>0</v>
      </c>
      <c r="S155" s="39" t="e">
        <v>#N/A</v>
      </c>
      <c r="T155" s="41">
        <v>0</v>
      </c>
      <c r="U155" s="39" t="e">
        <v>#N/A</v>
      </c>
      <c r="V155" s="41">
        <v>0</v>
      </c>
      <c r="W155" s="39" t="e">
        <v>#N/A</v>
      </c>
      <c r="X155" s="35">
        <v>0</v>
      </c>
    </row>
    <row r="156" spans="1:24" ht="28.2" customHeight="1" x14ac:dyDescent="0.3">
      <c r="A156" s="6">
        <f>IF(B156="","",ROW()-COUNTBLANK($B$4:B156)-3)</f>
        <v>153</v>
      </c>
      <c r="B156" s="6">
        <f>'web survey'!C154</f>
        <v>0</v>
      </c>
      <c r="C156" s="29">
        <f>'web survey'!AA154</f>
        <v>0</v>
      </c>
      <c r="D156" s="18" t="e">
        <f>IF(B156="FU-ACInstall",VLOOKUP(VALUE('web survey'!D154),ref!$B$6:$C$7,2,0)&amp;" ("&amp;'web survey'!D154&amp;")",VLOOKUP(VALUE('web survey'!D154),ref!$E$6:$F$10,2,0)&amp;" ("&amp;'web survey'!D154&amp;")")</f>
        <v>#N/A</v>
      </c>
      <c r="E156" s="27">
        <f>'web survey'!S154</f>
        <v>0</v>
      </c>
      <c r="F156" s="18" t="e">
        <f>IF(B156="FU-ACInstall",VLOOKUP(VALUE('web survey'!E154),ref!$B$10:$C$12,2,0)&amp;" ("&amp;'web survey'!E154&amp;")",VLOOKUP(VALUE('web survey'!E154),ref!$E$13:$F$17,2,0)&amp;" ("&amp;'web survey'!E154&amp;")")</f>
        <v>#N/A</v>
      </c>
      <c r="G156" s="27">
        <f>'web survey'!T154</f>
        <v>0</v>
      </c>
      <c r="H156" s="18" t="e">
        <f>IF(B156="FU-ACInstall",VLOOKUP(VALUE('web survey'!F154),ref!$B$15:$C$17,2,0)&amp;" ("&amp;'web survey'!F154&amp;")",VLOOKUP(VALUE('web survey'!F154),ref!$E$20:$F$21,2,0)&amp;" ("&amp;'web survey'!F154&amp;")")</f>
        <v>#N/A</v>
      </c>
      <c r="I156" s="27">
        <f>'web survey'!U154</f>
        <v>0</v>
      </c>
      <c r="J156" s="18" t="e">
        <f>IF(B156="FU-ACInstall","-",VLOOKUP(VALUE('web survey'!G154),ref!$E$24:$F$26,2,0)&amp;" ("&amp;'web survey'!G154&amp;")")</f>
        <v>#N/A</v>
      </c>
      <c r="K156" s="6" t="str">
        <f>YEAR('web survey'!Z154)&amp;"-"&amp;IF(MONTH('web survey'!Z154)&lt;10,"0"&amp;MONTH('web survey'!Z154),MONTH('web survey'!Z154))&amp;"-"&amp;IF(DAY('web survey'!Z154)&lt;10,"0"&amp;DAY('web survey'!Z154),DAY('web survey'!Z154))&amp;" "&amp;IF(HOUR('web survey'!Z154)&lt;10,"0"&amp;HOUR('web survey'!Z154),HOUR('web survey'!Z154))&amp;":"&amp;IF(MINUTE('web survey'!Z154)&lt;10,"0"&amp;MINUTE('web survey'!Z154),MINUTE('web survey'!Z154))&amp;(":00'")</f>
        <v>1900-01-00 00:00:00'</v>
      </c>
      <c r="L156" s="33"/>
      <c r="N156" s="35">
        <v>153</v>
      </c>
      <c r="O156" s="35">
        <v>0</v>
      </c>
      <c r="P156" s="37">
        <v>0</v>
      </c>
      <c r="Q156" s="39" t="e">
        <v>#N/A</v>
      </c>
      <c r="R156" s="41">
        <v>0</v>
      </c>
      <c r="S156" s="39" t="e">
        <v>#N/A</v>
      </c>
      <c r="T156" s="41">
        <v>0</v>
      </c>
      <c r="U156" s="39" t="e">
        <v>#N/A</v>
      </c>
      <c r="V156" s="41">
        <v>0</v>
      </c>
      <c r="W156" s="39" t="e">
        <v>#N/A</v>
      </c>
      <c r="X156" s="35">
        <v>0</v>
      </c>
    </row>
    <row r="157" spans="1:24" ht="28.2" customHeight="1" x14ac:dyDescent="0.3">
      <c r="A157" s="6">
        <f>IF(B157="","",ROW()-COUNTBLANK($B$4:B157)-3)</f>
        <v>154</v>
      </c>
      <c r="B157" s="6">
        <f>'web survey'!C155</f>
        <v>0</v>
      </c>
      <c r="C157" s="29">
        <f>'web survey'!AA155</f>
        <v>0</v>
      </c>
      <c r="D157" s="18" t="e">
        <f>IF(B157="FU-ACInstall",VLOOKUP(VALUE('web survey'!D155),ref!$B$6:$C$7,2,0)&amp;" ("&amp;'web survey'!D155&amp;")",VLOOKUP(VALUE('web survey'!D155),ref!$E$6:$F$10,2,0)&amp;" ("&amp;'web survey'!D155&amp;")")</f>
        <v>#N/A</v>
      </c>
      <c r="E157" s="27">
        <f>'web survey'!S155</f>
        <v>0</v>
      </c>
      <c r="F157" s="18" t="e">
        <f>IF(B157="FU-ACInstall",VLOOKUP(VALUE('web survey'!E155),ref!$B$10:$C$12,2,0)&amp;" ("&amp;'web survey'!E155&amp;")",VLOOKUP(VALUE('web survey'!E155),ref!$E$13:$F$17,2,0)&amp;" ("&amp;'web survey'!E155&amp;")")</f>
        <v>#N/A</v>
      </c>
      <c r="G157" s="27">
        <f>'web survey'!T155</f>
        <v>0</v>
      </c>
      <c r="H157" s="18" t="e">
        <f>IF(B157="FU-ACInstall",VLOOKUP(VALUE('web survey'!F155),ref!$B$15:$C$17,2,0)&amp;" ("&amp;'web survey'!F155&amp;")",VLOOKUP(VALUE('web survey'!F155),ref!$E$20:$F$21,2,0)&amp;" ("&amp;'web survey'!F155&amp;")")</f>
        <v>#N/A</v>
      </c>
      <c r="I157" s="27">
        <f>'web survey'!U155</f>
        <v>0</v>
      </c>
      <c r="J157" s="18" t="e">
        <f>IF(B157="FU-ACInstall","-",VLOOKUP(VALUE('web survey'!G155),ref!$E$24:$F$26,2,0)&amp;" ("&amp;'web survey'!G155&amp;")")</f>
        <v>#N/A</v>
      </c>
      <c r="K157" s="6" t="str">
        <f>YEAR('web survey'!Z155)&amp;"-"&amp;IF(MONTH('web survey'!Z155)&lt;10,"0"&amp;MONTH('web survey'!Z155),MONTH('web survey'!Z155))&amp;"-"&amp;IF(DAY('web survey'!Z155)&lt;10,"0"&amp;DAY('web survey'!Z155),DAY('web survey'!Z155))&amp;" "&amp;IF(HOUR('web survey'!Z155)&lt;10,"0"&amp;HOUR('web survey'!Z155),HOUR('web survey'!Z155))&amp;":"&amp;IF(MINUTE('web survey'!Z155)&lt;10,"0"&amp;MINUTE('web survey'!Z155),MINUTE('web survey'!Z155))&amp;(":00'")</f>
        <v>1900-01-00 00:00:00'</v>
      </c>
      <c r="L157" s="33"/>
      <c r="N157" s="35">
        <v>154</v>
      </c>
      <c r="O157" s="35">
        <v>0</v>
      </c>
      <c r="P157" s="37">
        <v>0</v>
      </c>
      <c r="Q157" s="39" t="e">
        <v>#N/A</v>
      </c>
      <c r="R157" s="41">
        <v>0</v>
      </c>
      <c r="S157" s="39" t="e">
        <v>#N/A</v>
      </c>
      <c r="T157" s="41">
        <v>0</v>
      </c>
      <c r="U157" s="39" t="e">
        <v>#N/A</v>
      </c>
      <c r="V157" s="41">
        <v>0</v>
      </c>
      <c r="W157" s="39" t="e">
        <v>#N/A</v>
      </c>
      <c r="X157" s="35">
        <v>0</v>
      </c>
    </row>
    <row r="158" spans="1:24" ht="28.2" customHeight="1" x14ac:dyDescent="0.3">
      <c r="A158" s="6">
        <f>IF(B158="","",ROW()-COUNTBLANK($B$4:B158)-3)</f>
        <v>155</v>
      </c>
      <c r="B158" s="6">
        <f>'web survey'!C156</f>
        <v>0</v>
      </c>
      <c r="C158" s="29">
        <f>'web survey'!AA156</f>
        <v>0</v>
      </c>
      <c r="D158" s="18" t="e">
        <f>IF(B158="FU-ACInstall",VLOOKUP(VALUE('web survey'!D156),ref!$B$6:$C$7,2,0)&amp;" ("&amp;'web survey'!D156&amp;")",VLOOKUP(VALUE('web survey'!D156),ref!$E$6:$F$10,2,0)&amp;" ("&amp;'web survey'!D156&amp;")")</f>
        <v>#N/A</v>
      </c>
      <c r="E158" s="27">
        <f>'web survey'!S156</f>
        <v>0</v>
      </c>
      <c r="F158" s="18" t="e">
        <f>IF(B158="FU-ACInstall",VLOOKUP(VALUE('web survey'!E156),ref!$B$10:$C$12,2,0)&amp;" ("&amp;'web survey'!E156&amp;")",VLOOKUP(VALUE('web survey'!E156),ref!$E$13:$F$17,2,0)&amp;" ("&amp;'web survey'!E156&amp;")")</f>
        <v>#N/A</v>
      </c>
      <c r="G158" s="27">
        <f>'web survey'!T156</f>
        <v>0</v>
      </c>
      <c r="H158" s="18" t="e">
        <f>IF(B158="FU-ACInstall",VLOOKUP(VALUE('web survey'!F156),ref!$B$15:$C$17,2,0)&amp;" ("&amp;'web survey'!F156&amp;")",VLOOKUP(VALUE('web survey'!F156),ref!$E$20:$F$21,2,0)&amp;" ("&amp;'web survey'!F156&amp;")")</f>
        <v>#N/A</v>
      </c>
      <c r="I158" s="27">
        <f>'web survey'!U156</f>
        <v>0</v>
      </c>
      <c r="J158" s="18" t="e">
        <f>IF(B158="FU-ACInstall","-",VLOOKUP(VALUE('web survey'!G156),ref!$E$24:$F$26,2,0)&amp;" ("&amp;'web survey'!G156&amp;")")</f>
        <v>#N/A</v>
      </c>
      <c r="K158" s="6" t="str">
        <f>YEAR('web survey'!Z156)&amp;"-"&amp;IF(MONTH('web survey'!Z156)&lt;10,"0"&amp;MONTH('web survey'!Z156),MONTH('web survey'!Z156))&amp;"-"&amp;IF(DAY('web survey'!Z156)&lt;10,"0"&amp;DAY('web survey'!Z156),DAY('web survey'!Z156))&amp;" "&amp;IF(HOUR('web survey'!Z156)&lt;10,"0"&amp;HOUR('web survey'!Z156),HOUR('web survey'!Z156))&amp;":"&amp;IF(MINUTE('web survey'!Z156)&lt;10,"0"&amp;MINUTE('web survey'!Z156),MINUTE('web survey'!Z156))&amp;(":00'")</f>
        <v>1900-01-00 00:00:00'</v>
      </c>
      <c r="L158" s="33"/>
      <c r="N158" s="35">
        <v>155</v>
      </c>
      <c r="O158" s="35">
        <v>0</v>
      </c>
      <c r="P158" s="37">
        <v>0</v>
      </c>
      <c r="Q158" s="39" t="e">
        <v>#N/A</v>
      </c>
      <c r="R158" s="41">
        <v>0</v>
      </c>
      <c r="S158" s="39" t="e">
        <v>#N/A</v>
      </c>
      <c r="T158" s="41">
        <v>0</v>
      </c>
      <c r="U158" s="39" t="e">
        <v>#N/A</v>
      </c>
      <c r="V158" s="41">
        <v>0</v>
      </c>
      <c r="W158" s="39" t="e">
        <v>#N/A</v>
      </c>
      <c r="X158" s="35">
        <v>0</v>
      </c>
    </row>
    <row r="159" spans="1:24" ht="28.2" customHeight="1" x14ac:dyDescent="0.3">
      <c r="A159" s="6">
        <f>IF(B159="","",ROW()-COUNTBLANK($B$4:B159)-3)</f>
        <v>156</v>
      </c>
      <c r="B159" s="6">
        <f>'web survey'!C157</f>
        <v>0</v>
      </c>
      <c r="C159" s="29">
        <f>'web survey'!AA157</f>
        <v>0</v>
      </c>
      <c r="D159" s="18" t="e">
        <f>IF(B159="FU-ACInstall",VLOOKUP(VALUE('web survey'!D157),ref!$B$6:$C$7,2,0)&amp;" ("&amp;'web survey'!D157&amp;")",VLOOKUP(VALUE('web survey'!D157),ref!$E$6:$F$10,2,0)&amp;" ("&amp;'web survey'!D157&amp;")")</f>
        <v>#N/A</v>
      </c>
      <c r="E159" s="27">
        <f>'web survey'!S157</f>
        <v>0</v>
      </c>
      <c r="F159" s="18" t="e">
        <f>IF(B159="FU-ACInstall",VLOOKUP(VALUE('web survey'!E157),ref!$B$10:$C$12,2,0)&amp;" ("&amp;'web survey'!E157&amp;")",VLOOKUP(VALUE('web survey'!E157),ref!$E$13:$F$17,2,0)&amp;" ("&amp;'web survey'!E157&amp;")")</f>
        <v>#N/A</v>
      </c>
      <c r="G159" s="27">
        <f>'web survey'!T157</f>
        <v>0</v>
      </c>
      <c r="H159" s="18" t="e">
        <f>IF(B159="FU-ACInstall",VLOOKUP(VALUE('web survey'!F157),ref!$B$15:$C$17,2,0)&amp;" ("&amp;'web survey'!F157&amp;")",VLOOKUP(VALUE('web survey'!F157),ref!$E$20:$F$21,2,0)&amp;" ("&amp;'web survey'!F157&amp;")")</f>
        <v>#N/A</v>
      </c>
      <c r="I159" s="27">
        <f>'web survey'!U157</f>
        <v>0</v>
      </c>
      <c r="J159" s="18" t="e">
        <f>IF(B159="FU-ACInstall","-",VLOOKUP(VALUE('web survey'!G157),ref!$E$24:$F$26,2,0)&amp;" ("&amp;'web survey'!G157&amp;")")</f>
        <v>#N/A</v>
      </c>
      <c r="K159" s="6" t="str">
        <f>YEAR('web survey'!Z157)&amp;"-"&amp;IF(MONTH('web survey'!Z157)&lt;10,"0"&amp;MONTH('web survey'!Z157),MONTH('web survey'!Z157))&amp;"-"&amp;IF(DAY('web survey'!Z157)&lt;10,"0"&amp;DAY('web survey'!Z157),DAY('web survey'!Z157))&amp;" "&amp;IF(HOUR('web survey'!Z157)&lt;10,"0"&amp;HOUR('web survey'!Z157),HOUR('web survey'!Z157))&amp;":"&amp;IF(MINUTE('web survey'!Z157)&lt;10,"0"&amp;MINUTE('web survey'!Z157),MINUTE('web survey'!Z157))&amp;(":00'")</f>
        <v>1900-01-00 00:00:00'</v>
      </c>
      <c r="L159" s="33"/>
      <c r="N159" s="35">
        <v>156</v>
      </c>
      <c r="O159" s="35">
        <v>0</v>
      </c>
      <c r="P159" s="37">
        <v>0</v>
      </c>
      <c r="Q159" s="39" t="e">
        <v>#N/A</v>
      </c>
      <c r="R159" s="41">
        <v>0</v>
      </c>
      <c r="S159" s="39" t="e">
        <v>#N/A</v>
      </c>
      <c r="T159" s="41">
        <v>0</v>
      </c>
      <c r="U159" s="39" t="e">
        <v>#N/A</v>
      </c>
      <c r="V159" s="41">
        <v>0</v>
      </c>
      <c r="W159" s="39" t="e">
        <v>#N/A</v>
      </c>
      <c r="X159" s="35">
        <v>0</v>
      </c>
    </row>
    <row r="160" spans="1:24" ht="28.2" customHeight="1" x14ac:dyDescent="0.3">
      <c r="A160" s="6">
        <f>IF(B160="","",ROW()-COUNTBLANK($B$4:B160)-3)</f>
        <v>157</v>
      </c>
      <c r="B160" s="6">
        <f>'web survey'!C158</f>
        <v>0</v>
      </c>
      <c r="C160" s="29">
        <f>'web survey'!AA158</f>
        <v>0</v>
      </c>
      <c r="D160" s="18" t="e">
        <f>IF(B160="FU-ACInstall",VLOOKUP(VALUE('web survey'!D158),ref!$B$6:$C$7,2,0)&amp;" ("&amp;'web survey'!D158&amp;")",VLOOKUP(VALUE('web survey'!D158),ref!$E$6:$F$10,2,0)&amp;" ("&amp;'web survey'!D158&amp;")")</f>
        <v>#N/A</v>
      </c>
      <c r="E160" s="27">
        <f>'web survey'!S158</f>
        <v>0</v>
      </c>
      <c r="F160" s="18" t="e">
        <f>IF(B160="FU-ACInstall",VLOOKUP(VALUE('web survey'!E158),ref!$B$10:$C$12,2,0)&amp;" ("&amp;'web survey'!E158&amp;")",VLOOKUP(VALUE('web survey'!E158),ref!$E$13:$F$17,2,0)&amp;" ("&amp;'web survey'!E158&amp;")")</f>
        <v>#N/A</v>
      </c>
      <c r="G160" s="27">
        <f>'web survey'!T158</f>
        <v>0</v>
      </c>
      <c r="H160" s="18" t="e">
        <f>IF(B160="FU-ACInstall",VLOOKUP(VALUE('web survey'!F158),ref!$B$15:$C$17,2,0)&amp;" ("&amp;'web survey'!F158&amp;")",VLOOKUP(VALUE('web survey'!F158),ref!$E$20:$F$21,2,0)&amp;" ("&amp;'web survey'!F158&amp;")")</f>
        <v>#N/A</v>
      </c>
      <c r="I160" s="27">
        <f>'web survey'!U158</f>
        <v>0</v>
      </c>
      <c r="J160" s="18" t="e">
        <f>IF(B160="FU-ACInstall","-",VLOOKUP(VALUE('web survey'!G158),ref!$E$24:$F$26,2,0)&amp;" ("&amp;'web survey'!G158&amp;")")</f>
        <v>#N/A</v>
      </c>
      <c r="K160" s="6" t="str">
        <f>YEAR('web survey'!Z158)&amp;"-"&amp;IF(MONTH('web survey'!Z158)&lt;10,"0"&amp;MONTH('web survey'!Z158),MONTH('web survey'!Z158))&amp;"-"&amp;IF(DAY('web survey'!Z158)&lt;10,"0"&amp;DAY('web survey'!Z158),DAY('web survey'!Z158))&amp;" "&amp;IF(HOUR('web survey'!Z158)&lt;10,"0"&amp;HOUR('web survey'!Z158),HOUR('web survey'!Z158))&amp;":"&amp;IF(MINUTE('web survey'!Z158)&lt;10,"0"&amp;MINUTE('web survey'!Z158),MINUTE('web survey'!Z158))&amp;(":00'")</f>
        <v>1900-01-00 00:00:00'</v>
      </c>
      <c r="L160" s="33"/>
      <c r="N160" s="35">
        <v>157</v>
      </c>
      <c r="O160" s="35">
        <v>0</v>
      </c>
      <c r="P160" s="37">
        <v>0</v>
      </c>
      <c r="Q160" s="39" t="e">
        <v>#N/A</v>
      </c>
      <c r="R160" s="41">
        <v>0</v>
      </c>
      <c r="S160" s="39" t="e">
        <v>#N/A</v>
      </c>
      <c r="T160" s="41">
        <v>0</v>
      </c>
      <c r="U160" s="39" t="e">
        <v>#N/A</v>
      </c>
      <c r="V160" s="41">
        <v>0</v>
      </c>
      <c r="W160" s="39" t="e">
        <v>#N/A</v>
      </c>
      <c r="X160" s="35">
        <v>0</v>
      </c>
    </row>
    <row r="161" spans="1:24" ht="28.2" customHeight="1" x14ac:dyDescent="0.3">
      <c r="A161" s="6">
        <f>IF(B161="","",ROW()-COUNTBLANK($B$4:B161)-3)</f>
        <v>158</v>
      </c>
      <c r="B161" s="6">
        <f>'web survey'!C159</f>
        <v>0</v>
      </c>
      <c r="C161" s="29">
        <f>'web survey'!AA159</f>
        <v>0</v>
      </c>
      <c r="D161" s="18" t="e">
        <f>IF(B161="FU-ACInstall",VLOOKUP(VALUE('web survey'!D159),ref!$B$6:$C$7,2,0)&amp;" ("&amp;'web survey'!D159&amp;")",VLOOKUP(VALUE('web survey'!D159),ref!$E$6:$F$10,2,0)&amp;" ("&amp;'web survey'!D159&amp;")")</f>
        <v>#N/A</v>
      </c>
      <c r="E161" s="27">
        <f>'web survey'!S159</f>
        <v>0</v>
      </c>
      <c r="F161" s="18" t="e">
        <f>IF(B161="FU-ACInstall",VLOOKUP(VALUE('web survey'!E159),ref!$B$10:$C$12,2,0)&amp;" ("&amp;'web survey'!E159&amp;")",VLOOKUP(VALUE('web survey'!E159),ref!$E$13:$F$17,2,0)&amp;" ("&amp;'web survey'!E159&amp;")")</f>
        <v>#N/A</v>
      </c>
      <c r="G161" s="27">
        <f>'web survey'!T159</f>
        <v>0</v>
      </c>
      <c r="H161" s="18" t="e">
        <f>IF(B161="FU-ACInstall",VLOOKUP(VALUE('web survey'!F159),ref!$B$15:$C$17,2,0)&amp;" ("&amp;'web survey'!F159&amp;")",VLOOKUP(VALUE('web survey'!F159),ref!$E$20:$F$21,2,0)&amp;" ("&amp;'web survey'!F159&amp;")")</f>
        <v>#N/A</v>
      </c>
      <c r="I161" s="27">
        <f>'web survey'!U159</f>
        <v>0</v>
      </c>
      <c r="J161" s="18" t="e">
        <f>IF(B161="FU-ACInstall","-",VLOOKUP(VALUE('web survey'!G159),ref!$E$24:$F$26,2,0)&amp;" ("&amp;'web survey'!G159&amp;")")</f>
        <v>#N/A</v>
      </c>
      <c r="K161" s="6" t="str">
        <f>YEAR('web survey'!Z159)&amp;"-"&amp;IF(MONTH('web survey'!Z159)&lt;10,"0"&amp;MONTH('web survey'!Z159),MONTH('web survey'!Z159))&amp;"-"&amp;IF(DAY('web survey'!Z159)&lt;10,"0"&amp;DAY('web survey'!Z159),DAY('web survey'!Z159))&amp;" "&amp;IF(HOUR('web survey'!Z159)&lt;10,"0"&amp;HOUR('web survey'!Z159),HOUR('web survey'!Z159))&amp;":"&amp;IF(MINUTE('web survey'!Z159)&lt;10,"0"&amp;MINUTE('web survey'!Z159),MINUTE('web survey'!Z159))&amp;(":00'")</f>
        <v>1900-01-00 00:00:00'</v>
      </c>
      <c r="L161" s="33"/>
      <c r="N161" s="35">
        <v>158</v>
      </c>
      <c r="O161" s="35">
        <v>0</v>
      </c>
      <c r="P161" s="37">
        <v>0</v>
      </c>
      <c r="Q161" s="39" t="e">
        <v>#N/A</v>
      </c>
      <c r="R161" s="41">
        <v>0</v>
      </c>
      <c r="S161" s="39" t="e">
        <v>#N/A</v>
      </c>
      <c r="T161" s="41">
        <v>0</v>
      </c>
      <c r="U161" s="39" t="e">
        <v>#N/A</v>
      </c>
      <c r="V161" s="41">
        <v>0</v>
      </c>
      <c r="W161" s="39" t="e">
        <v>#N/A</v>
      </c>
      <c r="X161" s="35">
        <v>0</v>
      </c>
    </row>
    <row r="162" spans="1:24" ht="28.2" customHeight="1" x14ac:dyDescent="0.3">
      <c r="A162" s="6">
        <f>IF(B162="","",ROW()-COUNTBLANK($B$4:B162)-3)</f>
        <v>159</v>
      </c>
      <c r="B162" s="6">
        <f>'web survey'!C160</f>
        <v>0</v>
      </c>
      <c r="C162" s="29">
        <f>'web survey'!AA160</f>
        <v>0</v>
      </c>
      <c r="D162" s="18" t="e">
        <f>IF(B162="FU-ACInstall",VLOOKUP(VALUE('web survey'!D160),ref!$B$6:$C$7,2,0)&amp;" ("&amp;'web survey'!D160&amp;")",VLOOKUP(VALUE('web survey'!D160),ref!$E$6:$F$10,2,0)&amp;" ("&amp;'web survey'!D160&amp;")")</f>
        <v>#N/A</v>
      </c>
      <c r="E162" s="27">
        <f>'web survey'!S160</f>
        <v>0</v>
      </c>
      <c r="F162" s="18" t="e">
        <f>IF(B162="FU-ACInstall",VLOOKUP(VALUE('web survey'!E160),ref!$B$10:$C$12,2,0)&amp;" ("&amp;'web survey'!E160&amp;")",VLOOKUP(VALUE('web survey'!E160),ref!$E$13:$F$17,2,0)&amp;" ("&amp;'web survey'!E160&amp;")")</f>
        <v>#N/A</v>
      </c>
      <c r="G162" s="27">
        <f>'web survey'!T160</f>
        <v>0</v>
      </c>
      <c r="H162" s="18" t="e">
        <f>IF(B162="FU-ACInstall",VLOOKUP(VALUE('web survey'!F160),ref!$B$15:$C$17,2,0)&amp;" ("&amp;'web survey'!F160&amp;")",VLOOKUP(VALUE('web survey'!F160),ref!$E$20:$F$21,2,0)&amp;" ("&amp;'web survey'!F160&amp;")")</f>
        <v>#N/A</v>
      </c>
      <c r="I162" s="27">
        <f>'web survey'!U160</f>
        <v>0</v>
      </c>
      <c r="J162" s="18" t="e">
        <f>IF(B162="FU-ACInstall","-",VLOOKUP(VALUE('web survey'!G160),ref!$E$24:$F$26,2,0)&amp;" ("&amp;'web survey'!G160&amp;")")</f>
        <v>#N/A</v>
      </c>
      <c r="K162" s="6" t="str">
        <f>YEAR('web survey'!Z160)&amp;"-"&amp;IF(MONTH('web survey'!Z160)&lt;10,"0"&amp;MONTH('web survey'!Z160),MONTH('web survey'!Z160))&amp;"-"&amp;IF(DAY('web survey'!Z160)&lt;10,"0"&amp;DAY('web survey'!Z160),DAY('web survey'!Z160))&amp;" "&amp;IF(HOUR('web survey'!Z160)&lt;10,"0"&amp;HOUR('web survey'!Z160),HOUR('web survey'!Z160))&amp;":"&amp;IF(MINUTE('web survey'!Z160)&lt;10,"0"&amp;MINUTE('web survey'!Z160),MINUTE('web survey'!Z160))&amp;(":00'")</f>
        <v>1900-01-00 00:00:00'</v>
      </c>
      <c r="L162" s="33"/>
      <c r="N162" s="35">
        <v>159</v>
      </c>
      <c r="O162" s="35">
        <v>0</v>
      </c>
      <c r="P162" s="37">
        <v>0</v>
      </c>
      <c r="Q162" s="39" t="e">
        <v>#N/A</v>
      </c>
      <c r="R162" s="41">
        <v>0</v>
      </c>
      <c r="S162" s="39" t="e">
        <v>#N/A</v>
      </c>
      <c r="T162" s="41">
        <v>0</v>
      </c>
      <c r="U162" s="39" t="e">
        <v>#N/A</v>
      </c>
      <c r="V162" s="41">
        <v>0</v>
      </c>
      <c r="W162" s="39" t="e">
        <v>#N/A</v>
      </c>
      <c r="X162" s="35">
        <v>0</v>
      </c>
    </row>
    <row r="163" spans="1:24" ht="28.2" customHeight="1" x14ac:dyDescent="0.3">
      <c r="A163" s="6">
        <f>IF(B163="","",ROW()-COUNTBLANK($B$4:B163)-3)</f>
        <v>160</v>
      </c>
      <c r="B163" s="6">
        <f>'web survey'!C161</f>
        <v>0</v>
      </c>
      <c r="C163" s="29">
        <f>'web survey'!AA161</f>
        <v>0</v>
      </c>
      <c r="D163" s="18" t="e">
        <f>IF(B163="FU-ACInstall",VLOOKUP(VALUE('web survey'!D161),ref!$B$6:$C$7,2,0)&amp;" ("&amp;'web survey'!D161&amp;")",VLOOKUP(VALUE('web survey'!D161),ref!$E$6:$F$10,2,0)&amp;" ("&amp;'web survey'!D161&amp;")")</f>
        <v>#N/A</v>
      </c>
      <c r="E163" s="27">
        <f>'web survey'!S161</f>
        <v>0</v>
      </c>
      <c r="F163" s="18" t="e">
        <f>IF(B163="FU-ACInstall",VLOOKUP(VALUE('web survey'!E161),ref!$B$10:$C$12,2,0)&amp;" ("&amp;'web survey'!E161&amp;")",VLOOKUP(VALUE('web survey'!E161),ref!$E$13:$F$17,2,0)&amp;" ("&amp;'web survey'!E161&amp;")")</f>
        <v>#N/A</v>
      </c>
      <c r="G163" s="27">
        <f>'web survey'!T161</f>
        <v>0</v>
      </c>
      <c r="H163" s="18" t="e">
        <f>IF(B163="FU-ACInstall",VLOOKUP(VALUE('web survey'!F161),ref!$B$15:$C$17,2,0)&amp;" ("&amp;'web survey'!F161&amp;")",VLOOKUP(VALUE('web survey'!F161),ref!$E$20:$F$21,2,0)&amp;" ("&amp;'web survey'!F161&amp;")")</f>
        <v>#N/A</v>
      </c>
      <c r="I163" s="27">
        <f>'web survey'!U161</f>
        <v>0</v>
      </c>
      <c r="J163" s="18" t="e">
        <f>IF(B163="FU-ACInstall","-",VLOOKUP(VALUE('web survey'!G161),ref!$E$24:$F$26,2,0)&amp;" ("&amp;'web survey'!G161&amp;")")</f>
        <v>#N/A</v>
      </c>
      <c r="K163" s="6" t="str">
        <f>YEAR('web survey'!Z161)&amp;"-"&amp;IF(MONTH('web survey'!Z161)&lt;10,"0"&amp;MONTH('web survey'!Z161),MONTH('web survey'!Z161))&amp;"-"&amp;IF(DAY('web survey'!Z161)&lt;10,"0"&amp;DAY('web survey'!Z161),DAY('web survey'!Z161))&amp;" "&amp;IF(HOUR('web survey'!Z161)&lt;10,"0"&amp;HOUR('web survey'!Z161),HOUR('web survey'!Z161))&amp;":"&amp;IF(MINUTE('web survey'!Z161)&lt;10,"0"&amp;MINUTE('web survey'!Z161),MINUTE('web survey'!Z161))&amp;(":00'")</f>
        <v>1900-01-00 00:00:00'</v>
      </c>
      <c r="L163" s="33"/>
      <c r="N163" s="35">
        <v>160</v>
      </c>
      <c r="O163" s="35">
        <v>0</v>
      </c>
      <c r="P163" s="37">
        <v>0</v>
      </c>
      <c r="Q163" s="39" t="e">
        <v>#N/A</v>
      </c>
      <c r="R163" s="41">
        <v>0</v>
      </c>
      <c r="S163" s="39" t="e">
        <v>#N/A</v>
      </c>
      <c r="T163" s="41">
        <v>0</v>
      </c>
      <c r="U163" s="39" t="e">
        <v>#N/A</v>
      </c>
      <c r="V163" s="41">
        <v>0</v>
      </c>
      <c r="W163" s="39" t="e">
        <v>#N/A</v>
      </c>
      <c r="X163" s="35">
        <v>0</v>
      </c>
    </row>
    <row r="164" spans="1:24" ht="28.2" customHeight="1" x14ac:dyDescent="0.3">
      <c r="A164" s="6">
        <f>IF(B164="","",ROW()-COUNTBLANK($B$4:B164)-3)</f>
        <v>161</v>
      </c>
      <c r="B164" s="6">
        <f>'web survey'!C162</f>
        <v>0</v>
      </c>
      <c r="C164" s="29">
        <f>'web survey'!AA162</f>
        <v>0</v>
      </c>
      <c r="D164" s="18" t="e">
        <f>IF(B164="FU-ACInstall",VLOOKUP(VALUE('web survey'!D162),ref!$B$6:$C$7,2,0)&amp;" ("&amp;'web survey'!D162&amp;")",VLOOKUP(VALUE('web survey'!D162),ref!$E$6:$F$10,2,0)&amp;" ("&amp;'web survey'!D162&amp;")")</f>
        <v>#N/A</v>
      </c>
      <c r="E164" s="27">
        <f>'web survey'!S162</f>
        <v>0</v>
      </c>
      <c r="F164" s="18" t="e">
        <f>IF(B164="FU-ACInstall",VLOOKUP(VALUE('web survey'!E162),ref!$B$10:$C$12,2,0)&amp;" ("&amp;'web survey'!E162&amp;")",VLOOKUP(VALUE('web survey'!E162),ref!$E$13:$F$17,2,0)&amp;" ("&amp;'web survey'!E162&amp;")")</f>
        <v>#N/A</v>
      </c>
      <c r="G164" s="27">
        <f>'web survey'!T162</f>
        <v>0</v>
      </c>
      <c r="H164" s="18" t="e">
        <f>IF(B164="FU-ACInstall",VLOOKUP(VALUE('web survey'!F162),ref!$B$15:$C$17,2,0)&amp;" ("&amp;'web survey'!F162&amp;")",VLOOKUP(VALUE('web survey'!F162),ref!$E$20:$F$21,2,0)&amp;" ("&amp;'web survey'!F162&amp;")")</f>
        <v>#N/A</v>
      </c>
      <c r="I164" s="27">
        <f>'web survey'!U162</f>
        <v>0</v>
      </c>
      <c r="J164" s="18" t="e">
        <f>IF(B164="FU-ACInstall","-",VLOOKUP(VALUE('web survey'!G162),ref!$E$24:$F$26,2,0)&amp;" ("&amp;'web survey'!G162&amp;")")</f>
        <v>#N/A</v>
      </c>
      <c r="K164" s="6" t="str">
        <f>YEAR('web survey'!Z162)&amp;"-"&amp;IF(MONTH('web survey'!Z162)&lt;10,"0"&amp;MONTH('web survey'!Z162),MONTH('web survey'!Z162))&amp;"-"&amp;IF(DAY('web survey'!Z162)&lt;10,"0"&amp;DAY('web survey'!Z162),DAY('web survey'!Z162))&amp;" "&amp;IF(HOUR('web survey'!Z162)&lt;10,"0"&amp;HOUR('web survey'!Z162),HOUR('web survey'!Z162))&amp;":"&amp;IF(MINUTE('web survey'!Z162)&lt;10,"0"&amp;MINUTE('web survey'!Z162),MINUTE('web survey'!Z162))&amp;(":00'")</f>
        <v>1900-01-00 00:00:00'</v>
      </c>
      <c r="L164" s="33"/>
      <c r="N164" s="35">
        <v>161</v>
      </c>
      <c r="O164" s="35">
        <v>0</v>
      </c>
      <c r="P164" s="37">
        <v>0</v>
      </c>
      <c r="Q164" s="39" t="e">
        <v>#N/A</v>
      </c>
      <c r="R164" s="41">
        <v>0</v>
      </c>
      <c r="S164" s="39" t="e">
        <v>#N/A</v>
      </c>
      <c r="T164" s="41">
        <v>0</v>
      </c>
      <c r="U164" s="39" t="e">
        <v>#N/A</v>
      </c>
      <c r="V164" s="41">
        <v>0</v>
      </c>
      <c r="W164" s="39" t="e">
        <v>#N/A</v>
      </c>
      <c r="X164" s="35">
        <v>0</v>
      </c>
    </row>
    <row r="165" spans="1:24" ht="28.2" customHeight="1" x14ac:dyDescent="0.3">
      <c r="A165" s="6">
        <f>IF(B165="","",ROW()-COUNTBLANK($B$4:B165)-3)</f>
        <v>162</v>
      </c>
      <c r="B165" s="6">
        <f>'web survey'!C163</f>
        <v>0</v>
      </c>
      <c r="C165" s="29">
        <f>'web survey'!AA163</f>
        <v>0</v>
      </c>
      <c r="D165" s="18" t="e">
        <f>IF(B165="FU-ACInstall",VLOOKUP(VALUE('web survey'!D163),ref!$B$6:$C$7,2,0)&amp;" ("&amp;'web survey'!D163&amp;")",VLOOKUP(VALUE('web survey'!D163),ref!$E$6:$F$10,2,0)&amp;" ("&amp;'web survey'!D163&amp;")")</f>
        <v>#N/A</v>
      </c>
      <c r="E165" s="27">
        <f>'web survey'!S163</f>
        <v>0</v>
      </c>
      <c r="F165" s="18" t="e">
        <f>IF(B165="FU-ACInstall",VLOOKUP(VALUE('web survey'!E163),ref!$B$10:$C$12,2,0)&amp;" ("&amp;'web survey'!E163&amp;")",VLOOKUP(VALUE('web survey'!E163),ref!$E$13:$F$17,2,0)&amp;" ("&amp;'web survey'!E163&amp;")")</f>
        <v>#N/A</v>
      </c>
      <c r="G165" s="27">
        <f>'web survey'!T163</f>
        <v>0</v>
      </c>
      <c r="H165" s="18" t="e">
        <f>IF(B165="FU-ACInstall",VLOOKUP(VALUE('web survey'!F163),ref!$B$15:$C$17,2,0)&amp;" ("&amp;'web survey'!F163&amp;")",VLOOKUP(VALUE('web survey'!F163),ref!$E$20:$F$21,2,0)&amp;" ("&amp;'web survey'!F163&amp;")")</f>
        <v>#N/A</v>
      </c>
      <c r="I165" s="27">
        <f>'web survey'!U163</f>
        <v>0</v>
      </c>
      <c r="J165" s="18" t="e">
        <f>IF(B165="FU-ACInstall","-",VLOOKUP(VALUE('web survey'!G163),ref!$E$24:$F$26,2,0)&amp;" ("&amp;'web survey'!G163&amp;")")</f>
        <v>#N/A</v>
      </c>
      <c r="K165" s="6" t="str">
        <f>YEAR('web survey'!Z163)&amp;"-"&amp;IF(MONTH('web survey'!Z163)&lt;10,"0"&amp;MONTH('web survey'!Z163),MONTH('web survey'!Z163))&amp;"-"&amp;IF(DAY('web survey'!Z163)&lt;10,"0"&amp;DAY('web survey'!Z163),DAY('web survey'!Z163))&amp;" "&amp;IF(HOUR('web survey'!Z163)&lt;10,"0"&amp;HOUR('web survey'!Z163),HOUR('web survey'!Z163))&amp;":"&amp;IF(MINUTE('web survey'!Z163)&lt;10,"0"&amp;MINUTE('web survey'!Z163),MINUTE('web survey'!Z163))&amp;(":00'")</f>
        <v>1900-01-00 00:00:00'</v>
      </c>
      <c r="L165" s="33"/>
      <c r="N165" s="35">
        <v>162</v>
      </c>
      <c r="O165" s="35">
        <v>0</v>
      </c>
      <c r="P165" s="37">
        <v>0</v>
      </c>
      <c r="Q165" s="39" t="e">
        <v>#N/A</v>
      </c>
      <c r="R165" s="41">
        <v>0</v>
      </c>
      <c r="S165" s="39" t="e">
        <v>#N/A</v>
      </c>
      <c r="T165" s="41">
        <v>0</v>
      </c>
      <c r="U165" s="39" t="e">
        <v>#N/A</v>
      </c>
      <c r="V165" s="41">
        <v>0</v>
      </c>
      <c r="W165" s="39" t="e">
        <v>#N/A</v>
      </c>
      <c r="X165" s="35">
        <v>0</v>
      </c>
    </row>
    <row r="166" spans="1:24" ht="28.2" customHeight="1" x14ac:dyDescent="0.3">
      <c r="A166" s="6">
        <f>IF(B166="","",ROW()-COUNTBLANK($B$4:B166)-3)</f>
        <v>163</v>
      </c>
      <c r="B166" s="6">
        <f>'web survey'!C164</f>
        <v>0</v>
      </c>
      <c r="C166" s="29">
        <f>'web survey'!AA164</f>
        <v>0</v>
      </c>
      <c r="D166" s="18" t="e">
        <f>IF(B166="FU-ACInstall",VLOOKUP(VALUE('web survey'!D164),ref!$B$6:$C$7,2,0)&amp;" ("&amp;'web survey'!D164&amp;")",VLOOKUP(VALUE('web survey'!D164),ref!$E$6:$F$10,2,0)&amp;" ("&amp;'web survey'!D164&amp;")")</f>
        <v>#N/A</v>
      </c>
      <c r="E166" s="27">
        <f>'web survey'!S164</f>
        <v>0</v>
      </c>
      <c r="F166" s="18" t="e">
        <f>IF(B166="FU-ACInstall",VLOOKUP(VALUE('web survey'!E164),ref!$B$10:$C$12,2,0)&amp;" ("&amp;'web survey'!E164&amp;")",VLOOKUP(VALUE('web survey'!E164),ref!$E$13:$F$17,2,0)&amp;" ("&amp;'web survey'!E164&amp;")")</f>
        <v>#N/A</v>
      </c>
      <c r="G166" s="27">
        <f>'web survey'!T164</f>
        <v>0</v>
      </c>
      <c r="H166" s="18" t="e">
        <f>IF(B166="FU-ACInstall",VLOOKUP(VALUE('web survey'!F164),ref!$B$15:$C$17,2,0)&amp;" ("&amp;'web survey'!F164&amp;")",VLOOKUP(VALUE('web survey'!F164),ref!$E$20:$F$21,2,0)&amp;" ("&amp;'web survey'!F164&amp;")")</f>
        <v>#N/A</v>
      </c>
      <c r="I166" s="27">
        <f>'web survey'!U164</f>
        <v>0</v>
      </c>
      <c r="J166" s="18" t="e">
        <f>IF(B166="FU-ACInstall","-",VLOOKUP(VALUE('web survey'!G164),ref!$E$24:$F$26,2,0)&amp;" ("&amp;'web survey'!G164&amp;")")</f>
        <v>#N/A</v>
      </c>
      <c r="K166" s="6" t="str">
        <f>YEAR('web survey'!Z164)&amp;"-"&amp;IF(MONTH('web survey'!Z164)&lt;10,"0"&amp;MONTH('web survey'!Z164),MONTH('web survey'!Z164))&amp;"-"&amp;IF(DAY('web survey'!Z164)&lt;10,"0"&amp;DAY('web survey'!Z164),DAY('web survey'!Z164))&amp;" "&amp;IF(HOUR('web survey'!Z164)&lt;10,"0"&amp;HOUR('web survey'!Z164),HOUR('web survey'!Z164))&amp;":"&amp;IF(MINUTE('web survey'!Z164)&lt;10,"0"&amp;MINUTE('web survey'!Z164),MINUTE('web survey'!Z164))&amp;(":00'")</f>
        <v>1900-01-00 00:00:00'</v>
      </c>
      <c r="L166" s="33"/>
      <c r="N166" s="35">
        <v>163</v>
      </c>
      <c r="O166" s="35">
        <v>0</v>
      </c>
      <c r="P166" s="37">
        <v>0</v>
      </c>
      <c r="Q166" s="39" t="e">
        <v>#N/A</v>
      </c>
      <c r="R166" s="41">
        <v>0</v>
      </c>
      <c r="S166" s="39" t="e">
        <v>#N/A</v>
      </c>
      <c r="T166" s="41">
        <v>0</v>
      </c>
      <c r="U166" s="39" t="e">
        <v>#N/A</v>
      </c>
      <c r="V166" s="41">
        <v>0</v>
      </c>
      <c r="W166" s="39" t="e">
        <v>#N/A</v>
      </c>
      <c r="X166" s="35">
        <v>0</v>
      </c>
    </row>
    <row r="167" spans="1:24" ht="28.2" customHeight="1" x14ac:dyDescent="0.3">
      <c r="A167" s="6">
        <f>IF(B167="","",ROW()-COUNTBLANK($B$4:B167)-3)</f>
        <v>164</v>
      </c>
      <c r="B167" s="6">
        <f>'web survey'!C165</f>
        <v>0</v>
      </c>
      <c r="C167" s="29">
        <f>'web survey'!AA165</f>
        <v>0</v>
      </c>
      <c r="D167" s="18" t="e">
        <f>IF(B167="FU-ACInstall",VLOOKUP(VALUE('web survey'!D165),ref!$B$6:$C$7,2,0)&amp;" ("&amp;'web survey'!D165&amp;")",VLOOKUP(VALUE('web survey'!D165),ref!$E$6:$F$10,2,0)&amp;" ("&amp;'web survey'!D165&amp;")")</f>
        <v>#N/A</v>
      </c>
      <c r="E167" s="27">
        <f>'web survey'!S165</f>
        <v>0</v>
      </c>
      <c r="F167" s="18" t="e">
        <f>IF(B167="FU-ACInstall",VLOOKUP(VALUE('web survey'!E165),ref!$B$10:$C$12,2,0)&amp;" ("&amp;'web survey'!E165&amp;")",VLOOKUP(VALUE('web survey'!E165),ref!$E$13:$F$17,2,0)&amp;" ("&amp;'web survey'!E165&amp;")")</f>
        <v>#N/A</v>
      </c>
      <c r="G167" s="27">
        <f>'web survey'!T165</f>
        <v>0</v>
      </c>
      <c r="H167" s="18" t="e">
        <f>IF(B167="FU-ACInstall",VLOOKUP(VALUE('web survey'!F165),ref!$B$15:$C$17,2,0)&amp;" ("&amp;'web survey'!F165&amp;")",VLOOKUP(VALUE('web survey'!F165),ref!$E$20:$F$21,2,0)&amp;" ("&amp;'web survey'!F165&amp;")")</f>
        <v>#N/A</v>
      </c>
      <c r="I167" s="27">
        <f>'web survey'!U165</f>
        <v>0</v>
      </c>
      <c r="J167" s="18" t="e">
        <f>IF(B167="FU-ACInstall","-",VLOOKUP(VALUE('web survey'!G165),ref!$E$24:$F$26,2,0)&amp;" ("&amp;'web survey'!G165&amp;")")</f>
        <v>#N/A</v>
      </c>
      <c r="K167" s="6" t="str">
        <f>YEAR('web survey'!Z165)&amp;"-"&amp;IF(MONTH('web survey'!Z165)&lt;10,"0"&amp;MONTH('web survey'!Z165),MONTH('web survey'!Z165))&amp;"-"&amp;IF(DAY('web survey'!Z165)&lt;10,"0"&amp;DAY('web survey'!Z165),DAY('web survey'!Z165))&amp;" "&amp;IF(HOUR('web survey'!Z165)&lt;10,"0"&amp;HOUR('web survey'!Z165),HOUR('web survey'!Z165))&amp;":"&amp;IF(MINUTE('web survey'!Z165)&lt;10,"0"&amp;MINUTE('web survey'!Z165),MINUTE('web survey'!Z165))&amp;(":00'")</f>
        <v>1900-01-00 00:00:00'</v>
      </c>
      <c r="L167" s="33"/>
      <c r="N167" s="35">
        <v>164</v>
      </c>
      <c r="O167" s="35">
        <v>0</v>
      </c>
      <c r="P167" s="37">
        <v>0</v>
      </c>
      <c r="Q167" s="39" t="e">
        <v>#N/A</v>
      </c>
      <c r="R167" s="41">
        <v>0</v>
      </c>
      <c r="S167" s="39" t="e">
        <v>#N/A</v>
      </c>
      <c r="T167" s="41">
        <v>0</v>
      </c>
      <c r="U167" s="39" t="e">
        <v>#N/A</v>
      </c>
      <c r="V167" s="41">
        <v>0</v>
      </c>
      <c r="W167" s="39" t="e">
        <v>#N/A</v>
      </c>
      <c r="X167" s="35">
        <v>0</v>
      </c>
    </row>
    <row r="168" spans="1:24" ht="28.2" customHeight="1" x14ac:dyDescent="0.3">
      <c r="A168" s="6">
        <f>IF(B168="","",ROW()-COUNTBLANK($B$4:B168)-3)</f>
        <v>165</v>
      </c>
      <c r="B168" s="6">
        <f>'web survey'!C166</f>
        <v>0</v>
      </c>
      <c r="C168" s="29">
        <f>'web survey'!AA166</f>
        <v>0</v>
      </c>
      <c r="D168" s="18" t="e">
        <f>IF(B168="FU-ACInstall",VLOOKUP(VALUE('web survey'!D166),ref!$B$6:$C$7,2,0)&amp;" ("&amp;'web survey'!D166&amp;")",VLOOKUP(VALUE('web survey'!D166),ref!$E$6:$F$10,2,0)&amp;" ("&amp;'web survey'!D166&amp;")")</f>
        <v>#N/A</v>
      </c>
      <c r="E168" s="27">
        <f>'web survey'!S166</f>
        <v>0</v>
      </c>
      <c r="F168" s="18" t="e">
        <f>IF(B168="FU-ACInstall",VLOOKUP(VALUE('web survey'!E166),ref!$B$10:$C$12,2,0)&amp;" ("&amp;'web survey'!E166&amp;")",VLOOKUP(VALUE('web survey'!E166),ref!$E$13:$F$17,2,0)&amp;" ("&amp;'web survey'!E166&amp;")")</f>
        <v>#N/A</v>
      </c>
      <c r="G168" s="27">
        <f>'web survey'!T166</f>
        <v>0</v>
      </c>
      <c r="H168" s="18" t="e">
        <f>IF(B168="FU-ACInstall",VLOOKUP(VALUE('web survey'!F166),ref!$B$15:$C$17,2,0)&amp;" ("&amp;'web survey'!F166&amp;")",VLOOKUP(VALUE('web survey'!F166),ref!$E$20:$F$21,2,0)&amp;" ("&amp;'web survey'!F166&amp;")")</f>
        <v>#N/A</v>
      </c>
      <c r="I168" s="27">
        <f>'web survey'!U166</f>
        <v>0</v>
      </c>
      <c r="J168" s="18" t="e">
        <f>IF(B168="FU-ACInstall","-",VLOOKUP(VALUE('web survey'!G166),ref!$E$24:$F$26,2,0)&amp;" ("&amp;'web survey'!G166&amp;")")</f>
        <v>#N/A</v>
      </c>
      <c r="K168" s="6" t="str">
        <f>YEAR('web survey'!Z166)&amp;"-"&amp;IF(MONTH('web survey'!Z166)&lt;10,"0"&amp;MONTH('web survey'!Z166),MONTH('web survey'!Z166))&amp;"-"&amp;IF(DAY('web survey'!Z166)&lt;10,"0"&amp;DAY('web survey'!Z166),DAY('web survey'!Z166))&amp;" "&amp;IF(HOUR('web survey'!Z166)&lt;10,"0"&amp;HOUR('web survey'!Z166),HOUR('web survey'!Z166))&amp;":"&amp;IF(MINUTE('web survey'!Z166)&lt;10,"0"&amp;MINUTE('web survey'!Z166),MINUTE('web survey'!Z166))&amp;(":00'")</f>
        <v>1900-01-00 00:00:00'</v>
      </c>
      <c r="L168" s="33"/>
      <c r="N168" s="35">
        <v>165</v>
      </c>
      <c r="O168" s="35">
        <v>0</v>
      </c>
      <c r="P168" s="37">
        <v>0</v>
      </c>
      <c r="Q168" s="39" t="e">
        <v>#N/A</v>
      </c>
      <c r="R168" s="41">
        <v>0</v>
      </c>
      <c r="S168" s="39" t="e">
        <v>#N/A</v>
      </c>
      <c r="T168" s="41">
        <v>0</v>
      </c>
      <c r="U168" s="39" t="e">
        <v>#N/A</v>
      </c>
      <c r="V168" s="41">
        <v>0</v>
      </c>
      <c r="W168" s="39" t="e">
        <v>#N/A</v>
      </c>
      <c r="X168" s="35">
        <v>0</v>
      </c>
    </row>
    <row r="169" spans="1:24" ht="28.2" customHeight="1" x14ac:dyDescent="0.3">
      <c r="A169" s="6">
        <f>IF(B169="","",ROW()-COUNTBLANK($B$4:B169)-3)</f>
        <v>166</v>
      </c>
      <c r="B169" s="6">
        <f>'web survey'!C167</f>
        <v>0</v>
      </c>
      <c r="C169" s="29">
        <f>'web survey'!AA167</f>
        <v>0</v>
      </c>
      <c r="D169" s="18" t="e">
        <f>IF(B169="FU-ACInstall",VLOOKUP(VALUE('web survey'!D167),ref!$B$6:$C$7,2,0)&amp;" ("&amp;'web survey'!D167&amp;")",VLOOKUP(VALUE('web survey'!D167),ref!$E$6:$F$10,2,0)&amp;" ("&amp;'web survey'!D167&amp;")")</f>
        <v>#N/A</v>
      </c>
      <c r="E169" s="27">
        <f>'web survey'!S167</f>
        <v>0</v>
      </c>
      <c r="F169" s="18" t="e">
        <f>IF(B169="FU-ACInstall",VLOOKUP(VALUE('web survey'!E167),ref!$B$10:$C$12,2,0)&amp;" ("&amp;'web survey'!E167&amp;")",VLOOKUP(VALUE('web survey'!E167),ref!$E$13:$F$17,2,0)&amp;" ("&amp;'web survey'!E167&amp;")")</f>
        <v>#N/A</v>
      </c>
      <c r="G169" s="27">
        <f>'web survey'!T167</f>
        <v>0</v>
      </c>
      <c r="H169" s="18" t="e">
        <f>IF(B169="FU-ACInstall",VLOOKUP(VALUE('web survey'!F167),ref!$B$15:$C$17,2,0)&amp;" ("&amp;'web survey'!F167&amp;")",VLOOKUP(VALUE('web survey'!F167),ref!$E$20:$F$21,2,0)&amp;" ("&amp;'web survey'!F167&amp;")")</f>
        <v>#N/A</v>
      </c>
      <c r="I169" s="27">
        <f>'web survey'!U167</f>
        <v>0</v>
      </c>
      <c r="J169" s="18" t="e">
        <f>IF(B169="FU-ACInstall","-",VLOOKUP(VALUE('web survey'!G167),ref!$E$24:$F$26,2,0)&amp;" ("&amp;'web survey'!G167&amp;")")</f>
        <v>#N/A</v>
      </c>
      <c r="K169" s="6" t="str">
        <f>YEAR('web survey'!Z167)&amp;"-"&amp;IF(MONTH('web survey'!Z167)&lt;10,"0"&amp;MONTH('web survey'!Z167),MONTH('web survey'!Z167))&amp;"-"&amp;IF(DAY('web survey'!Z167)&lt;10,"0"&amp;DAY('web survey'!Z167),DAY('web survey'!Z167))&amp;" "&amp;IF(HOUR('web survey'!Z167)&lt;10,"0"&amp;HOUR('web survey'!Z167),HOUR('web survey'!Z167))&amp;":"&amp;IF(MINUTE('web survey'!Z167)&lt;10,"0"&amp;MINUTE('web survey'!Z167),MINUTE('web survey'!Z167))&amp;(":00'")</f>
        <v>1900-01-00 00:00:00'</v>
      </c>
      <c r="L169" s="33"/>
      <c r="N169" s="35">
        <v>166</v>
      </c>
      <c r="O169" s="35">
        <v>0</v>
      </c>
      <c r="P169" s="37">
        <v>0</v>
      </c>
      <c r="Q169" s="39" t="e">
        <v>#N/A</v>
      </c>
      <c r="R169" s="41">
        <v>0</v>
      </c>
      <c r="S169" s="39" t="e">
        <v>#N/A</v>
      </c>
      <c r="T169" s="41">
        <v>0</v>
      </c>
      <c r="U169" s="39" t="e">
        <v>#N/A</v>
      </c>
      <c r="V169" s="41">
        <v>0</v>
      </c>
      <c r="W169" s="39" t="e">
        <v>#N/A</v>
      </c>
      <c r="X169" s="35">
        <v>0</v>
      </c>
    </row>
    <row r="170" spans="1:24" ht="28.2" customHeight="1" x14ac:dyDescent="0.3">
      <c r="A170" s="6">
        <f>IF(B170="","",ROW()-COUNTBLANK($B$4:B170)-3)</f>
        <v>167</v>
      </c>
      <c r="B170" s="6">
        <f>'web survey'!C168</f>
        <v>0</v>
      </c>
      <c r="C170" s="29">
        <f>'web survey'!AA168</f>
        <v>0</v>
      </c>
      <c r="D170" s="18" t="e">
        <f>IF(B170="FU-ACInstall",VLOOKUP(VALUE('web survey'!D168),ref!$B$6:$C$7,2,0)&amp;" ("&amp;'web survey'!D168&amp;")",VLOOKUP(VALUE('web survey'!D168),ref!$E$6:$F$10,2,0)&amp;" ("&amp;'web survey'!D168&amp;")")</f>
        <v>#N/A</v>
      </c>
      <c r="E170" s="27">
        <f>'web survey'!S168</f>
        <v>0</v>
      </c>
      <c r="F170" s="18" t="e">
        <f>IF(B170="FU-ACInstall",VLOOKUP(VALUE('web survey'!E168),ref!$B$10:$C$12,2,0)&amp;" ("&amp;'web survey'!E168&amp;")",VLOOKUP(VALUE('web survey'!E168),ref!$E$13:$F$17,2,0)&amp;" ("&amp;'web survey'!E168&amp;")")</f>
        <v>#N/A</v>
      </c>
      <c r="G170" s="27">
        <f>'web survey'!T168</f>
        <v>0</v>
      </c>
      <c r="H170" s="18" t="e">
        <f>IF(B170="FU-ACInstall",VLOOKUP(VALUE('web survey'!F168),ref!$B$15:$C$17,2,0)&amp;" ("&amp;'web survey'!F168&amp;")",VLOOKUP(VALUE('web survey'!F168),ref!$E$20:$F$21,2,0)&amp;" ("&amp;'web survey'!F168&amp;")")</f>
        <v>#N/A</v>
      </c>
      <c r="I170" s="27">
        <f>'web survey'!U168</f>
        <v>0</v>
      </c>
      <c r="J170" s="18" t="e">
        <f>IF(B170="FU-ACInstall","-",VLOOKUP(VALUE('web survey'!G168),ref!$E$24:$F$26,2,0)&amp;" ("&amp;'web survey'!G168&amp;")")</f>
        <v>#N/A</v>
      </c>
      <c r="K170" s="6" t="str">
        <f>YEAR('web survey'!Z168)&amp;"-"&amp;IF(MONTH('web survey'!Z168)&lt;10,"0"&amp;MONTH('web survey'!Z168),MONTH('web survey'!Z168))&amp;"-"&amp;IF(DAY('web survey'!Z168)&lt;10,"0"&amp;DAY('web survey'!Z168),DAY('web survey'!Z168))&amp;" "&amp;IF(HOUR('web survey'!Z168)&lt;10,"0"&amp;HOUR('web survey'!Z168),HOUR('web survey'!Z168))&amp;":"&amp;IF(MINUTE('web survey'!Z168)&lt;10,"0"&amp;MINUTE('web survey'!Z168),MINUTE('web survey'!Z168))&amp;(":00'")</f>
        <v>1900-01-00 00:00:00'</v>
      </c>
      <c r="L170" s="33"/>
      <c r="N170" s="35">
        <v>167</v>
      </c>
      <c r="O170" s="35">
        <v>0</v>
      </c>
      <c r="P170" s="37">
        <v>0</v>
      </c>
      <c r="Q170" s="39" t="e">
        <v>#N/A</v>
      </c>
      <c r="R170" s="41">
        <v>0</v>
      </c>
      <c r="S170" s="39" t="e">
        <v>#N/A</v>
      </c>
      <c r="T170" s="41">
        <v>0</v>
      </c>
      <c r="U170" s="39" t="e">
        <v>#N/A</v>
      </c>
      <c r="V170" s="41">
        <v>0</v>
      </c>
      <c r="W170" s="39" t="e">
        <v>#N/A</v>
      </c>
      <c r="X170" s="35">
        <v>0</v>
      </c>
    </row>
    <row r="171" spans="1:24" ht="28.2" customHeight="1" x14ac:dyDescent="0.3">
      <c r="A171" s="6">
        <f>IF(B171="","",ROW()-COUNTBLANK($B$4:B171)-3)</f>
        <v>168</v>
      </c>
      <c r="B171" s="6">
        <f>'web survey'!C169</f>
        <v>0</v>
      </c>
      <c r="C171" s="29">
        <f>'web survey'!AA169</f>
        <v>0</v>
      </c>
      <c r="D171" s="18" t="e">
        <f>IF(B171="FU-ACInstall",VLOOKUP(VALUE('web survey'!D169),ref!$B$6:$C$7,2,0)&amp;" ("&amp;'web survey'!D169&amp;")",VLOOKUP(VALUE('web survey'!D169),ref!$E$6:$F$10,2,0)&amp;" ("&amp;'web survey'!D169&amp;")")</f>
        <v>#N/A</v>
      </c>
      <c r="E171" s="27">
        <f>'web survey'!S169</f>
        <v>0</v>
      </c>
      <c r="F171" s="18" t="e">
        <f>IF(B171="FU-ACInstall",VLOOKUP(VALUE('web survey'!E169),ref!$B$10:$C$12,2,0)&amp;" ("&amp;'web survey'!E169&amp;")",VLOOKUP(VALUE('web survey'!E169),ref!$E$13:$F$17,2,0)&amp;" ("&amp;'web survey'!E169&amp;")")</f>
        <v>#N/A</v>
      </c>
      <c r="G171" s="27">
        <f>'web survey'!T169</f>
        <v>0</v>
      </c>
      <c r="H171" s="18" t="e">
        <f>IF(B171="FU-ACInstall",VLOOKUP(VALUE('web survey'!F169),ref!$B$15:$C$17,2,0)&amp;" ("&amp;'web survey'!F169&amp;")",VLOOKUP(VALUE('web survey'!F169),ref!$E$20:$F$21,2,0)&amp;" ("&amp;'web survey'!F169&amp;")")</f>
        <v>#N/A</v>
      </c>
      <c r="I171" s="27">
        <f>'web survey'!U169</f>
        <v>0</v>
      </c>
      <c r="J171" s="18" t="e">
        <f>IF(B171="FU-ACInstall","-",VLOOKUP(VALUE('web survey'!G169),ref!$E$24:$F$26,2,0)&amp;" ("&amp;'web survey'!G169&amp;")")</f>
        <v>#N/A</v>
      </c>
      <c r="K171" s="6" t="str">
        <f>YEAR('web survey'!Z169)&amp;"-"&amp;IF(MONTH('web survey'!Z169)&lt;10,"0"&amp;MONTH('web survey'!Z169),MONTH('web survey'!Z169))&amp;"-"&amp;IF(DAY('web survey'!Z169)&lt;10,"0"&amp;DAY('web survey'!Z169),DAY('web survey'!Z169))&amp;" "&amp;IF(HOUR('web survey'!Z169)&lt;10,"0"&amp;HOUR('web survey'!Z169),HOUR('web survey'!Z169))&amp;":"&amp;IF(MINUTE('web survey'!Z169)&lt;10,"0"&amp;MINUTE('web survey'!Z169),MINUTE('web survey'!Z169))&amp;(":00'")</f>
        <v>1900-01-00 00:00:00'</v>
      </c>
      <c r="L171" s="33"/>
      <c r="N171" s="35">
        <v>168</v>
      </c>
      <c r="O171" s="35">
        <v>0</v>
      </c>
      <c r="P171" s="37">
        <v>0</v>
      </c>
      <c r="Q171" s="39" t="e">
        <v>#N/A</v>
      </c>
      <c r="R171" s="41">
        <v>0</v>
      </c>
      <c r="S171" s="39" t="e">
        <v>#N/A</v>
      </c>
      <c r="T171" s="41">
        <v>0</v>
      </c>
      <c r="U171" s="39" t="e">
        <v>#N/A</v>
      </c>
      <c r="V171" s="41">
        <v>0</v>
      </c>
      <c r="W171" s="39" t="e">
        <v>#N/A</v>
      </c>
      <c r="X171" s="35">
        <v>0</v>
      </c>
    </row>
    <row r="172" spans="1:24" ht="28.2" customHeight="1" x14ac:dyDescent="0.3">
      <c r="A172" s="6">
        <f>IF(B172="","",ROW()-COUNTBLANK($B$4:B172)-3)</f>
        <v>169</v>
      </c>
      <c r="B172" s="6">
        <f>'web survey'!C170</f>
        <v>0</v>
      </c>
      <c r="C172" s="29">
        <f>'web survey'!AA170</f>
        <v>0</v>
      </c>
      <c r="D172" s="18" t="e">
        <f>IF(B172="FU-ACInstall",VLOOKUP(VALUE('web survey'!D170),ref!$B$6:$C$7,2,0)&amp;" ("&amp;'web survey'!D170&amp;")",VLOOKUP(VALUE('web survey'!D170),ref!$E$6:$F$10,2,0)&amp;" ("&amp;'web survey'!D170&amp;")")</f>
        <v>#N/A</v>
      </c>
      <c r="E172" s="27">
        <f>'web survey'!S170</f>
        <v>0</v>
      </c>
      <c r="F172" s="18" t="e">
        <f>IF(B172="FU-ACInstall",VLOOKUP(VALUE('web survey'!E170),ref!$B$10:$C$12,2,0)&amp;" ("&amp;'web survey'!E170&amp;")",VLOOKUP(VALUE('web survey'!E170),ref!$E$13:$F$17,2,0)&amp;" ("&amp;'web survey'!E170&amp;")")</f>
        <v>#N/A</v>
      </c>
      <c r="G172" s="27">
        <f>'web survey'!T170</f>
        <v>0</v>
      </c>
      <c r="H172" s="18" t="e">
        <f>IF(B172="FU-ACInstall",VLOOKUP(VALUE('web survey'!F170),ref!$B$15:$C$17,2,0)&amp;" ("&amp;'web survey'!F170&amp;")",VLOOKUP(VALUE('web survey'!F170),ref!$E$20:$F$21,2,0)&amp;" ("&amp;'web survey'!F170&amp;")")</f>
        <v>#N/A</v>
      </c>
      <c r="I172" s="27">
        <f>'web survey'!U170</f>
        <v>0</v>
      </c>
      <c r="J172" s="18" t="e">
        <f>IF(B172="FU-ACInstall","-",VLOOKUP(VALUE('web survey'!G170),ref!$E$24:$F$26,2,0)&amp;" ("&amp;'web survey'!G170&amp;")")</f>
        <v>#N/A</v>
      </c>
      <c r="K172" s="6" t="str">
        <f>YEAR('web survey'!Z170)&amp;"-"&amp;IF(MONTH('web survey'!Z170)&lt;10,"0"&amp;MONTH('web survey'!Z170),MONTH('web survey'!Z170))&amp;"-"&amp;IF(DAY('web survey'!Z170)&lt;10,"0"&amp;DAY('web survey'!Z170),DAY('web survey'!Z170))&amp;" "&amp;IF(HOUR('web survey'!Z170)&lt;10,"0"&amp;HOUR('web survey'!Z170),HOUR('web survey'!Z170))&amp;":"&amp;IF(MINUTE('web survey'!Z170)&lt;10,"0"&amp;MINUTE('web survey'!Z170),MINUTE('web survey'!Z170))&amp;(":00'")</f>
        <v>1900-01-00 00:00:00'</v>
      </c>
      <c r="L172" s="33"/>
      <c r="N172" s="35">
        <v>169</v>
      </c>
      <c r="O172" s="35">
        <v>0</v>
      </c>
      <c r="P172" s="37">
        <v>0</v>
      </c>
      <c r="Q172" s="39" t="e">
        <v>#N/A</v>
      </c>
      <c r="R172" s="41">
        <v>0</v>
      </c>
      <c r="S172" s="39" t="e">
        <v>#N/A</v>
      </c>
      <c r="T172" s="41">
        <v>0</v>
      </c>
      <c r="U172" s="39" t="e">
        <v>#N/A</v>
      </c>
      <c r="V172" s="41">
        <v>0</v>
      </c>
      <c r="W172" s="39" t="e">
        <v>#N/A</v>
      </c>
      <c r="X172" s="35">
        <v>0</v>
      </c>
    </row>
    <row r="173" spans="1:24" ht="28.2" customHeight="1" x14ac:dyDescent="0.3">
      <c r="A173" s="6">
        <f>IF(B173="","",ROW()-COUNTBLANK($B$4:B173)-3)</f>
        <v>170</v>
      </c>
      <c r="B173" s="6">
        <f>'web survey'!C171</f>
        <v>0</v>
      </c>
      <c r="C173" s="29">
        <f>'web survey'!AA171</f>
        <v>0</v>
      </c>
      <c r="D173" s="18" t="e">
        <f>IF(B173="FU-ACInstall",VLOOKUP(VALUE('web survey'!D171),ref!$B$6:$C$7,2,0)&amp;" ("&amp;'web survey'!D171&amp;")",VLOOKUP(VALUE('web survey'!D171),ref!$E$6:$F$10,2,0)&amp;" ("&amp;'web survey'!D171&amp;")")</f>
        <v>#N/A</v>
      </c>
      <c r="E173" s="27">
        <f>'web survey'!S171</f>
        <v>0</v>
      </c>
      <c r="F173" s="18" t="e">
        <f>IF(B173="FU-ACInstall",VLOOKUP(VALUE('web survey'!E171),ref!$B$10:$C$12,2,0)&amp;" ("&amp;'web survey'!E171&amp;")",VLOOKUP(VALUE('web survey'!E171),ref!$E$13:$F$17,2,0)&amp;" ("&amp;'web survey'!E171&amp;")")</f>
        <v>#N/A</v>
      </c>
      <c r="G173" s="27">
        <f>'web survey'!T171</f>
        <v>0</v>
      </c>
      <c r="H173" s="18" t="e">
        <f>IF(B173="FU-ACInstall",VLOOKUP(VALUE('web survey'!F171),ref!$B$15:$C$17,2,0)&amp;" ("&amp;'web survey'!F171&amp;")",VLOOKUP(VALUE('web survey'!F171),ref!$E$20:$F$21,2,0)&amp;" ("&amp;'web survey'!F171&amp;")")</f>
        <v>#N/A</v>
      </c>
      <c r="I173" s="27">
        <f>'web survey'!U171</f>
        <v>0</v>
      </c>
      <c r="J173" s="18" t="e">
        <f>IF(B173="FU-ACInstall","-",VLOOKUP(VALUE('web survey'!G171),ref!$E$24:$F$26,2,0)&amp;" ("&amp;'web survey'!G171&amp;")")</f>
        <v>#N/A</v>
      </c>
      <c r="K173" s="6" t="str">
        <f>YEAR('web survey'!Z171)&amp;"-"&amp;IF(MONTH('web survey'!Z171)&lt;10,"0"&amp;MONTH('web survey'!Z171),MONTH('web survey'!Z171))&amp;"-"&amp;IF(DAY('web survey'!Z171)&lt;10,"0"&amp;DAY('web survey'!Z171),DAY('web survey'!Z171))&amp;" "&amp;IF(HOUR('web survey'!Z171)&lt;10,"0"&amp;HOUR('web survey'!Z171),HOUR('web survey'!Z171))&amp;":"&amp;IF(MINUTE('web survey'!Z171)&lt;10,"0"&amp;MINUTE('web survey'!Z171),MINUTE('web survey'!Z171))&amp;(":00'")</f>
        <v>1900-01-00 00:00:00'</v>
      </c>
      <c r="L173" s="33"/>
      <c r="N173" s="35">
        <v>170</v>
      </c>
      <c r="O173" s="35">
        <v>0</v>
      </c>
      <c r="P173" s="37">
        <v>0</v>
      </c>
      <c r="Q173" s="39" t="e">
        <v>#N/A</v>
      </c>
      <c r="R173" s="41">
        <v>0</v>
      </c>
      <c r="S173" s="39" t="e">
        <v>#N/A</v>
      </c>
      <c r="T173" s="41">
        <v>0</v>
      </c>
      <c r="U173" s="39" t="e">
        <v>#N/A</v>
      </c>
      <c r="V173" s="41">
        <v>0</v>
      </c>
      <c r="W173" s="39" t="e">
        <v>#N/A</v>
      </c>
      <c r="X173" s="35">
        <v>0</v>
      </c>
    </row>
    <row r="174" spans="1:24" ht="28.2" customHeight="1" x14ac:dyDescent="0.3">
      <c r="A174" s="6">
        <f>IF(B174="","",ROW()-COUNTBLANK($B$4:B174)-3)</f>
        <v>171</v>
      </c>
      <c r="B174" s="6">
        <f>'web survey'!C172</f>
        <v>0</v>
      </c>
      <c r="C174" s="29">
        <f>'web survey'!AA172</f>
        <v>0</v>
      </c>
      <c r="D174" s="18" t="e">
        <f>IF(B174="FU-ACInstall",VLOOKUP(VALUE('web survey'!D172),ref!$B$6:$C$7,2,0)&amp;" ("&amp;'web survey'!D172&amp;")",VLOOKUP(VALUE('web survey'!D172),ref!$E$6:$F$10,2,0)&amp;" ("&amp;'web survey'!D172&amp;")")</f>
        <v>#N/A</v>
      </c>
      <c r="E174" s="27">
        <f>'web survey'!S172</f>
        <v>0</v>
      </c>
      <c r="F174" s="18" t="e">
        <f>IF(B174="FU-ACInstall",VLOOKUP(VALUE('web survey'!E172),ref!$B$10:$C$12,2,0)&amp;" ("&amp;'web survey'!E172&amp;")",VLOOKUP(VALUE('web survey'!E172),ref!$E$13:$F$17,2,0)&amp;" ("&amp;'web survey'!E172&amp;")")</f>
        <v>#N/A</v>
      </c>
      <c r="G174" s="27">
        <f>'web survey'!T172</f>
        <v>0</v>
      </c>
      <c r="H174" s="18" t="e">
        <f>IF(B174="FU-ACInstall",VLOOKUP(VALUE('web survey'!F172),ref!$B$15:$C$17,2,0)&amp;" ("&amp;'web survey'!F172&amp;")",VLOOKUP(VALUE('web survey'!F172),ref!$E$20:$F$21,2,0)&amp;" ("&amp;'web survey'!F172&amp;")")</f>
        <v>#N/A</v>
      </c>
      <c r="I174" s="27">
        <f>'web survey'!U172</f>
        <v>0</v>
      </c>
      <c r="J174" s="18" t="e">
        <f>IF(B174="FU-ACInstall","-",VLOOKUP(VALUE('web survey'!G172),ref!$E$24:$F$26,2,0)&amp;" ("&amp;'web survey'!G172&amp;")")</f>
        <v>#N/A</v>
      </c>
      <c r="K174" s="6" t="str">
        <f>YEAR('web survey'!Z172)&amp;"-"&amp;IF(MONTH('web survey'!Z172)&lt;10,"0"&amp;MONTH('web survey'!Z172),MONTH('web survey'!Z172))&amp;"-"&amp;IF(DAY('web survey'!Z172)&lt;10,"0"&amp;DAY('web survey'!Z172),DAY('web survey'!Z172))&amp;" "&amp;IF(HOUR('web survey'!Z172)&lt;10,"0"&amp;HOUR('web survey'!Z172),HOUR('web survey'!Z172))&amp;":"&amp;IF(MINUTE('web survey'!Z172)&lt;10,"0"&amp;MINUTE('web survey'!Z172),MINUTE('web survey'!Z172))&amp;(":00'")</f>
        <v>1900-01-00 00:00:00'</v>
      </c>
      <c r="L174" s="33"/>
      <c r="N174" s="35">
        <v>171</v>
      </c>
      <c r="O174" s="35">
        <v>0</v>
      </c>
      <c r="P174" s="37">
        <v>0</v>
      </c>
      <c r="Q174" s="39" t="e">
        <v>#N/A</v>
      </c>
      <c r="R174" s="41">
        <v>0</v>
      </c>
      <c r="S174" s="39" t="e">
        <v>#N/A</v>
      </c>
      <c r="T174" s="41">
        <v>0</v>
      </c>
      <c r="U174" s="39" t="e">
        <v>#N/A</v>
      </c>
      <c r="V174" s="41">
        <v>0</v>
      </c>
      <c r="W174" s="39" t="e">
        <v>#N/A</v>
      </c>
      <c r="X174" s="35">
        <v>0</v>
      </c>
    </row>
    <row r="175" spans="1:24" ht="28.2" customHeight="1" x14ac:dyDescent="0.3">
      <c r="A175" s="6">
        <f>IF(B175="","",ROW()-COUNTBLANK($B$4:B175)-3)</f>
        <v>172</v>
      </c>
      <c r="B175" s="6">
        <f>'web survey'!C173</f>
        <v>0</v>
      </c>
      <c r="C175" s="29">
        <f>'web survey'!AA173</f>
        <v>0</v>
      </c>
      <c r="D175" s="18" t="e">
        <f>IF(B175="FU-ACInstall",VLOOKUP(VALUE('web survey'!D173),ref!$B$6:$C$7,2,0)&amp;" ("&amp;'web survey'!D173&amp;")",VLOOKUP(VALUE('web survey'!D173),ref!$E$6:$F$10,2,0)&amp;" ("&amp;'web survey'!D173&amp;")")</f>
        <v>#N/A</v>
      </c>
      <c r="E175" s="27">
        <f>'web survey'!S173</f>
        <v>0</v>
      </c>
      <c r="F175" s="18" t="e">
        <f>IF(B175="FU-ACInstall",VLOOKUP(VALUE('web survey'!E173),ref!$B$10:$C$12,2,0)&amp;" ("&amp;'web survey'!E173&amp;")",VLOOKUP(VALUE('web survey'!E173),ref!$E$13:$F$17,2,0)&amp;" ("&amp;'web survey'!E173&amp;")")</f>
        <v>#N/A</v>
      </c>
      <c r="G175" s="27">
        <f>'web survey'!T173</f>
        <v>0</v>
      </c>
      <c r="H175" s="18" t="e">
        <f>IF(B175="FU-ACInstall",VLOOKUP(VALUE('web survey'!F173),ref!$B$15:$C$17,2,0)&amp;" ("&amp;'web survey'!F173&amp;")",VLOOKUP(VALUE('web survey'!F173),ref!$E$20:$F$21,2,0)&amp;" ("&amp;'web survey'!F173&amp;")")</f>
        <v>#N/A</v>
      </c>
      <c r="I175" s="27">
        <f>'web survey'!U173</f>
        <v>0</v>
      </c>
      <c r="J175" s="18" t="e">
        <f>IF(B175="FU-ACInstall","-",VLOOKUP(VALUE('web survey'!G173),ref!$E$24:$F$26,2,0)&amp;" ("&amp;'web survey'!G173&amp;")")</f>
        <v>#N/A</v>
      </c>
      <c r="K175" s="6" t="str">
        <f>YEAR('web survey'!Z173)&amp;"-"&amp;IF(MONTH('web survey'!Z173)&lt;10,"0"&amp;MONTH('web survey'!Z173),MONTH('web survey'!Z173))&amp;"-"&amp;IF(DAY('web survey'!Z173)&lt;10,"0"&amp;DAY('web survey'!Z173),DAY('web survey'!Z173))&amp;" "&amp;IF(HOUR('web survey'!Z173)&lt;10,"0"&amp;HOUR('web survey'!Z173),HOUR('web survey'!Z173))&amp;":"&amp;IF(MINUTE('web survey'!Z173)&lt;10,"0"&amp;MINUTE('web survey'!Z173),MINUTE('web survey'!Z173))&amp;(":00'")</f>
        <v>1900-01-00 00:00:00'</v>
      </c>
      <c r="L175" s="33"/>
      <c r="N175" s="35">
        <v>172</v>
      </c>
      <c r="O175" s="35">
        <v>0</v>
      </c>
      <c r="P175" s="37">
        <v>0</v>
      </c>
      <c r="Q175" s="39" t="e">
        <v>#N/A</v>
      </c>
      <c r="R175" s="41">
        <v>0</v>
      </c>
      <c r="S175" s="39" t="e">
        <v>#N/A</v>
      </c>
      <c r="T175" s="41">
        <v>0</v>
      </c>
      <c r="U175" s="39" t="e">
        <v>#N/A</v>
      </c>
      <c r="V175" s="41">
        <v>0</v>
      </c>
      <c r="W175" s="39" t="e">
        <v>#N/A</v>
      </c>
      <c r="X175" s="35">
        <v>0</v>
      </c>
    </row>
    <row r="176" spans="1:24" ht="28.2" customHeight="1" x14ac:dyDescent="0.3">
      <c r="A176" s="6">
        <f>IF(B176="","",ROW()-COUNTBLANK($B$4:B176)-3)</f>
        <v>173</v>
      </c>
      <c r="B176" s="6">
        <f>'web survey'!C174</f>
        <v>0</v>
      </c>
      <c r="C176" s="29">
        <f>'web survey'!AA174</f>
        <v>0</v>
      </c>
      <c r="D176" s="18" t="e">
        <f>IF(B176="FU-ACInstall",VLOOKUP(VALUE('web survey'!D174),ref!$B$6:$C$7,2,0)&amp;" ("&amp;'web survey'!D174&amp;")",VLOOKUP(VALUE('web survey'!D174),ref!$E$6:$F$10,2,0)&amp;" ("&amp;'web survey'!D174&amp;")")</f>
        <v>#N/A</v>
      </c>
      <c r="E176" s="27">
        <f>'web survey'!S174</f>
        <v>0</v>
      </c>
      <c r="F176" s="18" t="e">
        <f>IF(B176="FU-ACInstall",VLOOKUP(VALUE('web survey'!E174),ref!$B$10:$C$12,2,0)&amp;" ("&amp;'web survey'!E174&amp;")",VLOOKUP(VALUE('web survey'!E174),ref!$E$13:$F$17,2,0)&amp;" ("&amp;'web survey'!E174&amp;")")</f>
        <v>#N/A</v>
      </c>
      <c r="G176" s="27">
        <f>'web survey'!T174</f>
        <v>0</v>
      </c>
      <c r="H176" s="18" t="e">
        <f>IF(B176="FU-ACInstall",VLOOKUP(VALUE('web survey'!F174),ref!$B$15:$C$17,2,0)&amp;" ("&amp;'web survey'!F174&amp;")",VLOOKUP(VALUE('web survey'!F174),ref!$E$20:$F$21,2,0)&amp;" ("&amp;'web survey'!F174&amp;")")</f>
        <v>#N/A</v>
      </c>
      <c r="I176" s="27">
        <f>'web survey'!U174</f>
        <v>0</v>
      </c>
      <c r="J176" s="18" t="e">
        <f>IF(B176="FU-ACInstall","-",VLOOKUP(VALUE('web survey'!G174),ref!$E$24:$F$26,2,0)&amp;" ("&amp;'web survey'!G174&amp;")")</f>
        <v>#N/A</v>
      </c>
      <c r="K176" s="6" t="str">
        <f>YEAR('web survey'!Z174)&amp;"-"&amp;IF(MONTH('web survey'!Z174)&lt;10,"0"&amp;MONTH('web survey'!Z174),MONTH('web survey'!Z174))&amp;"-"&amp;IF(DAY('web survey'!Z174)&lt;10,"0"&amp;DAY('web survey'!Z174),DAY('web survey'!Z174))&amp;" "&amp;IF(HOUR('web survey'!Z174)&lt;10,"0"&amp;HOUR('web survey'!Z174),HOUR('web survey'!Z174))&amp;":"&amp;IF(MINUTE('web survey'!Z174)&lt;10,"0"&amp;MINUTE('web survey'!Z174),MINUTE('web survey'!Z174))&amp;(":00'")</f>
        <v>1900-01-00 00:00:00'</v>
      </c>
      <c r="L176" s="33"/>
      <c r="N176" s="35">
        <v>173</v>
      </c>
      <c r="O176" s="35">
        <v>0</v>
      </c>
      <c r="P176" s="37">
        <v>0</v>
      </c>
      <c r="Q176" s="39" t="e">
        <v>#N/A</v>
      </c>
      <c r="R176" s="41">
        <v>0</v>
      </c>
      <c r="S176" s="39" t="e">
        <v>#N/A</v>
      </c>
      <c r="T176" s="41">
        <v>0</v>
      </c>
      <c r="U176" s="39" t="e">
        <v>#N/A</v>
      </c>
      <c r="V176" s="41">
        <v>0</v>
      </c>
      <c r="W176" s="39" t="e">
        <v>#N/A</v>
      </c>
      <c r="X176" s="35">
        <v>0</v>
      </c>
    </row>
    <row r="177" spans="1:24" ht="28.2" customHeight="1" x14ac:dyDescent="0.3">
      <c r="A177" s="6">
        <f>IF(B177="","",ROW()-COUNTBLANK($B$4:B177)-3)</f>
        <v>174</v>
      </c>
      <c r="B177" s="6">
        <f>'web survey'!C175</f>
        <v>0</v>
      </c>
      <c r="C177" s="29">
        <f>'web survey'!AA175</f>
        <v>0</v>
      </c>
      <c r="D177" s="18" t="e">
        <f>IF(B177="FU-ACInstall",VLOOKUP(VALUE('web survey'!D175),ref!$B$6:$C$7,2,0)&amp;" ("&amp;'web survey'!D175&amp;")",VLOOKUP(VALUE('web survey'!D175),ref!$E$6:$F$10,2,0)&amp;" ("&amp;'web survey'!D175&amp;")")</f>
        <v>#N/A</v>
      </c>
      <c r="E177" s="27">
        <f>'web survey'!S175</f>
        <v>0</v>
      </c>
      <c r="F177" s="18" t="e">
        <f>IF(B177="FU-ACInstall",VLOOKUP(VALUE('web survey'!E175),ref!$B$10:$C$12,2,0)&amp;" ("&amp;'web survey'!E175&amp;")",VLOOKUP(VALUE('web survey'!E175),ref!$E$13:$F$17,2,0)&amp;" ("&amp;'web survey'!E175&amp;")")</f>
        <v>#N/A</v>
      </c>
      <c r="G177" s="27">
        <f>'web survey'!T175</f>
        <v>0</v>
      </c>
      <c r="H177" s="18" t="e">
        <f>IF(B177="FU-ACInstall",VLOOKUP(VALUE('web survey'!F175),ref!$B$15:$C$17,2,0)&amp;" ("&amp;'web survey'!F175&amp;")",VLOOKUP(VALUE('web survey'!F175),ref!$E$20:$F$21,2,0)&amp;" ("&amp;'web survey'!F175&amp;")")</f>
        <v>#N/A</v>
      </c>
      <c r="I177" s="27">
        <f>'web survey'!U175</f>
        <v>0</v>
      </c>
      <c r="J177" s="18" t="e">
        <f>IF(B177="FU-ACInstall","-",VLOOKUP(VALUE('web survey'!G175),ref!$E$24:$F$26,2,0)&amp;" ("&amp;'web survey'!G175&amp;")")</f>
        <v>#N/A</v>
      </c>
      <c r="K177" s="6" t="str">
        <f>YEAR('web survey'!Z175)&amp;"-"&amp;IF(MONTH('web survey'!Z175)&lt;10,"0"&amp;MONTH('web survey'!Z175),MONTH('web survey'!Z175))&amp;"-"&amp;IF(DAY('web survey'!Z175)&lt;10,"0"&amp;DAY('web survey'!Z175),DAY('web survey'!Z175))&amp;" "&amp;IF(HOUR('web survey'!Z175)&lt;10,"0"&amp;HOUR('web survey'!Z175),HOUR('web survey'!Z175))&amp;":"&amp;IF(MINUTE('web survey'!Z175)&lt;10,"0"&amp;MINUTE('web survey'!Z175),MINUTE('web survey'!Z175))&amp;(":00'")</f>
        <v>1900-01-00 00:00:00'</v>
      </c>
      <c r="L177" s="33"/>
      <c r="N177" s="35">
        <v>174</v>
      </c>
      <c r="O177" s="35">
        <v>0</v>
      </c>
      <c r="P177" s="37">
        <v>0</v>
      </c>
      <c r="Q177" s="39" t="e">
        <v>#N/A</v>
      </c>
      <c r="R177" s="41">
        <v>0</v>
      </c>
      <c r="S177" s="39" t="e">
        <v>#N/A</v>
      </c>
      <c r="T177" s="41">
        <v>0</v>
      </c>
      <c r="U177" s="39" t="e">
        <v>#N/A</v>
      </c>
      <c r="V177" s="41">
        <v>0</v>
      </c>
      <c r="W177" s="39" t="e">
        <v>#N/A</v>
      </c>
      <c r="X177" s="35">
        <v>0</v>
      </c>
    </row>
    <row r="178" spans="1:24" ht="28.2" customHeight="1" x14ac:dyDescent="0.3">
      <c r="A178" s="6">
        <f>IF(B178="","",ROW()-COUNTBLANK($B$4:B178)-3)</f>
        <v>175</v>
      </c>
      <c r="B178" s="6">
        <f>'web survey'!C176</f>
        <v>0</v>
      </c>
      <c r="C178" s="29">
        <f>'web survey'!AA176</f>
        <v>0</v>
      </c>
      <c r="D178" s="18" t="e">
        <f>IF(B178="FU-ACInstall",VLOOKUP(VALUE('web survey'!D176),ref!$B$6:$C$7,2,0)&amp;" ("&amp;'web survey'!D176&amp;")",VLOOKUP(VALUE('web survey'!D176),ref!$E$6:$F$10,2,0)&amp;" ("&amp;'web survey'!D176&amp;")")</f>
        <v>#N/A</v>
      </c>
      <c r="E178" s="27">
        <f>'web survey'!S176</f>
        <v>0</v>
      </c>
      <c r="F178" s="18" t="e">
        <f>IF(B178="FU-ACInstall",VLOOKUP(VALUE('web survey'!E176),ref!$B$10:$C$12,2,0)&amp;" ("&amp;'web survey'!E176&amp;")",VLOOKUP(VALUE('web survey'!E176),ref!$E$13:$F$17,2,0)&amp;" ("&amp;'web survey'!E176&amp;")")</f>
        <v>#N/A</v>
      </c>
      <c r="G178" s="27">
        <f>'web survey'!T176</f>
        <v>0</v>
      </c>
      <c r="H178" s="18" t="e">
        <f>IF(B178="FU-ACInstall",VLOOKUP(VALUE('web survey'!F176),ref!$B$15:$C$17,2,0)&amp;" ("&amp;'web survey'!F176&amp;")",VLOOKUP(VALUE('web survey'!F176),ref!$E$20:$F$21,2,0)&amp;" ("&amp;'web survey'!F176&amp;")")</f>
        <v>#N/A</v>
      </c>
      <c r="I178" s="27">
        <f>'web survey'!U176</f>
        <v>0</v>
      </c>
      <c r="J178" s="18" t="e">
        <f>IF(B178="FU-ACInstall","-",VLOOKUP(VALUE('web survey'!G176),ref!$E$24:$F$26,2,0)&amp;" ("&amp;'web survey'!G176&amp;")")</f>
        <v>#N/A</v>
      </c>
      <c r="K178" s="6" t="str">
        <f>YEAR('web survey'!Z176)&amp;"-"&amp;IF(MONTH('web survey'!Z176)&lt;10,"0"&amp;MONTH('web survey'!Z176),MONTH('web survey'!Z176))&amp;"-"&amp;IF(DAY('web survey'!Z176)&lt;10,"0"&amp;DAY('web survey'!Z176),DAY('web survey'!Z176))&amp;" "&amp;IF(HOUR('web survey'!Z176)&lt;10,"0"&amp;HOUR('web survey'!Z176),HOUR('web survey'!Z176))&amp;":"&amp;IF(MINUTE('web survey'!Z176)&lt;10,"0"&amp;MINUTE('web survey'!Z176),MINUTE('web survey'!Z176))&amp;(":00'")</f>
        <v>1900-01-00 00:00:00'</v>
      </c>
      <c r="L178" s="33"/>
      <c r="N178" s="35">
        <v>175</v>
      </c>
      <c r="O178" s="35">
        <v>0</v>
      </c>
      <c r="P178" s="37">
        <v>0</v>
      </c>
      <c r="Q178" s="39" t="e">
        <v>#N/A</v>
      </c>
      <c r="R178" s="41">
        <v>0</v>
      </c>
      <c r="S178" s="39" t="e">
        <v>#N/A</v>
      </c>
      <c r="T178" s="41">
        <v>0</v>
      </c>
      <c r="U178" s="39" t="e">
        <v>#N/A</v>
      </c>
      <c r="V178" s="41">
        <v>0</v>
      </c>
      <c r="W178" s="39" t="e">
        <v>#N/A</v>
      </c>
      <c r="X178" s="35">
        <v>0</v>
      </c>
    </row>
    <row r="179" spans="1:24" ht="28.2" customHeight="1" x14ac:dyDescent="0.3">
      <c r="A179" s="6">
        <f>IF(B179="","",ROW()-COUNTBLANK($B$4:B179)-3)</f>
        <v>176</v>
      </c>
      <c r="B179" s="6">
        <f>'web survey'!C177</f>
        <v>0</v>
      </c>
      <c r="C179" s="29">
        <f>'web survey'!AA177</f>
        <v>0</v>
      </c>
      <c r="D179" s="18" t="e">
        <f>IF(B179="FU-ACInstall",VLOOKUP(VALUE('web survey'!D177),ref!$B$6:$C$7,2,0)&amp;" ("&amp;'web survey'!D177&amp;")",VLOOKUP(VALUE('web survey'!D177),ref!$E$6:$F$10,2,0)&amp;" ("&amp;'web survey'!D177&amp;")")</f>
        <v>#N/A</v>
      </c>
      <c r="E179" s="27">
        <f>'web survey'!S177</f>
        <v>0</v>
      </c>
      <c r="F179" s="18" t="e">
        <f>IF(B179="FU-ACInstall",VLOOKUP(VALUE('web survey'!E177),ref!$B$10:$C$12,2,0)&amp;" ("&amp;'web survey'!E177&amp;")",VLOOKUP(VALUE('web survey'!E177),ref!$E$13:$F$17,2,0)&amp;" ("&amp;'web survey'!E177&amp;")")</f>
        <v>#N/A</v>
      </c>
      <c r="G179" s="27">
        <f>'web survey'!T177</f>
        <v>0</v>
      </c>
      <c r="H179" s="18" t="e">
        <f>IF(B179="FU-ACInstall",VLOOKUP(VALUE('web survey'!F177),ref!$B$15:$C$17,2,0)&amp;" ("&amp;'web survey'!F177&amp;")",VLOOKUP(VALUE('web survey'!F177),ref!$E$20:$F$21,2,0)&amp;" ("&amp;'web survey'!F177&amp;")")</f>
        <v>#N/A</v>
      </c>
      <c r="I179" s="27">
        <f>'web survey'!U177</f>
        <v>0</v>
      </c>
      <c r="J179" s="18" t="e">
        <f>IF(B179="FU-ACInstall","-",VLOOKUP(VALUE('web survey'!G177),ref!$E$24:$F$26,2,0)&amp;" ("&amp;'web survey'!G177&amp;")")</f>
        <v>#N/A</v>
      </c>
      <c r="K179" s="6" t="str">
        <f>YEAR('web survey'!Z177)&amp;"-"&amp;IF(MONTH('web survey'!Z177)&lt;10,"0"&amp;MONTH('web survey'!Z177),MONTH('web survey'!Z177))&amp;"-"&amp;IF(DAY('web survey'!Z177)&lt;10,"0"&amp;DAY('web survey'!Z177),DAY('web survey'!Z177))&amp;" "&amp;IF(HOUR('web survey'!Z177)&lt;10,"0"&amp;HOUR('web survey'!Z177),HOUR('web survey'!Z177))&amp;":"&amp;IF(MINUTE('web survey'!Z177)&lt;10,"0"&amp;MINUTE('web survey'!Z177),MINUTE('web survey'!Z177))&amp;(":00'")</f>
        <v>1900-01-00 00:00:00'</v>
      </c>
      <c r="L179" s="33"/>
      <c r="N179" s="35">
        <v>176</v>
      </c>
      <c r="O179" s="35">
        <v>0</v>
      </c>
      <c r="P179" s="37">
        <v>0</v>
      </c>
      <c r="Q179" s="39" t="e">
        <v>#N/A</v>
      </c>
      <c r="R179" s="41">
        <v>0</v>
      </c>
      <c r="S179" s="39" t="e">
        <v>#N/A</v>
      </c>
      <c r="T179" s="41">
        <v>0</v>
      </c>
      <c r="U179" s="39" t="e">
        <v>#N/A</v>
      </c>
      <c r="V179" s="41">
        <v>0</v>
      </c>
      <c r="W179" s="39" t="e">
        <v>#N/A</v>
      </c>
      <c r="X179" s="35">
        <v>0</v>
      </c>
    </row>
    <row r="180" spans="1:24" ht="28.2" customHeight="1" x14ac:dyDescent="0.3">
      <c r="A180" s="6">
        <f>IF(B180="","",ROW()-COUNTBLANK($B$4:B180)-3)</f>
        <v>177</v>
      </c>
      <c r="B180" s="6">
        <f>'web survey'!C178</f>
        <v>0</v>
      </c>
      <c r="C180" s="29">
        <f>'web survey'!AA178</f>
        <v>0</v>
      </c>
      <c r="D180" s="18" t="e">
        <f>IF(B180="FU-ACInstall",VLOOKUP(VALUE('web survey'!D178),ref!$B$6:$C$7,2,0)&amp;" ("&amp;'web survey'!D178&amp;")",VLOOKUP(VALUE('web survey'!D178),ref!$E$6:$F$10,2,0)&amp;" ("&amp;'web survey'!D178&amp;")")</f>
        <v>#N/A</v>
      </c>
      <c r="E180" s="27">
        <f>'web survey'!S178</f>
        <v>0</v>
      </c>
      <c r="F180" s="18" t="e">
        <f>IF(B180="FU-ACInstall",VLOOKUP(VALUE('web survey'!E178),ref!$B$10:$C$12,2,0)&amp;" ("&amp;'web survey'!E178&amp;")",VLOOKUP(VALUE('web survey'!E178),ref!$E$13:$F$17,2,0)&amp;" ("&amp;'web survey'!E178&amp;")")</f>
        <v>#N/A</v>
      </c>
      <c r="G180" s="27">
        <f>'web survey'!T178</f>
        <v>0</v>
      </c>
      <c r="H180" s="18" t="e">
        <f>IF(B180="FU-ACInstall",VLOOKUP(VALUE('web survey'!F178),ref!$B$15:$C$17,2,0)&amp;" ("&amp;'web survey'!F178&amp;")",VLOOKUP(VALUE('web survey'!F178),ref!$E$20:$F$21,2,0)&amp;" ("&amp;'web survey'!F178&amp;")")</f>
        <v>#N/A</v>
      </c>
      <c r="I180" s="27">
        <f>'web survey'!U178</f>
        <v>0</v>
      </c>
      <c r="J180" s="18" t="e">
        <f>IF(B180="FU-ACInstall","-",VLOOKUP(VALUE('web survey'!G178),ref!$E$24:$F$26,2,0)&amp;" ("&amp;'web survey'!G178&amp;")")</f>
        <v>#N/A</v>
      </c>
      <c r="K180" s="6" t="str">
        <f>YEAR('web survey'!Z178)&amp;"-"&amp;IF(MONTH('web survey'!Z178)&lt;10,"0"&amp;MONTH('web survey'!Z178),MONTH('web survey'!Z178))&amp;"-"&amp;IF(DAY('web survey'!Z178)&lt;10,"0"&amp;DAY('web survey'!Z178),DAY('web survey'!Z178))&amp;" "&amp;IF(HOUR('web survey'!Z178)&lt;10,"0"&amp;HOUR('web survey'!Z178),HOUR('web survey'!Z178))&amp;":"&amp;IF(MINUTE('web survey'!Z178)&lt;10,"0"&amp;MINUTE('web survey'!Z178),MINUTE('web survey'!Z178))&amp;(":00'")</f>
        <v>1900-01-00 00:00:00'</v>
      </c>
      <c r="L180" s="33"/>
      <c r="N180" s="35">
        <v>177</v>
      </c>
      <c r="O180" s="35">
        <v>0</v>
      </c>
      <c r="P180" s="37">
        <v>0</v>
      </c>
      <c r="Q180" s="39" t="e">
        <v>#N/A</v>
      </c>
      <c r="R180" s="41">
        <v>0</v>
      </c>
      <c r="S180" s="39" t="e">
        <v>#N/A</v>
      </c>
      <c r="T180" s="41">
        <v>0</v>
      </c>
      <c r="U180" s="39" t="e">
        <v>#N/A</v>
      </c>
      <c r="V180" s="41">
        <v>0</v>
      </c>
      <c r="W180" s="39" t="e">
        <v>#N/A</v>
      </c>
      <c r="X180" s="35">
        <v>0</v>
      </c>
    </row>
    <row r="181" spans="1:24" ht="28.2" customHeight="1" x14ac:dyDescent="0.3">
      <c r="A181" s="6">
        <f>IF(B181="","",ROW()-COUNTBLANK($B$4:B181)-3)</f>
        <v>178</v>
      </c>
      <c r="B181" s="6">
        <f>'web survey'!C179</f>
        <v>0</v>
      </c>
      <c r="C181" s="29">
        <f>'web survey'!AA179</f>
        <v>0</v>
      </c>
      <c r="D181" s="18" t="e">
        <f>IF(B181="FU-ACInstall",VLOOKUP(VALUE('web survey'!D179),ref!$B$6:$C$7,2,0)&amp;" ("&amp;'web survey'!D179&amp;")",VLOOKUP(VALUE('web survey'!D179),ref!$E$6:$F$10,2,0)&amp;" ("&amp;'web survey'!D179&amp;")")</f>
        <v>#N/A</v>
      </c>
      <c r="E181" s="27">
        <f>'web survey'!S179</f>
        <v>0</v>
      </c>
      <c r="F181" s="18" t="e">
        <f>IF(B181="FU-ACInstall",VLOOKUP(VALUE('web survey'!E179),ref!$B$10:$C$12,2,0)&amp;" ("&amp;'web survey'!E179&amp;")",VLOOKUP(VALUE('web survey'!E179),ref!$E$13:$F$17,2,0)&amp;" ("&amp;'web survey'!E179&amp;")")</f>
        <v>#N/A</v>
      </c>
      <c r="G181" s="27">
        <f>'web survey'!T179</f>
        <v>0</v>
      </c>
      <c r="H181" s="18" t="e">
        <f>IF(B181="FU-ACInstall",VLOOKUP(VALUE('web survey'!F179),ref!$B$15:$C$17,2,0)&amp;" ("&amp;'web survey'!F179&amp;")",VLOOKUP(VALUE('web survey'!F179),ref!$E$20:$F$21,2,0)&amp;" ("&amp;'web survey'!F179&amp;")")</f>
        <v>#N/A</v>
      </c>
      <c r="I181" s="27">
        <f>'web survey'!U179</f>
        <v>0</v>
      </c>
      <c r="J181" s="18" t="e">
        <f>IF(B181="FU-ACInstall","-",VLOOKUP(VALUE('web survey'!G179),ref!$E$24:$F$26,2,0)&amp;" ("&amp;'web survey'!G179&amp;")")</f>
        <v>#N/A</v>
      </c>
      <c r="K181" s="6" t="str">
        <f>YEAR('web survey'!Z179)&amp;"-"&amp;IF(MONTH('web survey'!Z179)&lt;10,"0"&amp;MONTH('web survey'!Z179),MONTH('web survey'!Z179))&amp;"-"&amp;IF(DAY('web survey'!Z179)&lt;10,"0"&amp;DAY('web survey'!Z179),DAY('web survey'!Z179))&amp;" "&amp;IF(HOUR('web survey'!Z179)&lt;10,"0"&amp;HOUR('web survey'!Z179),HOUR('web survey'!Z179))&amp;":"&amp;IF(MINUTE('web survey'!Z179)&lt;10,"0"&amp;MINUTE('web survey'!Z179),MINUTE('web survey'!Z179))&amp;(":00'")</f>
        <v>1900-01-00 00:00:00'</v>
      </c>
      <c r="L181" s="33"/>
      <c r="N181" s="35">
        <v>178</v>
      </c>
      <c r="O181" s="35">
        <v>0</v>
      </c>
      <c r="P181" s="37">
        <v>0</v>
      </c>
      <c r="Q181" s="39" t="e">
        <v>#N/A</v>
      </c>
      <c r="R181" s="41">
        <v>0</v>
      </c>
      <c r="S181" s="39" t="e">
        <v>#N/A</v>
      </c>
      <c r="T181" s="41">
        <v>0</v>
      </c>
      <c r="U181" s="39" t="e">
        <v>#N/A</v>
      </c>
      <c r="V181" s="41">
        <v>0</v>
      </c>
      <c r="W181" s="39" t="e">
        <v>#N/A</v>
      </c>
      <c r="X181" s="35">
        <v>0</v>
      </c>
    </row>
    <row r="182" spans="1:24" ht="28.2" customHeight="1" x14ac:dyDescent="0.3">
      <c r="A182" s="6">
        <f>IF(B182="","",ROW()-COUNTBLANK($B$4:B182)-3)</f>
        <v>179</v>
      </c>
      <c r="B182" s="6">
        <f>'web survey'!C180</f>
        <v>0</v>
      </c>
      <c r="C182" s="29">
        <f>'web survey'!AA180</f>
        <v>0</v>
      </c>
      <c r="D182" s="18" t="e">
        <f>IF(B182="FU-ACInstall",VLOOKUP(VALUE('web survey'!D180),ref!$B$6:$C$7,2,0)&amp;" ("&amp;'web survey'!D180&amp;")",VLOOKUP(VALUE('web survey'!D180),ref!$E$6:$F$10,2,0)&amp;" ("&amp;'web survey'!D180&amp;")")</f>
        <v>#N/A</v>
      </c>
      <c r="E182" s="27">
        <f>'web survey'!S180</f>
        <v>0</v>
      </c>
      <c r="F182" s="18" t="e">
        <f>IF(B182="FU-ACInstall",VLOOKUP(VALUE('web survey'!E180),ref!$B$10:$C$12,2,0)&amp;" ("&amp;'web survey'!E180&amp;")",VLOOKUP(VALUE('web survey'!E180),ref!$E$13:$F$17,2,0)&amp;" ("&amp;'web survey'!E180&amp;")")</f>
        <v>#N/A</v>
      </c>
      <c r="G182" s="27">
        <f>'web survey'!T180</f>
        <v>0</v>
      </c>
      <c r="H182" s="18" t="e">
        <f>IF(B182="FU-ACInstall",VLOOKUP(VALUE('web survey'!F180),ref!$B$15:$C$17,2,0)&amp;" ("&amp;'web survey'!F180&amp;")",VLOOKUP(VALUE('web survey'!F180),ref!$E$20:$F$21,2,0)&amp;" ("&amp;'web survey'!F180&amp;")")</f>
        <v>#N/A</v>
      </c>
      <c r="I182" s="27">
        <f>'web survey'!U180</f>
        <v>0</v>
      </c>
      <c r="J182" s="18" t="e">
        <f>IF(B182="FU-ACInstall","-",VLOOKUP(VALUE('web survey'!G180),ref!$E$24:$F$26,2,0)&amp;" ("&amp;'web survey'!G180&amp;")")</f>
        <v>#N/A</v>
      </c>
      <c r="K182" s="6" t="str">
        <f>YEAR('web survey'!Z180)&amp;"-"&amp;IF(MONTH('web survey'!Z180)&lt;10,"0"&amp;MONTH('web survey'!Z180),MONTH('web survey'!Z180))&amp;"-"&amp;IF(DAY('web survey'!Z180)&lt;10,"0"&amp;DAY('web survey'!Z180),DAY('web survey'!Z180))&amp;" "&amp;IF(HOUR('web survey'!Z180)&lt;10,"0"&amp;HOUR('web survey'!Z180),HOUR('web survey'!Z180))&amp;":"&amp;IF(MINUTE('web survey'!Z180)&lt;10,"0"&amp;MINUTE('web survey'!Z180),MINUTE('web survey'!Z180))&amp;(":00'")</f>
        <v>1900-01-00 00:00:00'</v>
      </c>
      <c r="L182" s="33"/>
      <c r="N182" s="35">
        <v>179</v>
      </c>
      <c r="O182" s="35">
        <v>0</v>
      </c>
      <c r="P182" s="37">
        <v>0</v>
      </c>
      <c r="Q182" s="39" t="e">
        <v>#N/A</v>
      </c>
      <c r="R182" s="41">
        <v>0</v>
      </c>
      <c r="S182" s="39" t="e">
        <v>#N/A</v>
      </c>
      <c r="T182" s="41">
        <v>0</v>
      </c>
      <c r="U182" s="39" t="e">
        <v>#N/A</v>
      </c>
      <c r="V182" s="41">
        <v>0</v>
      </c>
      <c r="W182" s="39" t="e">
        <v>#N/A</v>
      </c>
      <c r="X182" s="35">
        <v>0</v>
      </c>
    </row>
    <row r="183" spans="1:24" ht="28.2" customHeight="1" x14ac:dyDescent="0.3">
      <c r="A183" s="6">
        <f>IF(B183="","",ROW()-COUNTBLANK($B$4:B183)-3)</f>
        <v>180</v>
      </c>
      <c r="B183" s="6">
        <f>'web survey'!C181</f>
        <v>0</v>
      </c>
      <c r="C183" s="29">
        <f>'web survey'!AA181</f>
        <v>0</v>
      </c>
      <c r="D183" s="18" t="e">
        <f>IF(B183="FU-ACInstall",VLOOKUP(VALUE('web survey'!D181),ref!$B$6:$C$7,2,0)&amp;" ("&amp;'web survey'!D181&amp;")",VLOOKUP(VALUE('web survey'!D181),ref!$E$6:$F$10,2,0)&amp;" ("&amp;'web survey'!D181&amp;")")</f>
        <v>#N/A</v>
      </c>
      <c r="E183" s="27">
        <f>'web survey'!S181</f>
        <v>0</v>
      </c>
      <c r="F183" s="18" t="e">
        <f>IF(B183="FU-ACInstall",VLOOKUP(VALUE('web survey'!E181),ref!$B$10:$C$12,2,0)&amp;" ("&amp;'web survey'!E181&amp;")",VLOOKUP(VALUE('web survey'!E181),ref!$E$13:$F$17,2,0)&amp;" ("&amp;'web survey'!E181&amp;")")</f>
        <v>#N/A</v>
      </c>
      <c r="G183" s="27">
        <f>'web survey'!T181</f>
        <v>0</v>
      </c>
      <c r="H183" s="18" t="e">
        <f>IF(B183="FU-ACInstall",VLOOKUP(VALUE('web survey'!F181),ref!$B$15:$C$17,2,0)&amp;" ("&amp;'web survey'!F181&amp;")",VLOOKUP(VALUE('web survey'!F181),ref!$E$20:$F$21,2,0)&amp;" ("&amp;'web survey'!F181&amp;")")</f>
        <v>#N/A</v>
      </c>
      <c r="I183" s="27">
        <f>'web survey'!U181</f>
        <v>0</v>
      </c>
      <c r="J183" s="18" t="e">
        <f>IF(B183="FU-ACInstall","-",VLOOKUP(VALUE('web survey'!G181),ref!$E$24:$F$26,2,0)&amp;" ("&amp;'web survey'!G181&amp;")")</f>
        <v>#N/A</v>
      </c>
      <c r="K183" s="6" t="str">
        <f>YEAR('web survey'!Z181)&amp;"-"&amp;IF(MONTH('web survey'!Z181)&lt;10,"0"&amp;MONTH('web survey'!Z181),MONTH('web survey'!Z181))&amp;"-"&amp;IF(DAY('web survey'!Z181)&lt;10,"0"&amp;DAY('web survey'!Z181),DAY('web survey'!Z181))&amp;" "&amp;IF(HOUR('web survey'!Z181)&lt;10,"0"&amp;HOUR('web survey'!Z181),HOUR('web survey'!Z181))&amp;":"&amp;IF(MINUTE('web survey'!Z181)&lt;10,"0"&amp;MINUTE('web survey'!Z181),MINUTE('web survey'!Z181))&amp;(":00'")</f>
        <v>1900-01-00 00:00:00'</v>
      </c>
      <c r="L183" s="33"/>
      <c r="N183" s="35">
        <v>180</v>
      </c>
      <c r="O183" s="35">
        <v>0</v>
      </c>
      <c r="P183" s="37">
        <v>0</v>
      </c>
      <c r="Q183" s="39" t="e">
        <v>#N/A</v>
      </c>
      <c r="R183" s="41">
        <v>0</v>
      </c>
      <c r="S183" s="39" t="e">
        <v>#N/A</v>
      </c>
      <c r="T183" s="41">
        <v>0</v>
      </c>
      <c r="U183" s="39" t="e">
        <v>#N/A</v>
      </c>
      <c r="V183" s="41">
        <v>0</v>
      </c>
      <c r="W183" s="39" t="e">
        <v>#N/A</v>
      </c>
      <c r="X183" s="35">
        <v>0</v>
      </c>
    </row>
    <row r="184" spans="1:24" ht="28.2" customHeight="1" x14ac:dyDescent="0.3">
      <c r="A184" s="6">
        <f>IF(B184="","",ROW()-COUNTBLANK($B$4:B184)-3)</f>
        <v>181</v>
      </c>
      <c r="B184" s="6">
        <f>'web survey'!C182</f>
        <v>0</v>
      </c>
      <c r="C184" s="29">
        <f>'web survey'!AA182</f>
        <v>0</v>
      </c>
      <c r="D184" s="18" t="e">
        <f>IF(B184="FU-ACInstall",VLOOKUP(VALUE('web survey'!D182),ref!$B$6:$C$7,2,0)&amp;" ("&amp;'web survey'!D182&amp;")",VLOOKUP(VALUE('web survey'!D182),ref!$E$6:$F$10,2,0)&amp;" ("&amp;'web survey'!D182&amp;")")</f>
        <v>#N/A</v>
      </c>
      <c r="E184" s="27">
        <f>'web survey'!S182</f>
        <v>0</v>
      </c>
      <c r="F184" s="18" t="e">
        <f>IF(B184="FU-ACInstall",VLOOKUP(VALUE('web survey'!E182),ref!$B$10:$C$12,2,0)&amp;" ("&amp;'web survey'!E182&amp;")",VLOOKUP(VALUE('web survey'!E182),ref!$E$13:$F$17,2,0)&amp;" ("&amp;'web survey'!E182&amp;")")</f>
        <v>#N/A</v>
      </c>
      <c r="G184" s="27">
        <f>'web survey'!T182</f>
        <v>0</v>
      </c>
      <c r="H184" s="18" t="e">
        <f>IF(B184="FU-ACInstall",VLOOKUP(VALUE('web survey'!F182),ref!$B$15:$C$17,2,0)&amp;" ("&amp;'web survey'!F182&amp;")",VLOOKUP(VALUE('web survey'!F182),ref!$E$20:$F$21,2,0)&amp;" ("&amp;'web survey'!F182&amp;")")</f>
        <v>#N/A</v>
      </c>
      <c r="I184" s="27">
        <f>'web survey'!U182</f>
        <v>0</v>
      </c>
      <c r="J184" s="18" t="e">
        <f>IF(B184="FU-ACInstall","-",VLOOKUP(VALUE('web survey'!G182),ref!$E$24:$F$26,2,0)&amp;" ("&amp;'web survey'!G182&amp;")")</f>
        <v>#N/A</v>
      </c>
      <c r="K184" s="6" t="str">
        <f>YEAR('web survey'!Z182)&amp;"-"&amp;IF(MONTH('web survey'!Z182)&lt;10,"0"&amp;MONTH('web survey'!Z182),MONTH('web survey'!Z182))&amp;"-"&amp;IF(DAY('web survey'!Z182)&lt;10,"0"&amp;DAY('web survey'!Z182),DAY('web survey'!Z182))&amp;" "&amp;IF(HOUR('web survey'!Z182)&lt;10,"0"&amp;HOUR('web survey'!Z182),HOUR('web survey'!Z182))&amp;":"&amp;IF(MINUTE('web survey'!Z182)&lt;10,"0"&amp;MINUTE('web survey'!Z182),MINUTE('web survey'!Z182))&amp;(":00'")</f>
        <v>1900-01-00 00:00:00'</v>
      </c>
      <c r="L184" s="33"/>
      <c r="N184" s="35">
        <v>181</v>
      </c>
      <c r="O184" s="35">
        <v>0</v>
      </c>
      <c r="P184" s="37">
        <v>0</v>
      </c>
      <c r="Q184" s="39" t="e">
        <v>#N/A</v>
      </c>
      <c r="R184" s="41">
        <v>0</v>
      </c>
      <c r="S184" s="39" t="e">
        <v>#N/A</v>
      </c>
      <c r="T184" s="41">
        <v>0</v>
      </c>
      <c r="U184" s="39" t="e">
        <v>#N/A</v>
      </c>
      <c r="V184" s="41">
        <v>0</v>
      </c>
      <c r="W184" s="39" t="e">
        <v>#N/A</v>
      </c>
      <c r="X184" s="35">
        <v>0</v>
      </c>
    </row>
    <row r="185" spans="1:24" ht="28.2" customHeight="1" x14ac:dyDescent="0.3">
      <c r="A185" s="6">
        <f>IF(B185="","",ROW()-COUNTBLANK($B$4:B185)-3)</f>
        <v>182</v>
      </c>
      <c r="B185" s="6">
        <f>'web survey'!C183</f>
        <v>0</v>
      </c>
      <c r="C185" s="29">
        <f>'web survey'!AA183</f>
        <v>0</v>
      </c>
      <c r="D185" s="18" t="e">
        <f>IF(B185="FU-ACInstall",VLOOKUP(VALUE('web survey'!D183),ref!$B$6:$C$7,2,0)&amp;" ("&amp;'web survey'!D183&amp;")",VLOOKUP(VALUE('web survey'!D183),ref!$E$6:$F$10,2,0)&amp;" ("&amp;'web survey'!D183&amp;")")</f>
        <v>#N/A</v>
      </c>
      <c r="E185" s="27">
        <f>'web survey'!S183</f>
        <v>0</v>
      </c>
      <c r="F185" s="18" t="e">
        <f>IF(B185="FU-ACInstall",VLOOKUP(VALUE('web survey'!E183),ref!$B$10:$C$12,2,0)&amp;" ("&amp;'web survey'!E183&amp;")",VLOOKUP(VALUE('web survey'!E183),ref!$E$13:$F$17,2,0)&amp;" ("&amp;'web survey'!E183&amp;")")</f>
        <v>#N/A</v>
      </c>
      <c r="G185" s="27">
        <f>'web survey'!T183</f>
        <v>0</v>
      </c>
      <c r="H185" s="18" t="e">
        <f>IF(B185="FU-ACInstall",VLOOKUP(VALUE('web survey'!F183),ref!$B$15:$C$17,2,0)&amp;" ("&amp;'web survey'!F183&amp;")",VLOOKUP(VALUE('web survey'!F183),ref!$E$20:$F$21,2,0)&amp;" ("&amp;'web survey'!F183&amp;")")</f>
        <v>#N/A</v>
      </c>
      <c r="I185" s="27">
        <f>'web survey'!U183</f>
        <v>0</v>
      </c>
      <c r="J185" s="18" t="e">
        <f>IF(B185="FU-ACInstall","-",VLOOKUP(VALUE('web survey'!G183),ref!$E$24:$F$26,2,0)&amp;" ("&amp;'web survey'!G183&amp;")")</f>
        <v>#N/A</v>
      </c>
      <c r="K185" s="6" t="str">
        <f>YEAR('web survey'!Z183)&amp;"-"&amp;IF(MONTH('web survey'!Z183)&lt;10,"0"&amp;MONTH('web survey'!Z183),MONTH('web survey'!Z183))&amp;"-"&amp;IF(DAY('web survey'!Z183)&lt;10,"0"&amp;DAY('web survey'!Z183),DAY('web survey'!Z183))&amp;" "&amp;IF(HOUR('web survey'!Z183)&lt;10,"0"&amp;HOUR('web survey'!Z183),HOUR('web survey'!Z183))&amp;":"&amp;IF(MINUTE('web survey'!Z183)&lt;10,"0"&amp;MINUTE('web survey'!Z183),MINUTE('web survey'!Z183))&amp;(":00'")</f>
        <v>1900-01-00 00:00:00'</v>
      </c>
      <c r="L185" s="33"/>
      <c r="N185" s="35">
        <v>182</v>
      </c>
      <c r="O185" s="35">
        <v>0</v>
      </c>
      <c r="P185" s="37">
        <v>0</v>
      </c>
      <c r="Q185" s="39" t="e">
        <v>#N/A</v>
      </c>
      <c r="R185" s="41">
        <v>0</v>
      </c>
      <c r="S185" s="39" t="e">
        <v>#N/A</v>
      </c>
      <c r="T185" s="41">
        <v>0</v>
      </c>
      <c r="U185" s="39" t="e">
        <v>#N/A</v>
      </c>
      <c r="V185" s="41">
        <v>0</v>
      </c>
      <c r="W185" s="39" t="e">
        <v>#N/A</v>
      </c>
      <c r="X185" s="35">
        <v>0</v>
      </c>
    </row>
    <row r="186" spans="1:24" ht="28.2" customHeight="1" x14ac:dyDescent="0.3">
      <c r="A186" s="6">
        <f>IF(B186="","",ROW()-COUNTBLANK($B$4:B186)-3)</f>
        <v>183</v>
      </c>
      <c r="B186" s="6">
        <f>'web survey'!C184</f>
        <v>0</v>
      </c>
      <c r="C186" s="29">
        <f>'web survey'!AA184</f>
        <v>0</v>
      </c>
      <c r="D186" s="18" t="e">
        <f>IF(B186="FU-ACInstall",VLOOKUP(VALUE('web survey'!D184),ref!$B$6:$C$7,2,0)&amp;" ("&amp;'web survey'!D184&amp;")",VLOOKUP(VALUE('web survey'!D184),ref!$E$6:$F$10,2,0)&amp;" ("&amp;'web survey'!D184&amp;")")</f>
        <v>#N/A</v>
      </c>
      <c r="E186" s="27">
        <f>'web survey'!S184</f>
        <v>0</v>
      </c>
      <c r="F186" s="18" t="e">
        <f>IF(B186="FU-ACInstall",VLOOKUP(VALUE('web survey'!E184),ref!$B$10:$C$12,2,0)&amp;" ("&amp;'web survey'!E184&amp;")",VLOOKUP(VALUE('web survey'!E184),ref!$E$13:$F$17,2,0)&amp;" ("&amp;'web survey'!E184&amp;")")</f>
        <v>#N/A</v>
      </c>
      <c r="G186" s="27">
        <f>'web survey'!T184</f>
        <v>0</v>
      </c>
      <c r="H186" s="18" t="e">
        <f>IF(B186="FU-ACInstall",VLOOKUP(VALUE('web survey'!F184),ref!$B$15:$C$17,2,0)&amp;" ("&amp;'web survey'!F184&amp;")",VLOOKUP(VALUE('web survey'!F184),ref!$E$20:$F$21,2,0)&amp;" ("&amp;'web survey'!F184&amp;")")</f>
        <v>#N/A</v>
      </c>
      <c r="I186" s="27">
        <f>'web survey'!U184</f>
        <v>0</v>
      </c>
      <c r="J186" s="18" t="e">
        <f>IF(B186="FU-ACInstall","-",VLOOKUP(VALUE('web survey'!G184),ref!$E$24:$F$26,2,0)&amp;" ("&amp;'web survey'!G184&amp;")")</f>
        <v>#N/A</v>
      </c>
      <c r="K186" s="6" t="str">
        <f>YEAR('web survey'!Z184)&amp;"-"&amp;IF(MONTH('web survey'!Z184)&lt;10,"0"&amp;MONTH('web survey'!Z184),MONTH('web survey'!Z184))&amp;"-"&amp;IF(DAY('web survey'!Z184)&lt;10,"0"&amp;DAY('web survey'!Z184),DAY('web survey'!Z184))&amp;" "&amp;IF(HOUR('web survey'!Z184)&lt;10,"0"&amp;HOUR('web survey'!Z184),HOUR('web survey'!Z184))&amp;":"&amp;IF(MINUTE('web survey'!Z184)&lt;10,"0"&amp;MINUTE('web survey'!Z184),MINUTE('web survey'!Z184))&amp;(":00'")</f>
        <v>1900-01-00 00:00:00'</v>
      </c>
      <c r="L186" s="33"/>
      <c r="N186" s="35">
        <v>183</v>
      </c>
      <c r="O186" s="35">
        <v>0</v>
      </c>
      <c r="P186" s="37">
        <v>0</v>
      </c>
      <c r="Q186" s="39" t="e">
        <v>#N/A</v>
      </c>
      <c r="R186" s="41">
        <v>0</v>
      </c>
      <c r="S186" s="39" t="e">
        <v>#N/A</v>
      </c>
      <c r="T186" s="41">
        <v>0</v>
      </c>
      <c r="U186" s="39" t="e">
        <v>#N/A</v>
      </c>
      <c r="V186" s="41">
        <v>0</v>
      </c>
      <c r="W186" s="39" t="e">
        <v>#N/A</v>
      </c>
      <c r="X186" s="35">
        <v>0</v>
      </c>
    </row>
    <row r="187" spans="1:24" ht="28.2" customHeight="1" x14ac:dyDescent="0.3">
      <c r="A187" s="6">
        <f>IF(B187="","",ROW()-COUNTBLANK($B$4:B187)-3)</f>
        <v>184</v>
      </c>
      <c r="B187" s="6">
        <f>'web survey'!C185</f>
        <v>0</v>
      </c>
      <c r="C187" s="29">
        <f>'web survey'!AA185</f>
        <v>0</v>
      </c>
      <c r="D187" s="18" t="e">
        <f>IF(B187="FU-ACInstall",VLOOKUP(VALUE('web survey'!D185),ref!$B$6:$C$7,2,0)&amp;" ("&amp;'web survey'!D185&amp;")",VLOOKUP(VALUE('web survey'!D185),ref!$E$6:$F$10,2,0)&amp;" ("&amp;'web survey'!D185&amp;")")</f>
        <v>#N/A</v>
      </c>
      <c r="E187" s="27">
        <f>'web survey'!S185</f>
        <v>0</v>
      </c>
      <c r="F187" s="18" t="e">
        <f>IF(B187="FU-ACInstall",VLOOKUP(VALUE('web survey'!E185),ref!$B$10:$C$12,2,0)&amp;" ("&amp;'web survey'!E185&amp;")",VLOOKUP(VALUE('web survey'!E185),ref!$E$13:$F$17,2,0)&amp;" ("&amp;'web survey'!E185&amp;")")</f>
        <v>#N/A</v>
      </c>
      <c r="G187" s="27">
        <f>'web survey'!T185</f>
        <v>0</v>
      </c>
      <c r="H187" s="18" t="e">
        <f>IF(B187="FU-ACInstall",VLOOKUP(VALUE('web survey'!F185),ref!$B$15:$C$17,2,0)&amp;" ("&amp;'web survey'!F185&amp;")",VLOOKUP(VALUE('web survey'!F185),ref!$E$20:$F$21,2,0)&amp;" ("&amp;'web survey'!F185&amp;")")</f>
        <v>#N/A</v>
      </c>
      <c r="I187" s="27">
        <f>'web survey'!U185</f>
        <v>0</v>
      </c>
      <c r="J187" s="18" t="e">
        <f>IF(B187="FU-ACInstall","-",VLOOKUP(VALUE('web survey'!G185),ref!$E$24:$F$26,2,0)&amp;" ("&amp;'web survey'!G185&amp;")")</f>
        <v>#N/A</v>
      </c>
      <c r="K187" s="6" t="str">
        <f>YEAR('web survey'!Z185)&amp;"-"&amp;IF(MONTH('web survey'!Z185)&lt;10,"0"&amp;MONTH('web survey'!Z185),MONTH('web survey'!Z185))&amp;"-"&amp;IF(DAY('web survey'!Z185)&lt;10,"0"&amp;DAY('web survey'!Z185),DAY('web survey'!Z185))&amp;" "&amp;IF(HOUR('web survey'!Z185)&lt;10,"0"&amp;HOUR('web survey'!Z185),HOUR('web survey'!Z185))&amp;":"&amp;IF(MINUTE('web survey'!Z185)&lt;10,"0"&amp;MINUTE('web survey'!Z185),MINUTE('web survey'!Z185))&amp;(":00'")</f>
        <v>1900-01-00 00:00:00'</v>
      </c>
      <c r="L187" s="33"/>
      <c r="N187" s="35">
        <v>184</v>
      </c>
      <c r="O187" s="35">
        <v>0</v>
      </c>
      <c r="P187" s="37">
        <v>0</v>
      </c>
      <c r="Q187" s="39" t="e">
        <v>#N/A</v>
      </c>
      <c r="R187" s="41">
        <v>0</v>
      </c>
      <c r="S187" s="39" t="e">
        <v>#N/A</v>
      </c>
      <c r="T187" s="41">
        <v>0</v>
      </c>
      <c r="U187" s="39" t="e">
        <v>#N/A</v>
      </c>
      <c r="V187" s="41">
        <v>0</v>
      </c>
      <c r="W187" s="39" t="e">
        <v>#N/A</v>
      </c>
      <c r="X187" s="35">
        <v>0</v>
      </c>
    </row>
    <row r="188" spans="1:24" ht="28.2" customHeight="1" x14ac:dyDescent="0.3">
      <c r="A188" s="6">
        <f>IF(B188="","",ROW()-COUNTBLANK($B$4:B188)-3)</f>
        <v>185</v>
      </c>
      <c r="B188" s="6">
        <f>'web survey'!C186</f>
        <v>0</v>
      </c>
      <c r="C188" s="29">
        <f>'web survey'!AA186</f>
        <v>0</v>
      </c>
      <c r="D188" s="18" t="e">
        <f>IF(B188="FU-ACInstall",VLOOKUP(VALUE('web survey'!D186),ref!$B$6:$C$7,2,0)&amp;" ("&amp;'web survey'!D186&amp;")",VLOOKUP(VALUE('web survey'!D186),ref!$E$6:$F$10,2,0)&amp;" ("&amp;'web survey'!D186&amp;")")</f>
        <v>#N/A</v>
      </c>
      <c r="E188" s="27">
        <f>'web survey'!S186</f>
        <v>0</v>
      </c>
      <c r="F188" s="18" t="e">
        <f>IF(B188="FU-ACInstall",VLOOKUP(VALUE('web survey'!E186),ref!$B$10:$C$12,2,0)&amp;" ("&amp;'web survey'!E186&amp;")",VLOOKUP(VALUE('web survey'!E186),ref!$E$13:$F$17,2,0)&amp;" ("&amp;'web survey'!E186&amp;")")</f>
        <v>#N/A</v>
      </c>
      <c r="G188" s="27">
        <f>'web survey'!T186</f>
        <v>0</v>
      </c>
      <c r="H188" s="18" t="e">
        <f>IF(B188="FU-ACInstall",VLOOKUP(VALUE('web survey'!F186),ref!$B$15:$C$17,2,0)&amp;" ("&amp;'web survey'!F186&amp;")",VLOOKUP(VALUE('web survey'!F186),ref!$E$20:$F$21,2,0)&amp;" ("&amp;'web survey'!F186&amp;")")</f>
        <v>#N/A</v>
      </c>
      <c r="I188" s="27">
        <f>'web survey'!U186</f>
        <v>0</v>
      </c>
      <c r="J188" s="18" t="e">
        <f>IF(B188="FU-ACInstall","-",VLOOKUP(VALUE('web survey'!G186),ref!$E$24:$F$26,2,0)&amp;" ("&amp;'web survey'!G186&amp;")")</f>
        <v>#N/A</v>
      </c>
      <c r="K188" s="6" t="str">
        <f>YEAR('web survey'!Z186)&amp;"-"&amp;IF(MONTH('web survey'!Z186)&lt;10,"0"&amp;MONTH('web survey'!Z186),MONTH('web survey'!Z186))&amp;"-"&amp;IF(DAY('web survey'!Z186)&lt;10,"0"&amp;DAY('web survey'!Z186),DAY('web survey'!Z186))&amp;" "&amp;IF(HOUR('web survey'!Z186)&lt;10,"0"&amp;HOUR('web survey'!Z186),HOUR('web survey'!Z186))&amp;":"&amp;IF(MINUTE('web survey'!Z186)&lt;10,"0"&amp;MINUTE('web survey'!Z186),MINUTE('web survey'!Z186))&amp;(":00'")</f>
        <v>1900-01-00 00:00:00'</v>
      </c>
      <c r="L188" s="33"/>
      <c r="N188" s="35">
        <v>185</v>
      </c>
      <c r="O188" s="35">
        <v>0</v>
      </c>
      <c r="P188" s="37">
        <v>0</v>
      </c>
      <c r="Q188" s="39" t="e">
        <v>#N/A</v>
      </c>
      <c r="R188" s="41">
        <v>0</v>
      </c>
      <c r="S188" s="39" t="e">
        <v>#N/A</v>
      </c>
      <c r="T188" s="41">
        <v>0</v>
      </c>
      <c r="U188" s="39" t="e">
        <v>#N/A</v>
      </c>
      <c r="V188" s="41">
        <v>0</v>
      </c>
      <c r="W188" s="39" t="e">
        <v>#N/A</v>
      </c>
      <c r="X188" s="35">
        <v>0</v>
      </c>
    </row>
    <row r="189" spans="1:24" ht="28.2" customHeight="1" x14ac:dyDescent="0.3">
      <c r="A189" s="6">
        <f>IF(B189="","",ROW()-COUNTBLANK($B$4:B189)-3)</f>
        <v>186</v>
      </c>
      <c r="B189" s="6">
        <f>'web survey'!C187</f>
        <v>0</v>
      </c>
      <c r="C189" s="29">
        <f>'web survey'!AA187</f>
        <v>0</v>
      </c>
      <c r="D189" s="18" t="e">
        <f>IF(B189="FU-ACInstall",VLOOKUP(VALUE('web survey'!D187),ref!$B$6:$C$7,2,0)&amp;" ("&amp;'web survey'!D187&amp;")",VLOOKUP(VALUE('web survey'!D187),ref!$E$6:$F$10,2,0)&amp;" ("&amp;'web survey'!D187&amp;")")</f>
        <v>#N/A</v>
      </c>
      <c r="E189" s="27">
        <f>'web survey'!S187</f>
        <v>0</v>
      </c>
      <c r="F189" s="18" t="e">
        <f>IF(B189="FU-ACInstall",VLOOKUP(VALUE('web survey'!E187),ref!$B$10:$C$12,2,0)&amp;" ("&amp;'web survey'!E187&amp;")",VLOOKUP(VALUE('web survey'!E187),ref!$E$13:$F$17,2,0)&amp;" ("&amp;'web survey'!E187&amp;")")</f>
        <v>#N/A</v>
      </c>
      <c r="G189" s="27">
        <f>'web survey'!T187</f>
        <v>0</v>
      </c>
      <c r="H189" s="18" t="e">
        <f>IF(B189="FU-ACInstall",VLOOKUP(VALUE('web survey'!F187),ref!$B$15:$C$17,2,0)&amp;" ("&amp;'web survey'!F187&amp;")",VLOOKUP(VALUE('web survey'!F187),ref!$E$20:$F$21,2,0)&amp;" ("&amp;'web survey'!F187&amp;")")</f>
        <v>#N/A</v>
      </c>
      <c r="I189" s="27">
        <f>'web survey'!U187</f>
        <v>0</v>
      </c>
      <c r="J189" s="18" t="e">
        <f>IF(B189="FU-ACInstall","-",VLOOKUP(VALUE('web survey'!G187),ref!$E$24:$F$26,2,0)&amp;" ("&amp;'web survey'!G187&amp;")")</f>
        <v>#N/A</v>
      </c>
      <c r="K189" s="6" t="str">
        <f>YEAR('web survey'!Z187)&amp;"-"&amp;IF(MONTH('web survey'!Z187)&lt;10,"0"&amp;MONTH('web survey'!Z187),MONTH('web survey'!Z187))&amp;"-"&amp;IF(DAY('web survey'!Z187)&lt;10,"0"&amp;DAY('web survey'!Z187),DAY('web survey'!Z187))&amp;" "&amp;IF(HOUR('web survey'!Z187)&lt;10,"0"&amp;HOUR('web survey'!Z187),HOUR('web survey'!Z187))&amp;":"&amp;IF(MINUTE('web survey'!Z187)&lt;10,"0"&amp;MINUTE('web survey'!Z187),MINUTE('web survey'!Z187))&amp;(":00'")</f>
        <v>1900-01-00 00:00:00'</v>
      </c>
      <c r="L189" s="33"/>
      <c r="N189" s="35">
        <v>186</v>
      </c>
      <c r="O189" s="35">
        <v>0</v>
      </c>
      <c r="P189" s="37">
        <v>0</v>
      </c>
      <c r="Q189" s="39" t="e">
        <v>#N/A</v>
      </c>
      <c r="R189" s="41">
        <v>0</v>
      </c>
      <c r="S189" s="39" t="e">
        <v>#N/A</v>
      </c>
      <c r="T189" s="41">
        <v>0</v>
      </c>
      <c r="U189" s="39" t="e">
        <v>#N/A</v>
      </c>
      <c r="V189" s="41">
        <v>0</v>
      </c>
      <c r="W189" s="39" t="e">
        <v>#N/A</v>
      </c>
      <c r="X189" s="35">
        <v>0</v>
      </c>
    </row>
    <row r="190" spans="1:24" ht="28.2" customHeight="1" x14ac:dyDescent="0.3">
      <c r="A190" s="6">
        <f>IF(B190="","",ROW()-COUNTBLANK($B$4:B190)-3)</f>
        <v>187</v>
      </c>
      <c r="B190" s="6">
        <f>'web survey'!C188</f>
        <v>0</v>
      </c>
      <c r="C190" s="29">
        <f>'web survey'!AA188</f>
        <v>0</v>
      </c>
      <c r="D190" s="18" t="e">
        <f>IF(B190="FU-ACInstall",VLOOKUP(VALUE('web survey'!D188),ref!$B$6:$C$7,2,0)&amp;" ("&amp;'web survey'!D188&amp;")",VLOOKUP(VALUE('web survey'!D188),ref!$E$6:$F$10,2,0)&amp;" ("&amp;'web survey'!D188&amp;")")</f>
        <v>#N/A</v>
      </c>
      <c r="E190" s="27">
        <f>'web survey'!S188</f>
        <v>0</v>
      </c>
      <c r="F190" s="18" t="e">
        <f>IF(B190="FU-ACInstall",VLOOKUP(VALUE('web survey'!E188),ref!$B$10:$C$12,2,0)&amp;" ("&amp;'web survey'!E188&amp;")",VLOOKUP(VALUE('web survey'!E188),ref!$E$13:$F$17,2,0)&amp;" ("&amp;'web survey'!E188&amp;")")</f>
        <v>#N/A</v>
      </c>
      <c r="G190" s="27">
        <f>'web survey'!T188</f>
        <v>0</v>
      </c>
      <c r="H190" s="18" t="e">
        <f>IF(B190="FU-ACInstall",VLOOKUP(VALUE('web survey'!F188),ref!$B$15:$C$17,2,0)&amp;" ("&amp;'web survey'!F188&amp;")",VLOOKUP(VALUE('web survey'!F188),ref!$E$20:$F$21,2,0)&amp;" ("&amp;'web survey'!F188&amp;")")</f>
        <v>#N/A</v>
      </c>
      <c r="I190" s="27">
        <f>'web survey'!U188</f>
        <v>0</v>
      </c>
      <c r="J190" s="18" t="e">
        <f>IF(B190="FU-ACInstall","-",VLOOKUP(VALUE('web survey'!G188),ref!$E$24:$F$26,2,0)&amp;" ("&amp;'web survey'!G188&amp;")")</f>
        <v>#N/A</v>
      </c>
      <c r="K190" s="6" t="str">
        <f>YEAR('web survey'!Z188)&amp;"-"&amp;IF(MONTH('web survey'!Z188)&lt;10,"0"&amp;MONTH('web survey'!Z188),MONTH('web survey'!Z188))&amp;"-"&amp;IF(DAY('web survey'!Z188)&lt;10,"0"&amp;DAY('web survey'!Z188),DAY('web survey'!Z188))&amp;" "&amp;IF(HOUR('web survey'!Z188)&lt;10,"0"&amp;HOUR('web survey'!Z188),HOUR('web survey'!Z188))&amp;":"&amp;IF(MINUTE('web survey'!Z188)&lt;10,"0"&amp;MINUTE('web survey'!Z188),MINUTE('web survey'!Z188))&amp;(":00'")</f>
        <v>1900-01-00 00:00:00'</v>
      </c>
      <c r="L190" s="33"/>
      <c r="N190" s="35">
        <v>187</v>
      </c>
      <c r="O190" s="35">
        <v>0</v>
      </c>
      <c r="P190" s="37">
        <v>0</v>
      </c>
      <c r="Q190" s="39" t="e">
        <v>#N/A</v>
      </c>
      <c r="R190" s="41">
        <v>0</v>
      </c>
      <c r="S190" s="39" t="e">
        <v>#N/A</v>
      </c>
      <c r="T190" s="41">
        <v>0</v>
      </c>
      <c r="U190" s="39" t="e">
        <v>#N/A</v>
      </c>
      <c r="V190" s="41">
        <v>0</v>
      </c>
      <c r="W190" s="39" t="e">
        <v>#N/A</v>
      </c>
      <c r="X190" s="35">
        <v>0</v>
      </c>
    </row>
    <row r="191" spans="1:24" ht="28.2" customHeight="1" x14ac:dyDescent="0.3">
      <c r="A191" s="6">
        <f>IF(B191="","",ROW()-COUNTBLANK($B$4:B191)-3)</f>
        <v>188</v>
      </c>
      <c r="B191" s="6">
        <f>'web survey'!C189</f>
        <v>0</v>
      </c>
      <c r="C191" s="29">
        <f>'web survey'!AA189</f>
        <v>0</v>
      </c>
      <c r="D191" s="18" t="e">
        <f>IF(B191="FU-ACInstall",VLOOKUP(VALUE('web survey'!D189),ref!$B$6:$C$7,2,0)&amp;" ("&amp;'web survey'!D189&amp;")",VLOOKUP(VALUE('web survey'!D189),ref!$E$6:$F$10,2,0)&amp;" ("&amp;'web survey'!D189&amp;")")</f>
        <v>#N/A</v>
      </c>
      <c r="E191" s="27">
        <f>'web survey'!S189</f>
        <v>0</v>
      </c>
      <c r="F191" s="18" t="e">
        <f>IF(B191="FU-ACInstall",VLOOKUP(VALUE('web survey'!E189),ref!$B$10:$C$12,2,0)&amp;" ("&amp;'web survey'!E189&amp;")",VLOOKUP(VALUE('web survey'!E189),ref!$E$13:$F$17,2,0)&amp;" ("&amp;'web survey'!E189&amp;")")</f>
        <v>#N/A</v>
      </c>
      <c r="G191" s="27">
        <f>'web survey'!T189</f>
        <v>0</v>
      </c>
      <c r="H191" s="18" t="e">
        <f>IF(B191="FU-ACInstall",VLOOKUP(VALUE('web survey'!F189),ref!$B$15:$C$17,2,0)&amp;" ("&amp;'web survey'!F189&amp;")",VLOOKUP(VALUE('web survey'!F189),ref!$E$20:$F$21,2,0)&amp;" ("&amp;'web survey'!F189&amp;")")</f>
        <v>#N/A</v>
      </c>
      <c r="I191" s="27">
        <f>'web survey'!U189</f>
        <v>0</v>
      </c>
      <c r="J191" s="18" t="e">
        <f>IF(B191="FU-ACInstall","-",VLOOKUP(VALUE('web survey'!G189),ref!$E$24:$F$26,2,0)&amp;" ("&amp;'web survey'!G189&amp;")")</f>
        <v>#N/A</v>
      </c>
      <c r="K191" s="6" t="str">
        <f>YEAR('web survey'!Z189)&amp;"-"&amp;IF(MONTH('web survey'!Z189)&lt;10,"0"&amp;MONTH('web survey'!Z189),MONTH('web survey'!Z189))&amp;"-"&amp;IF(DAY('web survey'!Z189)&lt;10,"0"&amp;DAY('web survey'!Z189),DAY('web survey'!Z189))&amp;" "&amp;IF(HOUR('web survey'!Z189)&lt;10,"0"&amp;HOUR('web survey'!Z189),HOUR('web survey'!Z189))&amp;":"&amp;IF(MINUTE('web survey'!Z189)&lt;10,"0"&amp;MINUTE('web survey'!Z189),MINUTE('web survey'!Z189))&amp;(":00'")</f>
        <v>1900-01-00 00:00:00'</v>
      </c>
      <c r="L191" s="33"/>
      <c r="N191" s="35">
        <v>188</v>
      </c>
      <c r="O191" s="35">
        <v>0</v>
      </c>
      <c r="P191" s="37">
        <v>0</v>
      </c>
      <c r="Q191" s="39" t="e">
        <v>#N/A</v>
      </c>
      <c r="R191" s="41">
        <v>0</v>
      </c>
      <c r="S191" s="39" t="e">
        <v>#N/A</v>
      </c>
      <c r="T191" s="41">
        <v>0</v>
      </c>
      <c r="U191" s="39" t="e">
        <v>#N/A</v>
      </c>
      <c r="V191" s="41">
        <v>0</v>
      </c>
      <c r="W191" s="39" t="e">
        <v>#N/A</v>
      </c>
      <c r="X191" s="35">
        <v>0</v>
      </c>
    </row>
    <row r="192" spans="1:24" ht="28.2" customHeight="1" x14ac:dyDescent="0.3">
      <c r="A192" s="6">
        <f>IF(B192="","",ROW()-COUNTBLANK($B$4:B192)-3)</f>
        <v>189</v>
      </c>
      <c r="B192" s="6">
        <f>'web survey'!C190</f>
        <v>0</v>
      </c>
      <c r="C192" s="29">
        <f>'web survey'!AA190</f>
        <v>0</v>
      </c>
      <c r="D192" s="18" t="e">
        <f>IF(B192="FU-ACInstall",VLOOKUP(VALUE('web survey'!D190),ref!$B$6:$C$7,2,0)&amp;" ("&amp;'web survey'!D190&amp;")",VLOOKUP(VALUE('web survey'!D190),ref!$E$6:$F$10,2,0)&amp;" ("&amp;'web survey'!D190&amp;")")</f>
        <v>#N/A</v>
      </c>
      <c r="E192" s="27">
        <f>'web survey'!S190</f>
        <v>0</v>
      </c>
      <c r="F192" s="18" t="e">
        <f>IF(B192="FU-ACInstall",VLOOKUP(VALUE('web survey'!E190),ref!$B$10:$C$12,2,0)&amp;" ("&amp;'web survey'!E190&amp;")",VLOOKUP(VALUE('web survey'!E190),ref!$E$13:$F$17,2,0)&amp;" ("&amp;'web survey'!E190&amp;")")</f>
        <v>#N/A</v>
      </c>
      <c r="G192" s="27">
        <f>'web survey'!T190</f>
        <v>0</v>
      </c>
      <c r="H192" s="18" t="e">
        <f>IF(B192="FU-ACInstall",VLOOKUP(VALUE('web survey'!F190),ref!$B$15:$C$17,2,0)&amp;" ("&amp;'web survey'!F190&amp;")",VLOOKUP(VALUE('web survey'!F190),ref!$E$20:$F$21,2,0)&amp;" ("&amp;'web survey'!F190&amp;")")</f>
        <v>#N/A</v>
      </c>
      <c r="I192" s="27">
        <f>'web survey'!U190</f>
        <v>0</v>
      </c>
      <c r="J192" s="18" t="e">
        <f>IF(B192="FU-ACInstall","-",VLOOKUP(VALUE('web survey'!G190),ref!$E$24:$F$26,2,0)&amp;" ("&amp;'web survey'!G190&amp;")")</f>
        <v>#N/A</v>
      </c>
      <c r="K192" s="6" t="str">
        <f>YEAR('web survey'!Z190)&amp;"-"&amp;IF(MONTH('web survey'!Z190)&lt;10,"0"&amp;MONTH('web survey'!Z190),MONTH('web survey'!Z190))&amp;"-"&amp;IF(DAY('web survey'!Z190)&lt;10,"0"&amp;DAY('web survey'!Z190),DAY('web survey'!Z190))&amp;" "&amp;IF(HOUR('web survey'!Z190)&lt;10,"0"&amp;HOUR('web survey'!Z190),HOUR('web survey'!Z190))&amp;":"&amp;IF(MINUTE('web survey'!Z190)&lt;10,"0"&amp;MINUTE('web survey'!Z190),MINUTE('web survey'!Z190))&amp;(":00'")</f>
        <v>1900-01-00 00:00:00'</v>
      </c>
      <c r="L192" s="33"/>
      <c r="N192" s="35">
        <v>189</v>
      </c>
      <c r="O192" s="35">
        <v>0</v>
      </c>
      <c r="P192" s="37">
        <v>0</v>
      </c>
      <c r="Q192" s="39" t="e">
        <v>#N/A</v>
      </c>
      <c r="R192" s="41">
        <v>0</v>
      </c>
      <c r="S192" s="39" t="e">
        <v>#N/A</v>
      </c>
      <c r="T192" s="41">
        <v>0</v>
      </c>
      <c r="U192" s="39" t="e">
        <v>#N/A</v>
      </c>
      <c r="V192" s="41">
        <v>0</v>
      </c>
      <c r="W192" s="39" t="e">
        <v>#N/A</v>
      </c>
      <c r="X192" s="35">
        <v>0</v>
      </c>
    </row>
    <row r="193" spans="1:24" ht="28.2" customHeight="1" x14ac:dyDescent="0.3">
      <c r="A193" s="6">
        <f>IF(B193="","",ROW()-COUNTBLANK($B$4:B193)-3)</f>
        <v>190</v>
      </c>
      <c r="B193" s="6">
        <f>'web survey'!C191</f>
        <v>0</v>
      </c>
      <c r="C193" s="29">
        <f>'web survey'!AA191</f>
        <v>0</v>
      </c>
      <c r="D193" s="18" t="e">
        <f>IF(B193="FU-ACInstall",VLOOKUP(VALUE('web survey'!D191),ref!$B$6:$C$7,2,0)&amp;" ("&amp;'web survey'!D191&amp;")",VLOOKUP(VALUE('web survey'!D191),ref!$E$6:$F$10,2,0)&amp;" ("&amp;'web survey'!D191&amp;")")</f>
        <v>#N/A</v>
      </c>
      <c r="E193" s="27">
        <f>'web survey'!S191</f>
        <v>0</v>
      </c>
      <c r="F193" s="18" t="e">
        <f>IF(B193="FU-ACInstall",VLOOKUP(VALUE('web survey'!E191),ref!$B$10:$C$12,2,0)&amp;" ("&amp;'web survey'!E191&amp;")",VLOOKUP(VALUE('web survey'!E191),ref!$E$13:$F$17,2,0)&amp;" ("&amp;'web survey'!E191&amp;")")</f>
        <v>#N/A</v>
      </c>
      <c r="G193" s="27">
        <f>'web survey'!T191</f>
        <v>0</v>
      </c>
      <c r="H193" s="18" t="e">
        <f>IF(B193="FU-ACInstall",VLOOKUP(VALUE('web survey'!F191),ref!$B$15:$C$17,2,0)&amp;" ("&amp;'web survey'!F191&amp;")",VLOOKUP(VALUE('web survey'!F191),ref!$E$20:$F$21,2,0)&amp;" ("&amp;'web survey'!F191&amp;")")</f>
        <v>#N/A</v>
      </c>
      <c r="I193" s="27">
        <f>'web survey'!U191</f>
        <v>0</v>
      </c>
      <c r="J193" s="18" t="e">
        <f>IF(B193="FU-ACInstall","-",VLOOKUP(VALUE('web survey'!G191),ref!$E$24:$F$26,2,0)&amp;" ("&amp;'web survey'!G191&amp;")")</f>
        <v>#N/A</v>
      </c>
      <c r="K193" s="6" t="str">
        <f>YEAR('web survey'!Z191)&amp;"-"&amp;IF(MONTH('web survey'!Z191)&lt;10,"0"&amp;MONTH('web survey'!Z191),MONTH('web survey'!Z191))&amp;"-"&amp;IF(DAY('web survey'!Z191)&lt;10,"0"&amp;DAY('web survey'!Z191),DAY('web survey'!Z191))&amp;" "&amp;IF(HOUR('web survey'!Z191)&lt;10,"0"&amp;HOUR('web survey'!Z191),HOUR('web survey'!Z191))&amp;":"&amp;IF(MINUTE('web survey'!Z191)&lt;10,"0"&amp;MINUTE('web survey'!Z191),MINUTE('web survey'!Z191))&amp;(":00'")</f>
        <v>1900-01-00 00:00:00'</v>
      </c>
      <c r="L193" s="33"/>
      <c r="N193" s="35">
        <v>190</v>
      </c>
      <c r="O193" s="35">
        <v>0</v>
      </c>
      <c r="P193" s="37">
        <v>0</v>
      </c>
      <c r="Q193" s="39" t="e">
        <v>#N/A</v>
      </c>
      <c r="R193" s="41">
        <v>0</v>
      </c>
      <c r="S193" s="39" t="e">
        <v>#N/A</v>
      </c>
      <c r="T193" s="41">
        <v>0</v>
      </c>
      <c r="U193" s="39" t="e">
        <v>#N/A</v>
      </c>
      <c r="V193" s="41">
        <v>0</v>
      </c>
      <c r="W193" s="39" t="e">
        <v>#N/A</v>
      </c>
      <c r="X193" s="35">
        <v>0</v>
      </c>
    </row>
    <row r="194" spans="1:24" ht="28.2" customHeight="1" x14ac:dyDescent="0.3">
      <c r="A194" s="6">
        <f>IF(B194="","",ROW()-COUNTBLANK($B$4:B194)-3)</f>
        <v>191</v>
      </c>
      <c r="B194" s="6">
        <f>'web survey'!C192</f>
        <v>0</v>
      </c>
      <c r="C194" s="29">
        <f>'web survey'!AA192</f>
        <v>0</v>
      </c>
      <c r="D194" s="18" t="e">
        <f>IF(B194="FU-ACInstall",VLOOKUP(VALUE('web survey'!D192),ref!$B$6:$C$7,2,0)&amp;" ("&amp;'web survey'!D192&amp;")",VLOOKUP(VALUE('web survey'!D192),ref!$E$6:$F$10,2,0)&amp;" ("&amp;'web survey'!D192&amp;")")</f>
        <v>#N/A</v>
      </c>
      <c r="E194" s="27">
        <f>'web survey'!S192</f>
        <v>0</v>
      </c>
      <c r="F194" s="18" t="e">
        <f>IF(B194="FU-ACInstall",VLOOKUP(VALUE('web survey'!E192),ref!$B$10:$C$12,2,0)&amp;" ("&amp;'web survey'!E192&amp;")",VLOOKUP(VALUE('web survey'!E192),ref!$E$13:$F$17,2,0)&amp;" ("&amp;'web survey'!E192&amp;")")</f>
        <v>#N/A</v>
      </c>
      <c r="G194" s="27">
        <f>'web survey'!T192</f>
        <v>0</v>
      </c>
      <c r="H194" s="18" t="e">
        <f>IF(B194="FU-ACInstall",VLOOKUP(VALUE('web survey'!F192),ref!$B$15:$C$17,2,0)&amp;" ("&amp;'web survey'!F192&amp;")",VLOOKUP(VALUE('web survey'!F192),ref!$E$20:$F$21,2,0)&amp;" ("&amp;'web survey'!F192&amp;")")</f>
        <v>#N/A</v>
      </c>
      <c r="I194" s="27">
        <f>'web survey'!U192</f>
        <v>0</v>
      </c>
      <c r="J194" s="18" t="e">
        <f>IF(B194="FU-ACInstall","-",VLOOKUP(VALUE('web survey'!G192),ref!$E$24:$F$26,2,0)&amp;" ("&amp;'web survey'!G192&amp;")")</f>
        <v>#N/A</v>
      </c>
      <c r="K194" s="6" t="str">
        <f>YEAR('web survey'!Z192)&amp;"-"&amp;IF(MONTH('web survey'!Z192)&lt;10,"0"&amp;MONTH('web survey'!Z192),MONTH('web survey'!Z192))&amp;"-"&amp;IF(DAY('web survey'!Z192)&lt;10,"0"&amp;DAY('web survey'!Z192),DAY('web survey'!Z192))&amp;" "&amp;IF(HOUR('web survey'!Z192)&lt;10,"0"&amp;HOUR('web survey'!Z192),HOUR('web survey'!Z192))&amp;":"&amp;IF(MINUTE('web survey'!Z192)&lt;10,"0"&amp;MINUTE('web survey'!Z192),MINUTE('web survey'!Z192))&amp;(":00'")</f>
        <v>1900-01-00 00:00:00'</v>
      </c>
      <c r="L194" s="33"/>
      <c r="N194" s="35">
        <v>191</v>
      </c>
      <c r="O194" s="35">
        <v>0</v>
      </c>
      <c r="P194" s="37">
        <v>0</v>
      </c>
      <c r="Q194" s="39" t="e">
        <v>#N/A</v>
      </c>
      <c r="R194" s="41">
        <v>0</v>
      </c>
      <c r="S194" s="39" t="e">
        <v>#N/A</v>
      </c>
      <c r="T194" s="41">
        <v>0</v>
      </c>
      <c r="U194" s="39" t="e">
        <v>#N/A</v>
      </c>
      <c r="V194" s="41">
        <v>0</v>
      </c>
      <c r="W194" s="39" t="e">
        <v>#N/A</v>
      </c>
      <c r="X194" s="35">
        <v>0</v>
      </c>
    </row>
    <row r="195" spans="1:24" ht="28.2" customHeight="1" x14ac:dyDescent="0.3">
      <c r="A195" s="6">
        <f>IF(B195="","",ROW()-COUNTBLANK($B$4:B195)-3)</f>
        <v>192</v>
      </c>
      <c r="B195" s="6">
        <f>'web survey'!C193</f>
        <v>0</v>
      </c>
      <c r="C195" s="29">
        <f>'web survey'!AA193</f>
        <v>0</v>
      </c>
      <c r="D195" s="18" t="e">
        <f>IF(B195="FU-ACInstall",VLOOKUP(VALUE('web survey'!D193),ref!$B$6:$C$7,2,0)&amp;" ("&amp;'web survey'!D193&amp;")",VLOOKUP(VALUE('web survey'!D193),ref!$E$6:$F$10,2,0)&amp;" ("&amp;'web survey'!D193&amp;")")</f>
        <v>#N/A</v>
      </c>
      <c r="E195" s="27">
        <f>'web survey'!S193</f>
        <v>0</v>
      </c>
      <c r="F195" s="18" t="e">
        <f>IF(B195="FU-ACInstall",VLOOKUP(VALUE('web survey'!E193),ref!$B$10:$C$12,2,0)&amp;" ("&amp;'web survey'!E193&amp;")",VLOOKUP(VALUE('web survey'!E193),ref!$E$13:$F$17,2,0)&amp;" ("&amp;'web survey'!E193&amp;")")</f>
        <v>#N/A</v>
      </c>
      <c r="G195" s="27">
        <f>'web survey'!T193</f>
        <v>0</v>
      </c>
      <c r="H195" s="18" t="e">
        <f>IF(B195="FU-ACInstall",VLOOKUP(VALUE('web survey'!F193),ref!$B$15:$C$17,2,0)&amp;" ("&amp;'web survey'!F193&amp;")",VLOOKUP(VALUE('web survey'!F193),ref!$E$20:$F$21,2,0)&amp;" ("&amp;'web survey'!F193&amp;")")</f>
        <v>#N/A</v>
      </c>
      <c r="I195" s="27">
        <f>'web survey'!U193</f>
        <v>0</v>
      </c>
      <c r="J195" s="18" t="e">
        <f>IF(B195="FU-ACInstall","-",VLOOKUP(VALUE('web survey'!G193),ref!$E$24:$F$26,2,0)&amp;" ("&amp;'web survey'!G193&amp;")")</f>
        <v>#N/A</v>
      </c>
      <c r="K195" s="6" t="str">
        <f>YEAR('web survey'!Z193)&amp;"-"&amp;IF(MONTH('web survey'!Z193)&lt;10,"0"&amp;MONTH('web survey'!Z193),MONTH('web survey'!Z193))&amp;"-"&amp;IF(DAY('web survey'!Z193)&lt;10,"0"&amp;DAY('web survey'!Z193),DAY('web survey'!Z193))&amp;" "&amp;IF(HOUR('web survey'!Z193)&lt;10,"0"&amp;HOUR('web survey'!Z193),HOUR('web survey'!Z193))&amp;":"&amp;IF(MINUTE('web survey'!Z193)&lt;10,"0"&amp;MINUTE('web survey'!Z193),MINUTE('web survey'!Z193))&amp;(":00'")</f>
        <v>1900-01-00 00:00:00'</v>
      </c>
      <c r="L195" s="33"/>
      <c r="N195" s="35">
        <v>192</v>
      </c>
      <c r="O195" s="35">
        <v>0</v>
      </c>
      <c r="P195" s="37">
        <v>0</v>
      </c>
      <c r="Q195" s="39" t="e">
        <v>#N/A</v>
      </c>
      <c r="R195" s="41">
        <v>0</v>
      </c>
      <c r="S195" s="39" t="e">
        <v>#N/A</v>
      </c>
      <c r="T195" s="41">
        <v>0</v>
      </c>
      <c r="U195" s="39" t="e">
        <v>#N/A</v>
      </c>
      <c r="V195" s="41">
        <v>0</v>
      </c>
      <c r="W195" s="39" t="e">
        <v>#N/A</v>
      </c>
      <c r="X195" s="35">
        <v>0</v>
      </c>
    </row>
    <row r="196" spans="1:24" ht="28.2" customHeight="1" x14ac:dyDescent="0.3">
      <c r="A196" s="6">
        <f>IF(B196="","",ROW()-COUNTBLANK($B$4:B196)-3)</f>
        <v>193</v>
      </c>
      <c r="B196" s="6">
        <f>'web survey'!C194</f>
        <v>0</v>
      </c>
      <c r="C196" s="29">
        <f>'web survey'!AA194</f>
        <v>0</v>
      </c>
      <c r="D196" s="18" t="e">
        <f>IF(B196="FU-ACInstall",VLOOKUP(VALUE('web survey'!D194),ref!$B$6:$C$7,2,0)&amp;" ("&amp;'web survey'!D194&amp;")",VLOOKUP(VALUE('web survey'!D194),ref!$E$6:$F$10,2,0)&amp;" ("&amp;'web survey'!D194&amp;")")</f>
        <v>#N/A</v>
      </c>
      <c r="E196" s="27">
        <f>'web survey'!S194</f>
        <v>0</v>
      </c>
      <c r="F196" s="18" t="e">
        <f>IF(B196="FU-ACInstall",VLOOKUP(VALUE('web survey'!E194),ref!$B$10:$C$12,2,0)&amp;" ("&amp;'web survey'!E194&amp;")",VLOOKUP(VALUE('web survey'!E194),ref!$E$13:$F$17,2,0)&amp;" ("&amp;'web survey'!E194&amp;")")</f>
        <v>#N/A</v>
      </c>
      <c r="G196" s="27">
        <f>'web survey'!T194</f>
        <v>0</v>
      </c>
      <c r="H196" s="18" t="e">
        <f>IF(B196="FU-ACInstall",VLOOKUP(VALUE('web survey'!F194),ref!$B$15:$C$17,2,0)&amp;" ("&amp;'web survey'!F194&amp;")",VLOOKUP(VALUE('web survey'!F194),ref!$E$20:$F$21,2,0)&amp;" ("&amp;'web survey'!F194&amp;")")</f>
        <v>#N/A</v>
      </c>
      <c r="I196" s="27">
        <f>'web survey'!U194</f>
        <v>0</v>
      </c>
      <c r="J196" s="18" t="e">
        <f>IF(B196="FU-ACInstall","-",VLOOKUP(VALUE('web survey'!G194),ref!$E$24:$F$26,2,0)&amp;" ("&amp;'web survey'!G194&amp;")")</f>
        <v>#N/A</v>
      </c>
      <c r="K196" s="6" t="str">
        <f>YEAR('web survey'!Z194)&amp;"-"&amp;IF(MONTH('web survey'!Z194)&lt;10,"0"&amp;MONTH('web survey'!Z194),MONTH('web survey'!Z194))&amp;"-"&amp;IF(DAY('web survey'!Z194)&lt;10,"0"&amp;DAY('web survey'!Z194),DAY('web survey'!Z194))&amp;" "&amp;IF(HOUR('web survey'!Z194)&lt;10,"0"&amp;HOUR('web survey'!Z194),HOUR('web survey'!Z194))&amp;":"&amp;IF(MINUTE('web survey'!Z194)&lt;10,"0"&amp;MINUTE('web survey'!Z194),MINUTE('web survey'!Z194))&amp;(":00'")</f>
        <v>1900-01-00 00:00:00'</v>
      </c>
      <c r="L196" s="33"/>
      <c r="N196" s="35">
        <v>193</v>
      </c>
      <c r="O196" s="35">
        <v>0</v>
      </c>
      <c r="P196" s="37">
        <v>0</v>
      </c>
      <c r="Q196" s="39" t="e">
        <v>#N/A</v>
      </c>
      <c r="R196" s="41">
        <v>0</v>
      </c>
      <c r="S196" s="39" t="e">
        <v>#N/A</v>
      </c>
      <c r="T196" s="41">
        <v>0</v>
      </c>
      <c r="U196" s="39" t="e">
        <v>#N/A</v>
      </c>
      <c r="V196" s="41">
        <v>0</v>
      </c>
      <c r="W196" s="39" t="e">
        <v>#N/A</v>
      </c>
      <c r="X196" s="35">
        <v>0</v>
      </c>
    </row>
    <row r="197" spans="1:24" ht="28.2" customHeight="1" x14ac:dyDescent="0.3">
      <c r="A197" s="6">
        <f>IF(B197="","",ROW()-COUNTBLANK($B$4:B197)-3)</f>
        <v>194</v>
      </c>
      <c r="B197" s="6">
        <f>'web survey'!C195</f>
        <v>0</v>
      </c>
      <c r="C197" s="29">
        <f>'web survey'!AA195</f>
        <v>0</v>
      </c>
      <c r="D197" s="18" t="e">
        <f>IF(B197="FU-ACInstall",VLOOKUP(VALUE('web survey'!D195),ref!$B$6:$C$7,2,0)&amp;" ("&amp;'web survey'!D195&amp;")",VLOOKUP(VALUE('web survey'!D195),ref!$E$6:$F$10,2,0)&amp;" ("&amp;'web survey'!D195&amp;")")</f>
        <v>#N/A</v>
      </c>
      <c r="E197" s="27">
        <f>'web survey'!S195</f>
        <v>0</v>
      </c>
      <c r="F197" s="18" t="e">
        <f>IF(B197="FU-ACInstall",VLOOKUP(VALUE('web survey'!E195),ref!$B$10:$C$12,2,0)&amp;" ("&amp;'web survey'!E195&amp;")",VLOOKUP(VALUE('web survey'!E195),ref!$E$13:$F$17,2,0)&amp;" ("&amp;'web survey'!E195&amp;")")</f>
        <v>#N/A</v>
      </c>
      <c r="G197" s="27">
        <f>'web survey'!T195</f>
        <v>0</v>
      </c>
      <c r="H197" s="18" t="e">
        <f>IF(B197="FU-ACInstall",VLOOKUP(VALUE('web survey'!F195),ref!$B$15:$C$17,2,0)&amp;" ("&amp;'web survey'!F195&amp;")",VLOOKUP(VALUE('web survey'!F195),ref!$E$20:$F$21,2,0)&amp;" ("&amp;'web survey'!F195&amp;")")</f>
        <v>#N/A</v>
      </c>
      <c r="I197" s="27">
        <f>'web survey'!U195</f>
        <v>0</v>
      </c>
      <c r="J197" s="18" t="e">
        <f>IF(B197="FU-ACInstall","-",VLOOKUP(VALUE('web survey'!G195),ref!$E$24:$F$26,2,0)&amp;" ("&amp;'web survey'!G195&amp;")")</f>
        <v>#N/A</v>
      </c>
      <c r="K197" s="6" t="str">
        <f>YEAR('web survey'!Z195)&amp;"-"&amp;IF(MONTH('web survey'!Z195)&lt;10,"0"&amp;MONTH('web survey'!Z195),MONTH('web survey'!Z195))&amp;"-"&amp;IF(DAY('web survey'!Z195)&lt;10,"0"&amp;DAY('web survey'!Z195),DAY('web survey'!Z195))&amp;" "&amp;IF(HOUR('web survey'!Z195)&lt;10,"0"&amp;HOUR('web survey'!Z195),HOUR('web survey'!Z195))&amp;":"&amp;IF(MINUTE('web survey'!Z195)&lt;10,"0"&amp;MINUTE('web survey'!Z195),MINUTE('web survey'!Z195))&amp;(":00'")</f>
        <v>1900-01-00 00:00:00'</v>
      </c>
      <c r="L197" s="33"/>
      <c r="N197" s="35">
        <v>194</v>
      </c>
      <c r="O197" s="35">
        <v>0</v>
      </c>
      <c r="P197" s="37">
        <v>0</v>
      </c>
      <c r="Q197" s="39" t="e">
        <v>#N/A</v>
      </c>
      <c r="R197" s="41">
        <v>0</v>
      </c>
      <c r="S197" s="39" t="e">
        <v>#N/A</v>
      </c>
      <c r="T197" s="41">
        <v>0</v>
      </c>
      <c r="U197" s="39" t="e">
        <v>#N/A</v>
      </c>
      <c r="V197" s="41">
        <v>0</v>
      </c>
      <c r="W197" s="39" t="e">
        <v>#N/A</v>
      </c>
      <c r="X197" s="35">
        <v>0</v>
      </c>
    </row>
    <row r="198" spans="1:24" ht="28.2" customHeight="1" x14ac:dyDescent="0.3">
      <c r="A198" s="6">
        <f>IF(B198="","",ROW()-COUNTBLANK($B$4:B198)-3)</f>
        <v>195</v>
      </c>
      <c r="B198" s="6">
        <f>'web survey'!C196</f>
        <v>0</v>
      </c>
      <c r="C198" s="29">
        <f>'web survey'!AA196</f>
        <v>0</v>
      </c>
      <c r="D198" s="18" t="e">
        <f>IF(B198="FU-ACInstall",VLOOKUP(VALUE('web survey'!D196),ref!$B$6:$C$7,2,0)&amp;" ("&amp;'web survey'!D196&amp;")",VLOOKUP(VALUE('web survey'!D196),ref!$E$6:$F$10,2,0)&amp;" ("&amp;'web survey'!D196&amp;")")</f>
        <v>#N/A</v>
      </c>
      <c r="E198" s="27">
        <f>'web survey'!S196</f>
        <v>0</v>
      </c>
      <c r="F198" s="18" t="e">
        <f>IF(B198="FU-ACInstall",VLOOKUP(VALUE('web survey'!E196),ref!$B$10:$C$12,2,0)&amp;" ("&amp;'web survey'!E196&amp;")",VLOOKUP(VALUE('web survey'!E196),ref!$E$13:$F$17,2,0)&amp;" ("&amp;'web survey'!E196&amp;")")</f>
        <v>#N/A</v>
      </c>
      <c r="G198" s="27">
        <f>'web survey'!T196</f>
        <v>0</v>
      </c>
      <c r="H198" s="18" t="e">
        <f>IF(B198="FU-ACInstall",VLOOKUP(VALUE('web survey'!F196),ref!$B$15:$C$17,2,0)&amp;" ("&amp;'web survey'!F196&amp;")",VLOOKUP(VALUE('web survey'!F196),ref!$E$20:$F$21,2,0)&amp;" ("&amp;'web survey'!F196&amp;")")</f>
        <v>#N/A</v>
      </c>
      <c r="I198" s="27">
        <f>'web survey'!U196</f>
        <v>0</v>
      </c>
      <c r="J198" s="18" t="e">
        <f>IF(B198="FU-ACInstall","-",VLOOKUP(VALUE('web survey'!G196),ref!$E$24:$F$26,2,0)&amp;" ("&amp;'web survey'!G196&amp;")")</f>
        <v>#N/A</v>
      </c>
      <c r="K198" s="6" t="str">
        <f>YEAR('web survey'!Z196)&amp;"-"&amp;IF(MONTH('web survey'!Z196)&lt;10,"0"&amp;MONTH('web survey'!Z196),MONTH('web survey'!Z196))&amp;"-"&amp;IF(DAY('web survey'!Z196)&lt;10,"0"&amp;DAY('web survey'!Z196),DAY('web survey'!Z196))&amp;" "&amp;IF(HOUR('web survey'!Z196)&lt;10,"0"&amp;HOUR('web survey'!Z196),HOUR('web survey'!Z196))&amp;":"&amp;IF(MINUTE('web survey'!Z196)&lt;10,"0"&amp;MINUTE('web survey'!Z196),MINUTE('web survey'!Z196))&amp;(":00'")</f>
        <v>1900-01-00 00:00:00'</v>
      </c>
      <c r="L198" s="33"/>
      <c r="N198" s="35">
        <v>195</v>
      </c>
      <c r="O198" s="35">
        <v>0</v>
      </c>
      <c r="P198" s="37">
        <v>0</v>
      </c>
      <c r="Q198" s="39" t="e">
        <v>#N/A</v>
      </c>
      <c r="R198" s="41">
        <v>0</v>
      </c>
      <c r="S198" s="39" t="e">
        <v>#N/A</v>
      </c>
      <c r="T198" s="41">
        <v>0</v>
      </c>
      <c r="U198" s="39" t="e">
        <v>#N/A</v>
      </c>
      <c r="V198" s="41">
        <v>0</v>
      </c>
      <c r="W198" s="39" t="e">
        <v>#N/A</v>
      </c>
      <c r="X198" s="35">
        <v>0</v>
      </c>
    </row>
    <row r="199" spans="1:24" ht="28.2" customHeight="1" x14ac:dyDescent="0.3">
      <c r="A199" s="6">
        <f>IF(B199="","",ROW()-COUNTBLANK($B$4:B199)-3)</f>
        <v>196</v>
      </c>
      <c r="B199" s="6">
        <f>'web survey'!C197</f>
        <v>0</v>
      </c>
      <c r="C199" s="29">
        <f>'web survey'!AA197</f>
        <v>0</v>
      </c>
      <c r="D199" s="18" t="e">
        <f>IF(B199="FU-ACInstall",VLOOKUP(VALUE('web survey'!D197),ref!$B$6:$C$7,2,0)&amp;" ("&amp;'web survey'!D197&amp;")",VLOOKUP(VALUE('web survey'!D197),ref!$E$6:$F$10,2,0)&amp;" ("&amp;'web survey'!D197&amp;")")</f>
        <v>#N/A</v>
      </c>
      <c r="E199" s="27">
        <f>'web survey'!S197</f>
        <v>0</v>
      </c>
      <c r="F199" s="18" t="e">
        <f>IF(B199="FU-ACInstall",VLOOKUP(VALUE('web survey'!E197),ref!$B$10:$C$12,2,0)&amp;" ("&amp;'web survey'!E197&amp;")",VLOOKUP(VALUE('web survey'!E197),ref!$E$13:$F$17,2,0)&amp;" ("&amp;'web survey'!E197&amp;")")</f>
        <v>#N/A</v>
      </c>
      <c r="G199" s="27">
        <f>'web survey'!T197</f>
        <v>0</v>
      </c>
      <c r="H199" s="18" t="e">
        <f>IF(B199="FU-ACInstall",VLOOKUP(VALUE('web survey'!F197),ref!$B$15:$C$17,2,0)&amp;" ("&amp;'web survey'!F197&amp;")",VLOOKUP(VALUE('web survey'!F197),ref!$E$20:$F$21,2,0)&amp;" ("&amp;'web survey'!F197&amp;")")</f>
        <v>#N/A</v>
      </c>
      <c r="I199" s="27">
        <f>'web survey'!U197</f>
        <v>0</v>
      </c>
      <c r="J199" s="18" t="e">
        <f>IF(B199="FU-ACInstall","-",VLOOKUP(VALUE('web survey'!G197),ref!$E$24:$F$26,2,0)&amp;" ("&amp;'web survey'!G197&amp;")")</f>
        <v>#N/A</v>
      </c>
      <c r="K199" s="6" t="str">
        <f>YEAR('web survey'!Z197)&amp;"-"&amp;IF(MONTH('web survey'!Z197)&lt;10,"0"&amp;MONTH('web survey'!Z197),MONTH('web survey'!Z197))&amp;"-"&amp;IF(DAY('web survey'!Z197)&lt;10,"0"&amp;DAY('web survey'!Z197),DAY('web survey'!Z197))&amp;" "&amp;IF(HOUR('web survey'!Z197)&lt;10,"0"&amp;HOUR('web survey'!Z197),HOUR('web survey'!Z197))&amp;":"&amp;IF(MINUTE('web survey'!Z197)&lt;10,"0"&amp;MINUTE('web survey'!Z197),MINUTE('web survey'!Z197))&amp;(":00'")</f>
        <v>1900-01-00 00:00:00'</v>
      </c>
      <c r="L199" s="33"/>
      <c r="N199" s="35">
        <v>196</v>
      </c>
      <c r="O199" s="35">
        <v>0</v>
      </c>
      <c r="P199" s="37">
        <v>0</v>
      </c>
      <c r="Q199" s="39" t="e">
        <v>#N/A</v>
      </c>
      <c r="R199" s="41">
        <v>0</v>
      </c>
      <c r="S199" s="39" t="e">
        <v>#N/A</v>
      </c>
      <c r="T199" s="41">
        <v>0</v>
      </c>
      <c r="U199" s="39" t="e">
        <v>#N/A</v>
      </c>
      <c r="V199" s="41">
        <v>0</v>
      </c>
      <c r="W199" s="39" t="e">
        <v>#N/A</v>
      </c>
      <c r="X199" s="35">
        <v>0</v>
      </c>
    </row>
    <row r="200" spans="1:24" ht="28.2" customHeight="1" x14ac:dyDescent="0.3">
      <c r="A200" s="6">
        <f>IF(B200="","",ROW()-COUNTBLANK($B$4:B200)-3)</f>
        <v>197</v>
      </c>
      <c r="B200" s="6">
        <f>'web survey'!C198</f>
        <v>0</v>
      </c>
      <c r="C200" s="29">
        <f>'web survey'!AA198</f>
        <v>0</v>
      </c>
      <c r="D200" s="18" t="e">
        <f>IF(B200="FU-ACInstall",VLOOKUP(VALUE('web survey'!D198),ref!$B$6:$C$7,2,0)&amp;" ("&amp;'web survey'!D198&amp;")",VLOOKUP(VALUE('web survey'!D198),ref!$E$6:$F$10,2,0)&amp;" ("&amp;'web survey'!D198&amp;")")</f>
        <v>#N/A</v>
      </c>
      <c r="E200" s="27">
        <f>'web survey'!S198</f>
        <v>0</v>
      </c>
      <c r="F200" s="18" t="e">
        <f>IF(B200="FU-ACInstall",VLOOKUP(VALUE('web survey'!E198),ref!$B$10:$C$12,2,0)&amp;" ("&amp;'web survey'!E198&amp;")",VLOOKUP(VALUE('web survey'!E198),ref!$E$13:$F$17,2,0)&amp;" ("&amp;'web survey'!E198&amp;")")</f>
        <v>#N/A</v>
      </c>
      <c r="G200" s="27">
        <f>'web survey'!T198</f>
        <v>0</v>
      </c>
      <c r="H200" s="18" t="e">
        <f>IF(B200="FU-ACInstall",VLOOKUP(VALUE('web survey'!F198),ref!$B$15:$C$17,2,0)&amp;" ("&amp;'web survey'!F198&amp;")",VLOOKUP(VALUE('web survey'!F198),ref!$E$20:$F$21,2,0)&amp;" ("&amp;'web survey'!F198&amp;")")</f>
        <v>#N/A</v>
      </c>
      <c r="I200" s="27">
        <f>'web survey'!U198</f>
        <v>0</v>
      </c>
      <c r="J200" s="18" t="e">
        <f>IF(B200="FU-ACInstall","-",VLOOKUP(VALUE('web survey'!G198),ref!$E$24:$F$26,2,0)&amp;" ("&amp;'web survey'!G198&amp;")")</f>
        <v>#N/A</v>
      </c>
      <c r="K200" s="6" t="str">
        <f>YEAR('web survey'!Z198)&amp;"-"&amp;IF(MONTH('web survey'!Z198)&lt;10,"0"&amp;MONTH('web survey'!Z198),MONTH('web survey'!Z198))&amp;"-"&amp;IF(DAY('web survey'!Z198)&lt;10,"0"&amp;DAY('web survey'!Z198),DAY('web survey'!Z198))&amp;" "&amp;IF(HOUR('web survey'!Z198)&lt;10,"0"&amp;HOUR('web survey'!Z198),HOUR('web survey'!Z198))&amp;":"&amp;IF(MINUTE('web survey'!Z198)&lt;10,"0"&amp;MINUTE('web survey'!Z198),MINUTE('web survey'!Z198))&amp;(":00'")</f>
        <v>1900-01-00 00:00:00'</v>
      </c>
      <c r="L200" s="33"/>
      <c r="N200" s="35">
        <v>197</v>
      </c>
      <c r="O200" s="35">
        <v>0</v>
      </c>
      <c r="P200" s="37">
        <v>0</v>
      </c>
      <c r="Q200" s="39" t="e">
        <v>#N/A</v>
      </c>
      <c r="R200" s="41">
        <v>0</v>
      </c>
      <c r="S200" s="39" t="e">
        <v>#N/A</v>
      </c>
      <c r="T200" s="41">
        <v>0</v>
      </c>
      <c r="U200" s="39" t="e">
        <v>#N/A</v>
      </c>
      <c r="V200" s="41">
        <v>0</v>
      </c>
      <c r="W200" s="39" t="e">
        <v>#N/A</v>
      </c>
      <c r="X200" s="35">
        <v>0</v>
      </c>
    </row>
    <row r="201" spans="1:24" ht="28.2" customHeight="1" x14ac:dyDescent="0.3">
      <c r="A201" s="6">
        <f>IF(B201="","",ROW()-COUNTBLANK($B$4:B201)-3)</f>
        <v>198</v>
      </c>
      <c r="B201" s="6">
        <f>'web survey'!C199</f>
        <v>0</v>
      </c>
      <c r="C201" s="29">
        <f>'web survey'!AA199</f>
        <v>0</v>
      </c>
      <c r="D201" s="18" t="e">
        <f>IF(B201="FU-ACInstall",VLOOKUP(VALUE('web survey'!D199),ref!$B$6:$C$7,2,0)&amp;" ("&amp;'web survey'!D199&amp;")",VLOOKUP(VALUE('web survey'!D199),ref!$E$6:$F$10,2,0)&amp;" ("&amp;'web survey'!D199&amp;")")</f>
        <v>#N/A</v>
      </c>
      <c r="E201" s="27">
        <f>'web survey'!S199</f>
        <v>0</v>
      </c>
      <c r="F201" s="18" t="e">
        <f>IF(B201="FU-ACInstall",VLOOKUP(VALUE('web survey'!E199),ref!$B$10:$C$12,2,0)&amp;" ("&amp;'web survey'!E199&amp;")",VLOOKUP(VALUE('web survey'!E199),ref!$E$13:$F$17,2,0)&amp;" ("&amp;'web survey'!E199&amp;")")</f>
        <v>#N/A</v>
      </c>
      <c r="G201" s="27">
        <f>'web survey'!T199</f>
        <v>0</v>
      </c>
      <c r="H201" s="18" t="e">
        <f>IF(B201="FU-ACInstall",VLOOKUP(VALUE('web survey'!F199),ref!$B$15:$C$17,2,0)&amp;" ("&amp;'web survey'!F199&amp;")",VLOOKUP(VALUE('web survey'!F199),ref!$E$20:$F$21,2,0)&amp;" ("&amp;'web survey'!F199&amp;")")</f>
        <v>#N/A</v>
      </c>
      <c r="I201" s="27">
        <f>'web survey'!U199</f>
        <v>0</v>
      </c>
      <c r="J201" s="18" t="e">
        <f>IF(B201="FU-ACInstall","-",VLOOKUP(VALUE('web survey'!G199),ref!$E$24:$F$26,2,0)&amp;" ("&amp;'web survey'!G199&amp;")")</f>
        <v>#N/A</v>
      </c>
      <c r="K201" s="6" t="str">
        <f>YEAR('web survey'!Z199)&amp;"-"&amp;IF(MONTH('web survey'!Z199)&lt;10,"0"&amp;MONTH('web survey'!Z199),MONTH('web survey'!Z199))&amp;"-"&amp;IF(DAY('web survey'!Z199)&lt;10,"0"&amp;DAY('web survey'!Z199),DAY('web survey'!Z199))&amp;" "&amp;IF(HOUR('web survey'!Z199)&lt;10,"0"&amp;HOUR('web survey'!Z199),HOUR('web survey'!Z199))&amp;":"&amp;IF(MINUTE('web survey'!Z199)&lt;10,"0"&amp;MINUTE('web survey'!Z199),MINUTE('web survey'!Z199))&amp;(":00'")</f>
        <v>1900-01-00 00:00:00'</v>
      </c>
      <c r="L201" s="33"/>
      <c r="N201" s="35">
        <v>198</v>
      </c>
      <c r="O201" s="35">
        <v>0</v>
      </c>
      <c r="P201" s="37">
        <v>0</v>
      </c>
      <c r="Q201" s="39" t="e">
        <v>#N/A</v>
      </c>
      <c r="R201" s="41">
        <v>0</v>
      </c>
      <c r="S201" s="39" t="e">
        <v>#N/A</v>
      </c>
      <c r="T201" s="41">
        <v>0</v>
      </c>
      <c r="U201" s="39" t="e">
        <v>#N/A</v>
      </c>
      <c r="V201" s="41">
        <v>0</v>
      </c>
      <c r="W201" s="39" t="e">
        <v>#N/A</v>
      </c>
      <c r="X201" s="35">
        <v>0</v>
      </c>
    </row>
    <row r="202" spans="1:24" ht="28.2" customHeight="1" x14ac:dyDescent="0.3">
      <c r="A202" s="6">
        <f>IF(B202="","",ROW()-COUNTBLANK($B$4:B202)-3)</f>
        <v>199</v>
      </c>
      <c r="B202" s="6">
        <f>'web survey'!C200</f>
        <v>0</v>
      </c>
      <c r="C202" s="29">
        <f>'web survey'!AA200</f>
        <v>0</v>
      </c>
      <c r="D202" s="18" t="e">
        <f>IF(B202="FU-ACInstall",VLOOKUP(VALUE('web survey'!D200),ref!$B$6:$C$7,2,0)&amp;" ("&amp;'web survey'!D200&amp;")",VLOOKUP(VALUE('web survey'!D200),ref!$E$6:$F$10,2,0)&amp;" ("&amp;'web survey'!D200&amp;")")</f>
        <v>#N/A</v>
      </c>
      <c r="E202" s="27">
        <f>'web survey'!S200</f>
        <v>0</v>
      </c>
      <c r="F202" s="18" t="e">
        <f>IF(B202="FU-ACInstall",VLOOKUP(VALUE('web survey'!E200),ref!$B$10:$C$12,2,0)&amp;" ("&amp;'web survey'!E200&amp;")",VLOOKUP(VALUE('web survey'!E200),ref!$E$13:$F$17,2,0)&amp;" ("&amp;'web survey'!E200&amp;")")</f>
        <v>#N/A</v>
      </c>
      <c r="G202" s="27">
        <f>'web survey'!T200</f>
        <v>0</v>
      </c>
      <c r="H202" s="18" t="e">
        <f>IF(B202="FU-ACInstall",VLOOKUP(VALUE('web survey'!F200),ref!$B$15:$C$17,2,0)&amp;" ("&amp;'web survey'!F200&amp;")",VLOOKUP(VALUE('web survey'!F200),ref!$E$20:$F$21,2,0)&amp;" ("&amp;'web survey'!F200&amp;")")</f>
        <v>#N/A</v>
      </c>
      <c r="I202" s="27">
        <f>'web survey'!U200</f>
        <v>0</v>
      </c>
      <c r="J202" s="18" t="e">
        <f>IF(B202="FU-ACInstall","-",VLOOKUP(VALUE('web survey'!G200),ref!$E$24:$F$26,2,0)&amp;" ("&amp;'web survey'!G200&amp;")")</f>
        <v>#N/A</v>
      </c>
      <c r="K202" s="6" t="str">
        <f>YEAR('web survey'!Z200)&amp;"-"&amp;IF(MONTH('web survey'!Z200)&lt;10,"0"&amp;MONTH('web survey'!Z200),MONTH('web survey'!Z200))&amp;"-"&amp;IF(DAY('web survey'!Z200)&lt;10,"0"&amp;DAY('web survey'!Z200),DAY('web survey'!Z200))&amp;" "&amp;IF(HOUR('web survey'!Z200)&lt;10,"0"&amp;HOUR('web survey'!Z200),HOUR('web survey'!Z200))&amp;":"&amp;IF(MINUTE('web survey'!Z200)&lt;10,"0"&amp;MINUTE('web survey'!Z200),MINUTE('web survey'!Z200))&amp;(":00'")</f>
        <v>1900-01-00 00:00:00'</v>
      </c>
      <c r="L202" s="33"/>
      <c r="N202" s="35">
        <v>199</v>
      </c>
      <c r="O202" s="35">
        <v>0</v>
      </c>
      <c r="P202" s="37">
        <v>0</v>
      </c>
      <c r="Q202" s="39" t="e">
        <v>#N/A</v>
      </c>
      <c r="R202" s="41">
        <v>0</v>
      </c>
      <c r="S202" s="39" t="e">
        <v>#N/A</v>
      </c>
      <c r="T202" s="41">
        <v>0</v>
      </c>
      <c r="U202" s="39" t="e">
        <v>#N/A</v>
      </c>
      <c r="V202" s="41">
        <v>0</v>
      </c>
      <c r="W202" s="39" t="e">
        <v>#N/A</v>
      </c>
      <c r="X202" s="35">
        <v>0</v>
      </c>
    </row>
    <row r="203" spans="1:24" ht="28.2" customHeight="1" x14ac:dyDescent="0.3">
      <c r="A203" s="6">
        <f>IF(B203="","",ROW()-COUNTBLANK($B$4:B203)-3)</f>
        <v>200</v>
      </c>
      <c r="B203" s="6">
        <f>'web survey'!C201</f>
        <v>0</v>
      </c>
      <c r="C203" s="29">
        <f>'web survey'!AA201</f>
        <v>0</v>
      </c>
      <c r="D203" s="18" t="e">
        <f>IF(B203="FU-ACInstall",VLOOKUP(VALUE('web survey'!D201),ref!$B$6:$C$7,2,0)&amp;" ("&amp;'web survey'!D201&amp;")",VLOOKUP(VALUE('web survey'!D201),ref!$E$6:$F$10,2,0)&amp;" ("&amp;'web survey'!D201&amp;")")</f>
        <v>#N/A</v>
      </c>
      <c r="E203" s="27">
        <f>'web survey'!S201</f>
        <v>0</v>
      </c>
      <c r="F203" s="18" t="e">
        <f>IF(B203="FU-ACInstall",VLOOKUP(VALUE('web survey'!E201),ref!$B$10:$C$12,2,0)&amp;" ("&amp;'web survey'!E201&amp;")",VLOOKUP(VALUE('web survey'!E201),ref!$E$13:$F$17,2,0)&amp;" ("&amp;'web survey'!E201&amp;")")</f>
        <v>#N/A</v>
      </c>
      <c r="G203" s="27">
        <f>'web survey'!T201</f>
        <v>0</v>
      </c>
      <c r="H203" s="18" t="e">
        <f>IF(B203="FU-ACInstall",VLOOKUP(VALUE('web survey'!F201),ref!$B$15:$C$17,2,0)&amp;" ("&amp;'web survey'!F201&amp;")",VLOOKUP(VALUE('web survey'!F201),ref!$E$20:$F$21,2,0)&amp;" ("&amp;'web survey'!F201&amp;")")</f>
        <v>#N/A</v>
      </c>
      <c r="I203" s="27">
        <f>'web survey'!U201</f>
        <v>0</v>
      </c>
      <c r="J203" s="18" t="e">
        <f>IF(B203="FU-ACInstall","-",VLOOKUP(VALUE('web survey'!G201),ref!$E$24:$F$26,2,0)&amp;" ("&amp;'web survey'!G201&amp;")")</f>
        <v>#N/A</v>
      </c>
      <c r="K203" s="6" t="str">
        <f>YEAR('web survey'!Z201)&amp;"-"&amp;IF(MONTH('web survey'!Z201)&lt;10,"0"&amp;MONTH('web survey'!Z201),MONTH('web survey'!Z201))&amp;"-"&amp;IF(DAY('web survey'!Z201)&lt;10,"0"&amp;DAY('web survey'!Z201),DAY('web survey'!Z201))&amp;" "&amp;IF(HOUR('web survey'!Z201)&lt;10,"0"&amp;HOUR('web survey'!Z201),HOUR('web survey'!Z201))&amp;":"&amp;IF(MINUTE('web survey'!Z201)&lt;10,"0"&amp;MINUTE('web survey'!Z201),MINUTE('web survey'!Z201))&amp;(":00'")</f>
        <v>1900-01-00 00:00:00'</v>
      </c>
      <c r="L203" s="33"/>
      <c r="N203" s="35">
        <v>200</v>
      </c>
      <c r="O203" s="35">
        <v>0</v>
      </c>
      <c r="P203" s="37">
        <v>0</v>
      </c>
      <c r="Q203" s="39" t="e">
        <v>#N/A</v>
      </c>
      <c r="R203" s="41">
        <v>0</v>
      </c>
      <c r="S203" s="39" t="e">
        <v>#N/A</v>
      </c>
      <c r="T203" s="41">
        <v>0</v>
      </c>
      <c r="U203" s="39" t="e">
        <v>#N/A</v>
      </c>
      <c r="V203" s="41">
        <v>0</v>
      </c>
      <c r="W203" s="39" t="e">
        <v>#N/A</v>
      </c>
      <c r="X203" s="35">
        <v>0</v>
      </c>
    </row>
  </sheetData>
  <autoFilter ref="A3:K203">
    <sortState ref="A4:K1528">
      <sortCondition ref="K3:K1528"/>
    </sortState>
  </autoFilter>
  <mergeCells count="2">
    <mergeCell ref="Q1:X2"/>
    <mergeCell ref="N1:P2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64" fitToHeight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24"/>
  <sheetViews>
    <sheetView topLeftCell="AD82" zoomScaleNormal="100" workbookViewId="0">
      <selection activeCell="AD104" sqref="AD104"/>
    </sheetView>
  </sheetViews>
  <sheetFormatPr defaultRowHeight="14.4" x14ac:dyDescent="0.3"/>
  <cols>
    <col min="1" max="2" width="8.88671875" style="2"/>
    <col min="3" max="3" width="12" style="2" bestFit="1" customWidth="1"/>
    <col min="4" max="18" width="8.88671875" style="2"/>
    <col min="19" max="25" width="10" style="2" customWidth="1"/>
    <col min="26" max="26" width="16" style="2" bestFit="1" customWidth="1"/>
    <col min="27" max="27" width="8.88671875" style="2"/>
    <col min="28" max="28" width="9.33203125" style="2" customWidth="1"/>
    <col min="29" max="29" width="9.5546875" style="2" customWidth="1"/>
    <col min="30" max="30" width="17.5546875" style="2" customWidth="1"/>
    <col min="31" max="16384" width="8.88671875" style="2"/>
  </cols>
  <sheetData>
    <row r="1" spans="1:30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</row>
    <row r="2" spans="1:30" x14ac:dyDescent="0.3">
      <c r="A2" s="3">
        <v>133540</v>
      </c>
      <c r="B2" s="3" t="s">
        <v>43</v>
      </c>
      <c r="C2" s="3" t="s">
        <v>44</v>
      </c>
      <c r="D2" s="3" t="s">
        <v>45</v>
      </c>
      <c r="E2" s="3" t="s">
        <v>45</v>
      </c>
      <c r="F2" s="3" t="s">
        <v>45</v>
      </c>
      <c r="G2" s="3" t="s">
        <v>46</v>
      </c>
      <c r="H2" s="3" t="s">
        <v>46</v>
      </c>
      <c r="I2" s="3" t="s">
        <v>46</v>
      </c>
      <c r="J2" s="3" t="s">
        <v>46</v>
      </c>
      <c r="K2" s="3">
        <v>30</v>
      </c>
      <c r="L2" s="3" t="s">
        <v>47</v>
      </c>
      <c r="M2" s="3" t="s">
        <v>48</v>
      </c>
      <c r="N2" s="3" t="s">
        <v>49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46</v>
      </c>
      <c r="X2" s="3" t="s">
        <v>46</v>
      </c>
      <c r="Y2" s="3" t="s">
        <v>46</v>
      </c>
      <c r="Z2" s="3" t="s">
        <v>168</v>
      </c>
      <c r="AA2" s="3" t="s">
        <v>169</v>
      </c>
      <c r="AB2" s="3" t="s">
        <v>89</v>
      </c>
      <c r="AC2" s="3" t="s">
        <v>170</v>
      </c>
      <c r="AD2" s="3" t="s">
        <v>171</v>
      </c>
    </row>
    <row r="3" spans="1:30" x14ac:dyDescent="0.3">
      <c r="A3" s="3">
        <v>133516</v>
      </c>
      <c r="B3" s="3" t="s">
        <v>43</v>
      </c>
      <c r="C3" s="3" t="s">
        <v>44</v>
      </c>
      <c r="D3" s="3" t="s">
        <v>45</v>
      </c>
      <c r="E3" s="3" t="s">
        <v>45</v>
      </c>
      <c r="F3" s="3" t="s">
        <v>45</v>
      </c>
      <c r="G3" s="3" t="s">
        <v>46</v>
      </c>
      <c r="H3" s="3" t="s">
        <v>46</v>
      </c>
      <c r="I3" s="3" t="s">
        <v>46</v>
      </c>
      <c r="J3" s="3" t="s">
        <v>46</v>
      </c>
      <c r="K3" s="3">
        <v>30</v>
      </c>
      <c r="L3" s="3" t="s">
        <v>47</v>
      </c>
      <c r="M3" s="3" t="s">
        <v>48</v>
      </c>
      <c r="N3" s="3" t="s">
        <v>49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172</v>
      </c>
      <c r="AA3" s="3" t="s">
        <v>173</v>
      </c>
      <c r="AB3" s="3" t="s">
        <v>53</v>
      </c>
      <c r="AC3" s="3" t="s">
        <v>174</v>
      </c>
      <c r="AD3" s="3" t="s">
        <v>175</v>
      </c>
    </row>
    <row r="4" spans="1:30" x14ac:dyDescent="0.3">
      <c r="A4" s="3">
        <v>133509</v>
      </c>
      <c r="B4" s="3" t="s">
        <v>43</v>
      </c>
      <c r="C4" s="3" t="s">
        <v>44</v>
      </c>
      <c r="D4" s="3" t="s">
        <v>54</v>
      </c>
      <c r="E4" s="3" t="s">
        <v>57</v>
      </c>
      <c r="F4" s="3" t="s">
        <v>54</v>
      </c>
      <c r="G4" s="3" t="s">
        <v>46</v>
      </c>
      <c r="H4" s="3" t="s">
        <v>46</v>
      </c>
      <c r="I4" s="3" t="s">
        <v>46</v>
      </c>
      <c r="J4" s="3" t="s">
        <v>46</v>
      </c>
      <c r="K4" s="3">
        <v>-15</v>
      </c>
      <c r="L4" s="3" t="s">
        <v>55</v>
      </c>
      <c r="M4" s="3" t="s">
        <v>58</v>
      </c>
      <c r="N4" s="3" t="s">
        <v>137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46</v>
      </c>
      <c r="X4" s="3" t="s">
        <v>46</v>
      </c>
      <c r="Y4" s="3" t="s">
        <v>46</v>
      </c>
      <c r="Z4" s="3" t="s">
        <v>176</v>
      </c>
      <c r="AA4" s="3" t="s">
        <v>177</v>
      </c>
      <c r="AB4" s="3" t="s">
        <v>82</v>
      </c>
      <c r="AC4" s="3" t="s">
        <v>178</v>
      </c>
      <c r="AD4" s="3" t="s">
        <v>179</v>
      </c>
    </row>
    <row r="5" spans="1:30" x14ac:dyDescent="0.3">
      <c r="A5" s="3">
        <v>133485</v>
      </c>
      <c r="B5" s="3" t="s">
        <v>43</v>
      </c>
      <c r="C5" s="3" t="s">
        <v>44</v>
      </c>
      <c r="D5" s="3" t="s">
        <v>45</v>
      </c>
      <c r="E5" s="3" t="s">
        <v>45</v>
      </c>
      <c r="F5" s="3" t="s">
        <v>45</v>
      </c>
      <c r="G5" s="3" t="s">
        <v>46</v>
      </c>
      <c r="H5" s="3" t="s">
        <v>46</v>
      </c>
      <c r="I5" s="3" t="s">
        <v>46</v>
      </c>
      <c r="J5" s="3" t="s">
        <v>46</v>
      </c>
      <c r="K5" s="3">
        <v>30</v>
      </c>
      <c r="L5" s="3" t="s">
        <v>47</v>
      </c>
      <c r="M5" s="3" t="s">
        <v>48</v>
      </c>
      <c r="N5" s="3" t="s">
        <v>49</v>
      </c>
      <c r="O5" s="3" t="s">
        <v>46</v>
      </c>
      <c r="P5" s="3" t="s">
        <v>46</v>
      </c>
      <c r="Q5" s="3" t="s">
        <v>46</v>
      </c>
      <c r="R5" s="3" t="s">
        <v>46</v>
      </c>
      <c r="S5" s="3" t="s">
        <v>46</v>
      </c>
      <c r="T5" s="3" t="s">
        <v>46</v>
      </c>
      <c r="U5" s="3" t="s">
        <v>46</v>
      </c>
      <c r="V5" s="3" t="s">
        <v>46</v>
      </c>
      <c r="W5" s="3" t="s">
        <v>46</v>
      </c>
      <c r="X5" s="3" t="s">
        <v>46</v>
      </c>
      <c r="Y5" s="3" t="s">
        <v>46</v>
      </c>
      <c r="Z5" s="3" t="s">
        <v>180</v>
      </c>
      <c r="AA5" s="3" t="s">
        <v>181</v>
      </c>
      <c r="AB5" s="3" t="s">
        <v>59</v>
      </c>
      <c r="AC5" s="3" t="s">
        <v>182</v>
      </c>
      <c r="AD5" s="3" t="s">
        <v>183</v>
      </c>
    </row>
    <row r="6" spans="1:30" x14ac:dyDescent="0.3">
      <c r="A6" s="3">
        <v>133572</v>
      </c>
      <c r="B6" s="3" t="s">
        <v>43</v>
      </c>
      <c r="C6" s="3" t="s">
        <v>63</v>
      </c>
      <c r="D6" s="3" t="s">
        <v>45</v>
      </c>
      <c r="E6" s="3" t="s">
        <v>57</v>
      </c>
      <c r="F6" s="3" t="s">
        <v>54</v>
      </c>
      <c r="G6" s="3" t="s">
        <v>57</v>
      </c>
      <c r="H6" s="3" t="s">
        <v>46</v>
      </c>
      <c r="I6" s="3" t="s">
        <v>46</v>
      </c>
      <c r="J6" s="3" t="s">
        <v>46</v>
      </c>
      <c r="K6" s="3">
        <v>10</v>
      </c>
      <c r="L6" s="3" t="s">
        <v>49</v>
      </c>
      <c r="M6" s="3" t="s">
        <v>49</v>
      </c>
      <c r="N6" s="3" t="s">
        <v>70</v>
      </c>
      <c r="O6" s="3" t="s">
        <v>65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46</v>
      </c>
      <c r="U6" s="3" t="s">
        <v>46</v>
      </c>
      <c r="V6" s="3" t="s">
        <v>46</v>
      </c>
      <c r="W6" s="3" t="s">
        <v>46</v>
      </c>
      <c r="X6" s="3" t="s">
        <v>46</v>
      </c>
      <c r="Y6" s="3" t="s">
        <v>46</v>
      </c>
      <c r="Z6" s="3" t="s">
        <v>184</v>
      </c>
      <c r="AA6" s="3" t="s">
        <v>185</v>
      </c>
      <c r="AB6" s="3" t="s">
        <v>51</v>
      </c>
      <c r="AC6" s="3" t="s">
        <v>186</v>
      </c>
      <c r="AD6" s="3" t="s">
        <v>187</v>
      </c>
    </row>
    <row r="7" spans="1:30" x14ac:dyDescent="0.3">
      <c r="A7" s="3">
        <v>133571</v>
      </c>
      <c r="B7" s="3" t="s">
        <v>43</v>
      </c>
      <c r="C7" s="3" t="s">
        <v>63</v>
      </c>
      <c r="D7" s="3" t="s">
        <v>54</v>
      </c>
      <c r="E7" s="3" t="s">
        <v>45</v>
      </c>
      <c r="F7" s="3" t="s">
        <v>45</v>
      </c>
      <c r="G7" s="3" t="s">
        <v>57</v>
      </c>
      <c r="H7" s="3" t="s">
        <v>46</v>
      </c>
      <c r="I7" s="3" t="s">
        <v>46</v>
      </c>
      <c r="J7" s="3" t="s">
        <v>46</v>
      </c>
      <c r="K7" s="3">
        <v>15</v>
      </c>
      <c r="L7" s="3" t="s">
        <v>75</v>
      </c>
      <c r="M7" s="3" t="s">
        <v>68</v>
      </c>
      <c r="N7" s="3" t="s">
        <v>71</v>
      </c>
      <c r="O7" s="3" t="s">
        <v>65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46</v>
      </c>
      <c r="W7" s="3" t="s">
        <v>46</v>
      </c>
      <c r="X7" s="3" t="s">
        <v>46</v>
      </c>
      <c r="Y7" s="3" t="s">
        <v>46</v>
      </c>
      <c r="Z7" s="3" t="s">
        <v>188</v>
      </c>
      <c r="AA7" s="3" t="s">
        <v>189</v>
      </c>
      <c r="AB7" s="3" t="s">
        <v>87</v>
      </c>
      <c r="AC7" s="3" t="s">
        <v>190</v>
      </c>
      <c r="AD7" s="3" t="s">
        <v>191</v>
      </c>
    </row>
    <row r="8" spans="1:30" x14ac:dyDescent="0.3">
      <c r="A8" s="3">
        <v>133570</v>
      </c>
      <c r="B8" s="3" t="s">
        <v>43</v>
      </c>
      <c r="C8" s="3" t="s">
        <v>63</v>
      </c>
      <c r="D8" s="3" t="s">
        <v>45</v>
      </c>
      <c r="E8" s="3" t="s">
        <v>45</v>
      </c>
      <c r="F8" s="3" t="s">
        <v>45</v>
      </c>
      <c r="G8" s="3" t="s">
        <v>57</v>
      </c>
      <c r="H8" s="3" t="s">
        <v>46</v>
      </c>
      <c r="I8" s="3" t="s">
        <v>46</v>
      </c>
      <c r="J8" s="3" t="s">
        <v>46</v>
      </c>
      <c r="K8" s="3">
        <v>35</v>
      </c>
      <c r="L8" s="3" t="s">
        <v>49</v>
      </c>
      <c r="M8" s="3" t="s">
        <v>49</v>
      </c>
      <c r="N8" s="3" t="s">
        <v>64</v>
      </c>
      <c r="O8" s="3" t="s">
        <v>65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192</v>
      </c>
      <c r="AA8" s="3" t="s">
        <v>193</v>
      </c>
      <c r="AB8" s="3" t="s">
        <v>194</v>
      </c>
      <c r="AC8" s="3" t="s">
        <v>195</v>
      </c>
      <c r="AD8" s="3" t="s">
        <v>196</v>
      </c>
    </row>
    <row r="9" spans="1:30" x14ac:dyDescent="0.3">
      <c r="A9" s="3">
        <v>133569</v>
      </c>
      <c r="B9" s="3" t="s">
        <v>43</v>
      </c>
      <c r="C9" s="3" t="s">
        <v>63</v>
      </c>
      <c r="D9" s="3" t="s">
        <v>45</v>
      </c>
      <c r="E9" s="3" t="s">
        <v>45</v>
      </c>
      <c r="F9" s="3" t="s">
        <v>45</v>
      </c>
      <c r="G9" s="3" t="s">
        <v>57</v>
      </c>
      <c r="H9" s="3" t="s">
        <v>46</v>
      </c>
      <c r="I9" s="3" t="s">
        <v>46</v>
      </c>
      <c r="J9" s="3" t="s">
        <v>46</v>
      </c>
      <c r="K9" s="3">
        <v>35</v>
      </c>
      <c r="L9" s="3" t="s">
        <v>49</v>
      </c>
      <c r="M9" s="3" t="s">
        <v>68</v>
      </c>
      <c r="N9" s="3" t="s">
        <v>64</v>
      </c>
      <c r="O9" s="3" t="s">
        <v>65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197</v>
      </c>
      <c r="AA9" s="3" t="s">
        <v>198</v>
      </c>
      <c r="AB9" s="3" t="s">
        <v>53</v>
      </c>
      <c r="AC9" s="3" t="s">
        <v>199</v>
      </c>
      <c r="AD9" s="3" t="s">
        <v>200</v>
      </c>
    </row>
    <row r="10" spans="1:30" x14ac:dyDescent="0.3">
      <c r="A10" s="3">
        <v>133568</v>
      </c>
      <c r="B10" s="3" t="s">
        <v>43</v>
      </c>
      <c r="C10" s="3" t="s">
        <v>63</v>
      </c>
      <c r="D10" s="3" t="s">
        <v>45</v>
      </c>
      <c r="E10" s="3" t="s">
        <v>45</v>
      </c>
      <c r="F10" s="3" t="s">
        <v>45</v>
      </c>
      <c r="G10" s="3" t="s">
        <v>57</v>
      </c>
      <c r="H10" s="3" t="s">
        <v>46</v>
      </c>
      <c r="I10" s="3" t="s">
        <v>46</v>
      </c>
      <c r="J10" s="3" t="s">
        <v>46</v>
      </c>
      <c r="K10" s="3">
        <v>35</v>
      </c>
      <c r="L10" s="3" t="s">
        <v>49</v>
      </c>
      <c r="M10" s="3" t="s">
        <v>68</v>
      </c>
      <c r="N10" s="3" t="s">
        <v>64</v>
      </c>
      <c r="O10" s="3" t="s">
        <v>65</v>
      </c>
      <c r="P10" s="3" t="s">
        <v>46</v>
      </c>
      <c r="Q10" s="3" t="s">
        <v>46</v>
      </c>
      <c r="R10" s="3" t="s">
        <v>46</v>
      </c>
      <c r="S10" s="3" t="s">
        <v>46</v>
      </c>
      <c r="T10" s="3" t="s">
        <v>46</v>
      </c>
      <c r="U10" s="3" t="s">
        <v>46</v>
      </c>
      <c r="V10" s="3" t="s">
        <v>46</v>
      </c>
      <c r="W10" s="3" t="s">
        <v>46</v>
      </c>
      <c r="X10" s="3" t="s">
        <v>46</v>
      </c>
      <c r="Y10" s="3" t="s">
        <v>46</v>
      </c>
      <c r="Z10" s="3" t="s">
        <v>201</v>
      </c>
      <c r="AA10" s="3" t="s">
        <v>202</v>
      </c>
      <c r="AB10" s="3" t="s">
        <v>203</v>
      </c>
      <c r="AC10" s="3" t="s">
        <v>204</v>
      </c>
      <c r="AD10" s="3" t="s">
        <v>205</v>
      </c>
    </row>
    <row r="11" spans="1:30" x14ac:dyDescent="0.3">
      <c r="A11" s="3">
        <v>133567</v>
      </c>
      <c r="B11" s="3" t="s">
        <v>43</v>
      </c>
      <c r="C11" s="3" t="s">
        <v>63</v>
      </c>
      <c r="D11" s="3" t="s">
        <v>45</v>
      </c>
      <c r="E11" s="3" t="s">
        <v>57</v>
      </c>
      <c r="F11" s="3" t="s">
        <v>45</v>
      </c>
      <c r="G11" s="3" t="s">
        <v>57</v>
      </c>
      <c r="H11" s="3" t="s">
        <v>46</v>
      </c>
      <c r="I11" s="3" t="s">
        <v>46</v>
      </c>
      <c r="J11" s="3" t="s">
        <v>46</v>
      </c>
      <c r="K11" s="3">
        <v>30</v>
      </c>
      <c r="L11" s="3" t="s">
        <v>49</v>
      </c>
      <c r="M11" s="3" t="s">
        <v>49</v>
      </c>
      <c r="N11" s="3" t="s">
        <v>71</v>
      </c>
      <c r="O11" s="3" t="s">
        <v>65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46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206</v>
      </c>
      <c r="AA11" s="3" t="s">
        <v>207</v>
      </c>
      <c r="AB11" s="3" t="s">
        <v>51</v>
      </c>
      <c r="AC11" s="3" t="s">
        <v>208</v>
      </c>
      <c r="AD11" s="3" t="s">
        <v>209</v>
      </c>
    </row>
    <row r="12" spans="1:30" x14ac:dyDescent="0.3">
      <c r="A12" s="3">
        <v>133564</v>
      </c>
      <c r="B12" s="3" t="s">
        <v>43</v>
      </c>
      <c r="C12" s="3" t="s">
        <v>63</v>
      </c>
      <c r="D12" s="3" t="s">
        <v>45</v>
      </c>
      <c r="E12" s="3" t="s">
        <v>45</v>
      </c>
      <c r="F12" s="3" t="s">
        <v>45</v>
      </c>
      <c r="G12" s="3" t="s">
        <v>57</v>
      </c>
      <c r="H12" s="3" t="s">
        <v>46</v>
      </c>
      <c r="I12" s="3" t="s">
        <v>46</v>
      </c>
      <c r="J12" s="3" t="s">
        <v>46</v>
      </c>
      <c r="K12" s="3">
        <v>35</v>
      </c>
      <c r="L12" s="3" t="s">
        <v>49</v>
      </c>
      <c r="M12" s="3" t="s">
        <v>68</v>
      </c>
      <c r="N12" s="3" t="s">
        <v>64</v>
      </c>
      <c r="O12" s="3" t="s">
        <v>65</v>
      </c>
      <c r="P12" s="3" t="s">
        <v>46</v>
      </c>
      <c r="Q12" s="3" t="s">
        <v>46</v>
      </c>
      <c r="R12" s="3" t="s">
        <v>46</v>
      </c>
      <c r="S12" s="3" t="s">
        <v>46</v>
      </c>
      <c r="T12" s="3" t="s">
        <v>46</v>
      </c>
      <c r="U12" s="3" t="s">
        <v>46</v>
      </c>
      <c r="V12" s="3" t="s">
        <v>46</v>
      </c>
      <c r="W12" s="3" t="s">
        <v>46</v>
      </c>
      <c r="X12" s="3" t="s">
        <v>46</v>
      </c>
      <c r="Y12" s="3" t="s">
        <v>46</v>
      </c>
      <c r="Z12" s="3" t="s">
        <v>210</v>
      </c>
      <c r="AA12" s="3" t="s">
        <v>211</v>
      </c>
      <c r="AB12" s="3" t="s">
        <v>90</v>
      </c>
      <c r="AC12" s="3" t="s">
        <v>212</v>
      </c>
      <c r="AD12" s="3" t="s">
        <v>213</v>
      </c>
    </row>
    <row r="13" spans="1:30" x14ac:dyDescent="0.3">
      <c r="A13" s="3">
        <v>133563</v>
      </c>
      <c r="B13" s="3" t="s">
        <v>43</v>
      </c>
      <c r="C13" s="3" t="s">
        <v>63</v>
      </c>
      <c r="D13" s="3" t="s">
        <v>45</v>
      </c>
      <c r="E13" s="3" t="s">
        <v>45</v>
      </c>
      <c r="F13" s="3" t="s">
        <v>45</v>
      </c>
      <c r="G13" s="3" t="s">
        <v>57</v>
      </c>
      <c r="H13" s="3" t="s">
        <v>46</v>
      </c>
      <c r="I13" s="3" t="s">
        <v>46</v>
      </c>
      <c r="J13" s="3" t="s">
        <v>46</v>
      </c>
      <c r="K13" s="3">
        <v>35</v>
      </c>
      <c r="L13" s="3" t="s">
        <v>49</v>
      </c>
      <c r="M13" s="3" t="s">
        <v>68</v>
      </c>
      <c r="N13" s="3" t="s">
        <v>64</v>
      </c>
      <c r="O13" s="3" t="s">
        <v>65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46</v>
      </c>
      <c r="W13" s="3" t="s">
        <v>46</v>
      </c>
      <c r="X13" s="3" t="s">
        <v>46</v>
      </c>
      <c r="Y13" s="3" t="s">
        <v>46</v>
      </c>
      <c r="Z13" s="3" t="s">
        <v>214</v>
      </c>
      <c r="AA13" s="3" t="s">
        <v>215</v>
      </c>
      <c r="AB13" s="3" t="s">
        <v>59</v>
      </c>
      <c r="AC13" s="3" t="s">
        <v>216</v>
      </c>
      <c r="AD13" s="3" t="s">
        <v>217</v>
      </c>
    </row>
    <row r="14" spans="1:30" x14ac:dyDescent="0.3">
      <c r="A14" s="3">
        <v>133562</v>
      </c>
      <c r="B14" s="3" t="s">
        <v>43</v>
      </c>
      <c r="C14" s="3" t="s">
        <v>63</v>
      </c>
      <c r="D14" s="3" t="s">
        <v>45</v>
      </c>
      <c r="E14" s="3" t="s">
        <v>45</v>
      </c>
      <c r="F14" s="3" t="s">
        <v>45</v>
      </c>
      <c r="G14" s="3" t="s">
        <v>57</v>
      </c>
      <c r="H14" s="3" t="s">
        <v>46</v>
      </c>
      <c r="I14" s="3" t="s">
        <v>46</v>
      </c>
      <c r="J14" s="3" t="s">
        <v>46</v>
      </c>
      <c r="K14" s="3">
        <v>35</v>
      </c>
      <c r="L14" s="3" t="s">
        <v>49</v>
      </c>
      <c r="M14" s="3" t="s">
        <v>68</v>
      </c>
      <c r="N14" s="3" t="s">
        <v>64</v>
      </c>
      <c r="O14" s="3" t="s">
        <v>65</v>
      </c>
      <c r="P14" s="3" t="s">
        <v>46</v>
      </c>
      <c r="Q14" s="3" t="s">
        <v>46</v>
      </c>
      <c r="R14" s="3" t="s">
        <v>46</v>
      </c>
      <c r="S14" s="3" t="s">
        <v>46</v>
      </c>
      <c r="T14" s="3" t="s">
        <v>46</v>
      </c>
      <c r="U14" s="3" t="s">
        <v>46</v>
      </c>
      <c r="V14" s="3" t="s">
        <v>46</v>
      </c>
      <c r="W14" s="3" t="s">
        <v>46</v>
      </c>
      <c r="X14" s="3" t="s">
        <v>46</v>
      </c>
      <c r="Y14" s="3" t="s">
        <v>46</v>
      </c>
      <c r="Z14" s="3" t="s">
        <v>218</v>
      </c>
      <c r="AA14" s="3" t="s">
        <v>219</v>
      </c>
      <c r="AB14" s="3" t="s">
        <v>53</v>
      </c>
      <c r="AC14" s="3" t="s">
        <v>220</v>
      </c>
      <c r="AD14" s="3" t="s">
        <v>221</v>
      </c>
    </row>
    <row r="15" spans="1:30" x14ac:dyDescent="0.3">
      <c r="A15" s="3">
        <v>133561</v>
      </c>
      <c r="B15" s="3" t="s">
        <v>43</v>
      </c>
      <c r="C15" s="3" t="s">
        <v>63</v>
      </c>
      <c r="D15" s="3" t="s">
        <v>45</v>
      </c>
      <c r="E15" s="3" t="s">
        <v>45</v>
      </c>
      <c r="F15" s="3" t="s">
        <v>45</v>
      </c>
      <c r="G15" s="3" t="s">
        <v>57</v>
      </c>
      <c r="H15" s="3" t="s">
        <v>46</v>
      </c>
      <c r="I15" s="3" t="s">
        <v>46</v>
      </c>
      <c r="J15" s="3" t="s">
        <v>46</v>
      </c>
      <c r="K15" s="3">
        <v>35</v>
      </c>
      <c r="L15" s="3" t="s">
        <v>49</v>
      </c>
      <c r="M15" s="3" t="s">
        <v>68</v>
      </c>
      <c r="N15" s="3" t="s">
        <v>64</v>
      </c>
      <c r="O15" s="3" t="s">
        <v>65</v>
      </c>
      <c r="P15" s="3" t="s">
        <v>46</v>
      </c>
      <c r="Q15" s="3" t="s">
        <v>46</v>
      </c>
      <c r="R15" s="3" t="s">
        <v>46</v>
      </c>
      <c r="S15" s="3" t="s">
        <v>46</v>
      </c>
      <c r="T15" s="3" t="s">
        <v>46</v>
      </c>
      <c r="U15" s="3" t="s">
        <v>46</v>
      </c>
      <c r="V15" s="3" t="s">
        <v>46</v>
      </c>
      <c r="W15" s="3" t="s">
        <v>46</v>
      </c>
      <c r="X15" s="3" t="s">
        <v>46</v>
      </c>
      <c r="Y15" s="3" t="s">
        <v>46</v>
      </c>
      <c r="Z15" s="3" t="s">
        <v>222</v>
      </c>
      <c r="AA15" s="3" t="s">
        <v>223</v>
      </c>
      <c r="AB15" s="3" t="s">
        <v>224</v>
      </c>
      <c r="AC15" s="3" t="s">
        <v>225</v>
      </c>
      <c r="AD15" s="3" t="s">
        <v>226</v>
      </c>
    </row>
    <row r="16" spans="1:30" x14ac:dyDescent="0.3">
      <c r="A16" s="3">
        <v>133560</v>
      </c>
      <c r="B16" s="3" t="s">
        <v>43</v>
      </c>
      <c r="C16" s="3" t="s">
        <v>63</v>
      </c>
      <c r="D16" s="3" t="s">
        <v>45</v>
      </c>
      <c r="E16" s="3" t="s">
        <v>45</v>
      </c>
      <c r="F16" s="3" t="s">
        <v>45</v>
      </c>
      <c r="G16" s="3" t="s">
        <v>57</v>
      </c>
      <c r="H16" s="3" t="s">
        <v>46</v>
      </c>
      <c r="I16" s="3" t="s">
        <v>46</v>
      </c>
      <c r="J16" s="3" t="s">
        <v>46</v>
      </c>
      <c r="K16" s="3">
        <v>35</v>
      </c>
      <c r="L16" s="3" t="s">
        <v>49</v>
      </c>
      <c r="M16" s="3" t="s">
        <v>68</v>
      </c>
      <c r="N16" s="3" t="s">
        <v>71</v>
      </c>
      <c r="O16" s="3" t="s">
        <v>65</v>
      </c>
      <c r="P16" s="3" t="s">
        <v>46</v>
      </c>
      <c r="Q16" s="3" t="s">
        <v>46</v>
      </c>
      <c r="R16" s="3" t="s">
        <v>46</v>
      </c>
      <c r="S16" s="3" t="s">
        <v>46</v>
      </c>
      <c r="T16" s="3" t="s">
        <v>46</v>
      </c>
      <c r="U16" s="3" t="s">
        <v>46</v>
      </c>
      <c r="V16" s="3" t="s">
        <v>46</v>
      </c>
      <c r="W16" s="3" t="s">
        <v>46</v>
      </c>
      <c r="X16" s="3" t="s">
        <v>46</v>
      </c>
      <c r="Y16" s="3" t="s">
        <v>46</v>
      </c>
      <c r="Z16" s="3" t="s">
        <v>227</v>
      </c>
      <c r="AA16" s="3" t="s">
        <v>228</v>
      </c>
      <c r="AB16" s="3" t="s">
        <v>53</v>
      </c>
      <c r="AC16" s="3" t="s">
        <v>229</v>
      </c>
      <c r="AD16" s="3" t="s">
        <v>230</v>
      </c>
    </row>
    <row r="17" spans="1:30" x14ac:dyDescent="0.3">
      <c r="A17" s="3">
        <v>133559</v>
      </c>
      <c r="B17" s="3" t="s">
        <v>43</v>
      </c>
      <c r="C17" s="3" t="s">
        <v>63</v>
      </c>
      <c r="D17" s="3" t="s">
        <v>45</v>
      </c>
      <c r="E17" s="3" t="s">
        <v>45</v>
      </c>
      <c r="F17" s="3" t="s">
        <v>45</v>
      </c>
      <c r="G17" s="3" t="s">
        <v>57</v>
      </c>
      <c r="H17" s="3" t="s">
        <v>46</v>
      </c>
      <c r="I17" s="3" t="s">
        <v>46</v>
      </c>
      <c r="J17" s="3" t="s">
        <v>46</v>
      </c>
      <c r="K17" s="3">
        <v>35</v>
      </c>
      <c r="L17" s="3" t="s">
        <v>49</v>
      </c>
      <c r="M17" s="3" t="s">
        <v>68</v>
      </c>
      <c r="N17" s="3" t="s">
        <v>64</v>
      </c>
      <c r="O17" s="3" t="s">
        <v>65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46</v>
      </c>
      <c r="W17" s="3" t="s">
        <v>46</v>
      </c>
      <c r="X17" s="3" t="s">
        <v>46</v>
      </c>
      <c r="Y17" s="3" t="s">
        <v>46</v>
      </c>
      <c r="Z17" s="3" t="s">
        <v>231</v>
      </c>
      <c r="AA17" s="3" t="s">
        <v>232</v>
      </c>
      <c r="AB17" s="3" t="s">
        <v>88</v>
      </c>
      <c r="AC17" s="3" t="s">
        <v>233</v>
      </c>
      <c r="AD17" s="3" t="s">
        <v>234</v>
      </c>
    </row>
    <row r="18" spans="1:30" x14ac:dyDescent="0.3">
      <c r="A18" s="3">
        <v>133558</v>
      </c>
      <c r="B18" s="3" t="s">
        <v>43</v>
      </c>
      <c r="C18" s="3" t="s">
        <v>63</v>
      </c>
      <c r="D18" s="3" t="s">
        <v>45</v>
      </c>
      <c r="E18" s="3" t="s">
        <v>45</v>
      </c>
      <c r="F18" s="3" t="s">
        <v>45</v>
      </c>
      <c r="G18" s="3" t="s">
        <v>57</v>
      </c>
      <c r="H18" s="3" t="s">
        <v>46</v>
      </c>
      <c r="I18" s="3" t="s">
        <v>46</v>
      </c>
      <c r="J18" s="3" t="s">
        <v>46</v>
      </c>
      <c r="K18" s="3">
        <v>35</v>
      </c>
      <c r="L18" s="3" t="s">
        <v>49</v>
      </c>
      <c r="M18" s="3" t="s">
        <v>68</v>
      </c>
      <c r="N18" s="3" t="s">
        <v>64</v>
      </c>
      <c r="O18" s="3" t="s">
        <v>65</v>
      </c>
      <c r="P18" s="3" t="s">
        <v>46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46</v>
      </c>
      <c r="V18" s="3" t="s">
        <v>46</v>
      </c>
      <c r="W18" s="3" t="s">
        <v>46</v>
      </c>
      <c r="X18" s="3" t="s">
        <v>46</v>
      </c>
      <c r="Y18" s="3" t="s">
        <v>46</v>
      </c>
      <c r="Z18" s="3" t="s">
        <v>235</v>
      </c>
      <c r="AA18" s="3" t="s">
        <v>236</v>
      </c>
      <c r="AB18" s="3" t="s">
        <v>237</v>
      </c>
      <c r="AC18" s="3" t="s">
        <v>238</v>
      </c>
      <c r="AD18" s="3" t="s">
        <v>239</v>
      </c>
    </row>
    <row r="19" spans="1:30" x14ac:dyDescent="0.3">
      <c r="A19" s="3">
        <v>133557</v>
      </c>
      <c r="B19" s="3" t="s">
        <v>43</v>
      </c>
      <c r="C19" s="3" t="s">
        <v>63</v>
      </c>
      <c r="D19" s="3" t="s">
        <v>45</v>
      </c>
      <c r="E19" s="3" t="s">
        <v>57</v>
      </c>
      <c r="F19" s="3" t="s">
        <v>45</v>
      </c>
      <c r="G19" s="3" t="s">
        <v>57</v>
      </c>
      <c r="H19" s="3" t="s">
        <v>46</v>
      </c>
      <c r="I19" s="3" t="s">
        <v>46</v>
      </c>
      <c r="J19" s="3" t="s">
        <v>46</v>
      </c>
      <c r="K19" s="3">
        <v>30</v>
      </c>
      <c r="L19" s="3" t="s">
        <v>49</v>
      </c>
      <c r="M19" s="3" t="s">
        <v>49</v>
      </c>
      <c r="N19" s="3" t="s">
        <v>77</v>
      </c>
      <c r="O19" s="3" t="s">
        <v>65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46</v>
      </c>
      <c r="W19" s="3" t="s">
        <v>46</v>
      </c>
      <c r="X19" s="3" t="s">
        <v>46</v>
      </c>
      <c r="Y19" s="3" t="s">
        <v>46</v>
      </c>
      <c r="Z19" s="3" t="s">
        <v>240</v>
      </c>
      <c r="AA19" s="3" t="s">
        <v>241</v>
      </c>
      <c r="AB19" s="3" t="s">
        <v>56</v>
      </c>
      <c r="AC19" s="3" t="s">
        <v>242</v>
      </c>
      <c r="AD19" s="3" t="s">
        <v>243</v>
      </c>
    </row>
    <row r="20" spans="1:30" x14ac:dyDescent="0.3">
      <c r="A20" s="3">
        <v>133555</v>
      </c>
      <c r="B20" s="3" t="s">
        <v>43</v>
      </c>
      <c r="C20" s="3" t="s">
        <v>63</v>
      </c>
      <c r="D20" s="3" t="s">
        <v>45</v>
      </c>
      <c r="E20" s="3" t="s">
        <v>57</v>
      </c>
      <c r="F20" s="3" t="s">
        <v>45</v>
      </c>
      <c r="G20" s="3" t="s">
        <v>57</v>
      </c>
      <c r="H20" s="3" t="s">
        <v>46</v>
      </c>
      <c r="I20" s="3" t="s">
        <v>46</v>
      </c>
      <c r="J20" s="3" t="s">
        <v>46</v>
      </c>
      <c r="K20" s="3">
        <v>30</v>
      </c>
      <c r="L20" s="3" t="s">
        <v>49</v>
      </c>
      <c r="M20" s="3" t="s">
        <v>49</v>
      </c>
      <c r="N20" s="3" t="s">
        <v>64</v>
      </c>
      <c r="O20" s="3" t="s">
        <v>65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46</v>
      </c>
      <c r="U20" s="3" t="s">
        <v>46</v>
      </c>
      <c r="V20" s="3" t="s">
        <v>46</v>
      </c>
      <c r="W20" s="3" t="s">
        <v>46</v>
      </c>
      <c r="X20" s="3" t="s">
        <v>46</v>
      </c>
      <c r="Y20" s="3" t="s">
        <v>46</v>
      </c>
      <c r="Z20" s="3" t="s">
        <v>244</v>
      </c>
      <c r="AA20" s="3" t="s">
        <v>245</v>
      </c>
      <c r="AB20" s="3" t="s">
        <v>246</v>
      </c>
      <c r="AC20" s="3" t="s">
        <v>247</v>
      </c>
      <c r="AD20" s="3" t="s">
        <v>248</v>
      </c>
    </row>
    <row r="21" spans="1:30" x14ac:dyDescent="0.3">
      <c r="A21" s="3">
        <v>133553</v>
      </c>
      <c r="B21" s="3" t="s">
        <v>43</v>
      </c>
      <c r="C21" s="3" t="s">
        <v>63</v>
      </c>
      <c r="D21" s="3" t="s">
        <v>45</v>
      </c>
      <c r="E21" s="3" t="s">
        <v>45</v>
      </c>
      <c r="F21" s="3" t="s">
        <v>54</v>
      </c>
      <c r="G21" s="3" t="s">
        <v>57</v>
      </c>
      <c r="H21" s="3" t="s">
        <v>46</v>
      </c>
      <c r="I21" s="3" t="s">
        <v>46</v>
      </c>
      <c r="J21" s="3" t="s">
        <v>46</v>
      </c>
      <c r="K21" s="3">
        <v>15</v>
      </c>
      <c r="L21" s="3" t="s">
        <v>49</v>
      </c>
      <c r="M21" s="3" t="s">
        <v>68</v>
      </c>
      <c r="N21" s="3" t="s">
        <v>70</v>
      </c>
      <c r="O21" s="3" t="s">
        <v>65</v>
      </c>
      <c r="P21" s="3" t="s">
        <v>46</v>
      </c>
      <c r="Q21" s="3" t="s">
        <v>46</v>
      </c>
      <c r="R21" s="3" t="s">
        <v>46</v>
      </c>
      <c r="S21" s="3" t="s">
        <v>46</v>
      </c>
      <c r="T21" s="3" t="s">
        <v>46</v>
      </c>
      <c r="U21" s="3" t="s">
        <v>46</v>
      </c>
      <c r="V21" s="3" t="s">
        <v>46</v>
      </c>
      <c r="W21" s="3" t="s">
        <v>46</v>
      </c>
      <c r="X21" s="3" t="s">
        <v>46</v>
      </c>
      <c r="Y21" s="3" t="s">
        <v>46</v>
      </c>
      <c r="Z21" s="3" t="s">
        <v>249</v>
      </c>
      <c r="AA21" s="3" t="s">
        <v>250</v>
      </c>
      <c r="AB21" s="3" t="s">
        <v>53</v>
      </c>
      <c r="AC21" s="3" t="s">
        <v>251</v>
      </c>
      <c r="AD21" s="3" t="s">
        <v>252</v>
      </c>
    </row>
    <row r="22" spans="1:30" x14ac:dyDescent="0.3">
      <c r="A22" s="3">
        <v>133552</v>
      </c>
      <c r="B22" s="3" t="s">
        <v>43</v>
      </c>
      <c r="C22" s="3" t="s">
        <v>63</v>
      </c>
      <c r="D22" s="3" t="s">
        <v>45</v>
      </c>
      <c r="E22" s="3" t="s">
        <v>45</v>
      </c>
      <c r="F22" s="3" t="s">
        <v>45</v>
      </c>
      <c r="G22" s="3" t="s">
        <v>57</v>
      </c>
      <c r="H22" s="3" t="s">
        <v>46</v>
      </c>
      <c r="I22" s="3" t="s">
        <v>46</v>
      </c>
      <c r="J22" s="3" t="s">
        <v>46</v>
      </c>
      <c r="K22" s="3">
        <v>35</v>
      </c>
      <c r="L22" s="3" t="s">
        <v>49</v>
      </c>
      <c r="M22" s="3" t="s">
        <v>68</v>
      </c>
      <c r="N22" s="3" t="s">
        <v>71</v>
      </c>
      <c r="O22" s="3" t="s">
        <v>65</v>
      </c>
      <c r="P22" s="3" t="s">
        <v>46</v>
      </c>
      <c r="Q22" s="3" t="s">
        <v>46</v>
      </c>
      <c r="R22" s="3" t="s">
        <v>46</v>
      </c>
      <c r="S22" s="3" t="s">
        <v>46</v>
      </c>
      <c r="T22" s="3" t="s">
        <v>46</v>
      </c>
      <c r="U22" s="3" t="s">
        <v>46</v>
      </c>
      <c r="V22" s="3" t="s">
        <v>46</v>
      </c>
      <c r="W22" s="3" t="s">
        <v>46</v>
      </c>
      <c r="X22" s="3" t="s">
        <v>46</v>
      </c>
      <c r="Y22" s="3" t="s">
        <v>46</v>
      </c>
      <c r="Z22" s="3" t="s">
        <v>253</v>
      </c>
      <c r="AA22" s="3" t="s">
        <v>254</v>
      </c>
      <c r="AB22" s="3" t="s">
        <v>59</v>
      </c>
      <c r="AC22" s="3" t="s">
        <v>255</v>
      </c>
      <c r="AD22" s="3" t="s">
        <v>256</v>
      </c>
    </row>
    <row r="23" spans="1:30" x14ac:dyDescent="0.3">
      <c r="A23" s="3">
        <v>133551</v>
      </c>
      <c r="B23" s="3" t="s">
        <v>43</v>
      </c>
      <c r="C23" s="3" t="s">
        <v>63</v>
      </c>
      <c r="D23" s="3" t="s">
        <v>45</v>
      </c>
      <c r="E23" s="3" t="s">
        <v>57</v>
      </c>
      <c r="F23" s="3" t="s">
        <v>45</v>
      </c>
      <c r="G23" s="3" t="s">
        <v>57</v>
      </c>
      <c r="H23" s="3" t="s">
        <v>46</v>
      </c>
      <c r="I23" s="3" t="s">
        <v>46</v>
      </c>
      <c r="J23" s="3" t="s">
        <v>46</v>
      </c>
      <c r="K23" s="3">
        <v>30</v>
      </c>
      <c r="L23" s="3" t="s">
        <v>49</v>
      </c>
      <c r="M23" s="3" t="s">
        <v>49</v>
      </c>
      <c r="N23" s="3" t="s">
        <v>64</v>
      </c>
      <c r="O23" s="3" t="s">
        <v>65</v>
      </c>
      <c r="P23" s="3" t="s">
        <v>46</v>
      </c>
      <c r="Q23" s="3" t="s">
        <v>46</v>
      </c>
      <c r="R23" s="3" t="s">
        <v>46</v>
      </c>
      <c r="S23" s="3" t="s">
        <v>46</v>
      </c>
      <c r="T23" s="3" t="s">
        <v>46</v>
      </c>
      <c r="U23" s="3" t="s">
        <v>46</v>
      </c>
      <c r="V23" s="3" t="s">
        <v>46</v>
      </c>
      <c r="W23" s="3" t="s">
        <v>46</v>
      </c>
      <c r="X23" s="3" t="s">
        <v>46</v>
      </c>
      <c r="Y23" s="3" t="s">
        <v>46</v>
      </c>
      <c r="Z23" s="3" t="s">
        <v>257</v>
      </c>
      <c r="AA23" s="3" t="s">
        <v>258</v>
      </c>
      <c r="AB23" s="3" t="s">
        <v>53</v>
      </c>
      <c r="AC23" s="3" t="s">
        <v>259</v>
      </c>
      <c r="AD23" s="3" t="s">
        <v>260</v>
      </c>
    </row>
    <row r="24" spans="1:30" x14ac:dyDescent="0.3">
      <c r="A24" s="3">
        <v>133549</v>
      </c>
      <c r="B24" s="3" t="s">
        <v>43</v>
      </c>
      <c r="C24" s="3" t="s">
        <v>63</v>
      </c>
      <c r="D24" s="3" t="s">
        <v>45</v>
      </c>
      <c r="E24" s="3" t="s">
        <v>45</v>
      </c>
      <c r="F24" s="3" t="s">
        <v>45</v>
      </c>
      <c r="G24" s="3" t="s">
        <v>57</v>
      </c>
      <c r="H24" s="3" t="s">
        <v>46</v>
      </c>
      <c r="I24" s="3" t="s">
        <v>46</v>
      </c>
      <c r="J24" s="3" t="s">
        <v>46</v>
      </c>
      <c r="K24" s="3">
        <v>35</v>
      </c>
      <c r="L24" s="3" t="s">
        <v>49</v>
      </c>
      <c r="M24" s="3" t="s">
        <v>68</v>
      </c>
      <c r="N24" s="3" t="s">
        <v>64</v>
      </c>
      <c r="O24" s="3" t="s">
        <v>65</v>
      </c>
      <c r="P24" s="3" t="s">
        <v>46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46</v>
      </c>
      <c r="W24" s="3" t="s">
        <v>46</v>
      </c>
      <c r="X24" s="3" t="s">
        <v>46</v>
      </c>
      <c r="Y24" s="3" t="s">
        <v>46</v>
      </c>
      <c r="Z24" s="3" t="s">
        <v>261</v>
      </c>
      <c r="AA24" s="3" t="s">
        <v>262</v>
      </c>
      <c r="AB24" s="3" t="s">
        <v>93</v>
      </c>
      <c r="AC24" s="3" t="s">
        <v>263</v>
      </c>
      <c r="AD24" s="3" t="s">
        <v>264</v>
      </c>
    </row>
    <row r="25" spans="1:30" x14ac:dyDescent="0.3">
      <c r="A25" s="3">
        <v>133547</v>
      </c>
      <c r="B25" s="3" t="s">
        <v>43</v>
      </c>
      <c r="C25" s="3" t="s">
        <v>63</v>
      </c>
      <c r="D25" s="3" t="s">
        <v>45</v>
      </c>
      <c r="E25" s="3" t="s">
        <v>45</v>
      </c>
      <c r="F25" s="3" t="s">
        <v>54</v>
      </c>
      <c r="G25" s="3" t="s">
        <v>57</v>
      </c>
      <c r="H25" s="3" t="s">
        <v>46</v>
      </c>
      <c r="I25" s="3" t="s">
        <v>46</v>
      </c>
      <c r="J25" s="3" t="s">
        <v>46</v>
      </c>
      <c r="K25" s="3">
        <v>15</v>
      </c>
      <c r="L25" s="3" t="s">
        <v>49</v>
      </c>
      <c r="M25" s="3" t="s">
        <v>68</v>
      </c>
      <c r="N25" s="3" t="s">
        <v>70</v>
      </c>
      <c r="O25" s="3" t="s">
        <v>65</v>
      </c>
      <c r="P25" s="3" t="s">
        <v>46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46</v>
      </c>
      <c r="W25" s="3" t="s">
        <v>46</v>
      </c>
      <c r="X25" s="3" t="s">
        <v>46</v>
      </c>
      <c r="Y25" s="3" t="s">
        <v>46</v>
      </c>
      <c r="Z25" s="3" t="s">
        <v>265</v>
      </c>
      <c r="AA25" s="3" t="s">
        <v>266</v>
      </c>
      <c r="AB25" s="3" t="s">
        <v>267</v>
      </c>
      <c r="AC25" s="3" t="s">
        <v>268</v>
      </c>
      <c r="AD25" s="3" t="s">
        <v>269</v>
      </c>
    </row>
    <row r="26" spans="1:30" x14ac:dyDescent="0.3">
      <c r="A26" s="3">
        <v>133546</v>
      </c>
      <c r="B26" s="3" t="s">
        <v>43</v>
      </c>
      <c r="C26" s="3" t="s">
        <v>63</v>
      </c>
      <c r="D26" s="3" t="s">
        <v>45</v>
      </c>
      <c r="E26" s="3" t="s">
        <v>45</v>
      </c>
      <c r="F26" s="3" t="s">
        <v>45</v>
      </c>
      <c r="G26" s="3" t="s">
        <v>57</v>
      </c>
      <c r="H26" s="3" t="s">
        <v>46</v>
      </c>
      <c r="I26" s="3" t="s">
        <v>46</v>
      </c>
      <c r="J26" s="3" t="s">
        <v>46</v>
      </c>
      <c r="K26" s="3">
        <v>35</v>
      </c>
      <c r="L26" s="3" t="s">
        <v>49</v>
      </c>
      <c r="M26" s="3" t="s">
        <v>68</v>
      </c>
      <c r="N26" s="3" t="s">
        <v>64</v>
      </c>
      <c r="O26" s="3" t="s">
        <v>65</v>
      </c>
      <c r="P26" s="3" t="s">
        <v>46</v>
      </c>
      <c r="Q26" s="3" t="s">
        <v>46</v>
      </c>
      <c r="R26" s="3" t="s">
        <v>46</v>
      </c>
      <c r="S26" s="3" t="s">
        <v>46</v>
      </c>
      <c r="T26" s="3" t="s">
        <v>46</v>
      </c>
      <c r="U26" s="3" t="s">
        <v>46</v>
      </c>
      <c r="V26" s="3" t="s">
        <v>46</v>
      </c>
      <c r="W26" s="3" t="s">
        <v>46</v>
      </c>
      <c r="X26" s="3" t="s">
        <v>46</v>
      </c>
      <c r="Y26" s="3" t="s">
        <v>46</v>
      </c>
      <c r="Z26" s="3" t="s">
        <v>270</v>
      </c>
      <c r="AA26" s="3" t="s">
        <v>271</v>
      </c>
      <c r="AB26" s="3" t="s">
        <v>59</v>
      </c>
      <c r="AC26" s="3" t="s">
        <v>272</v>
      </c>
      <c r="AD26" s="3" t="s">
        <v>273</v>
      </c>
    </row>
    <row r="27" spans="1:30" x14ac:dyDescent="0.3">
      <c r="A27" s="3">
        <v>133545</v>
      </c>
      <c r="B27" s="3" t="s">
        <v>43</v>
      </c>
      <c r="C27" s="3" t="s">
        <v>63</v>
      </c>
      <c r="D27" s="3" t="s">
        <v>45</v>
      </c>
      <c r="E27" s="3" t="s">
        <v>57</v>
      </c>
      <c r="F27" s="3" t="s">
        <v>45</v>
      </c>
      <c r="G27" s="3" t="s">
        <v>66</v>
      </c>
      <c r="H27" s="3" t="s">
        <v>46</v>
      </c>
      <c r="I27" s="3" t="s">
        <v>46</v>
      </c>
      <c r="J27" s="3" t="s">
        <v>46</v>
      </c>
      <c r="K27" s="3">
        <v>28</v>
      </c>
      <c r="L27" s="3" t="s">
        <v>49</v>
      </c>
      <c r="M27" s="3" t="s">
        <v>49</v>
      </c>
      <c r="N27" s="3" t="s">
        <v>77</v>
      </c>
      <c r="O27" s="3" t="s">
        <v>76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46</v>
      </c>
      <c r="W27" s="3" t="s">
        <v>46</v>
      </c>
      <c r="X27" s="3" t="s">
        <v>46</v>
      </c>
      <c r="Y27" s="3" t="s">
        <v>46</v>
      </c>
      <c r="Z27" s="3" t="s">
        <v>270</v>
      </c>
      <c r="AA27" s="3" t="s">
        <v>274</v>
      </c>
      <c r="AB27" s="3" t="s">
        <v>84</v>
      </c>
      <c r="AC27" s="3" t="s">
        <v>275</v>
      </c>
      <c r="AD27" s="3" t="s">
        <v>276</v>
      </c>
    </row>
    <row r="28" spans="1:30" x14ac:dyDescent="0.3">
      <c r="A28" s="3">
        <v>133542</v>
      </c>
      <c r="B28" s="3" t="s">
        <v>43</v>
      </c>
      <c r="C28" s="3" t="s">
        <v>63</v>
      </c>
      <c r="D28" s="3" t="s">
        <v>45</v>
      </c>
      <c r="E28" s="3" t="s">
        <v>45</v>
      </c>
      <c r="F28" s="3" t="s">
        <v>54</v>
      </c>
      <c r="G28" s="3" t="s">
        <v>57</v>
      </c>
      <c r="H28" s="3" t="s">
        <v>46</v>
      </c>
      <c r="I28" s="3" t="s">
        <v>46</v>
      </c>
      <c r="J28" s="3" t="s">
        <v>46</v>
      </c>
      <c r="K28" s="3">
        <v>15</v>
      </c>
      <c r="L28" s="3" t="s">
        <v>49</v>
      </c>
      <c r="M28" s="3" t="s">
        <v>68</v>
      </c>
      <c r="N28" s="3" t="s">
        <v>70</v>
      </c>
      <c r="O28" s="3" t="s">
        <v>65</v>
      </c>
      <c r="P28" s="3" t="s">
        <v>46</v>
      </c>
      <c r="Q28" s="3" t="s">
        <v>46</v>
      </c>
      <c r="R28" s="3" t="s">
        <v>46</v>
      </c>
      <c r="S28" s="3" t="s">
        <v>46</v>
      </c>
      <c r="T28" s="3" t="s">
        <v>46</v>
      </c>
      <c r="U28" s="3" t="s">
        <v>46</v>
      </c>
      <c r="V28" s="3" t="s">
        <v>46</v>
      </c>
      <c r="W28" s="3" t="s">
        <v>46</v>
      </c>
      <c r="X28" s="3" t="s">
        <v>46</v>
      </c>
      <c r="Y28" s="3" t="s">
        <v>46</v>
      </c>
      <c r="Z28" s="3" t="s">
        <v>277</v>
      </c>
      <c r="AA28" s="3" t="s">
        <v>278</v>
      </c>
      <c r="AB28" s="3" t="s">
        <v>53</v>
      </c>
      <c r="AC28" s="3" t="s">
        <v>279</v>
      </c>
      <c r="AD28" s="3" t="s">
        <v>280</v>
      </c>
    </row>
    <row r="29" spans="1:30" x14ac:dyDescent="0.3">
      <c r="A29" s="3">
        <v>133539</v>
      </c>
      <c r="B29" s="3" t="s">
        <v>43</v>
      </c>
      <c r="C29" s="3" t="s">
        <v>63</v>
      </c>
      <c r="D29" s="3" t="s">
        <v>54</v>
      </c>
      <c r="E29" s="3" t="s">
        <v>45</v>
      </c>
      <c r="F29" s="3" t="s">
        <v>45</v>
      </c>
      <c r="G29" s="3" t="s">
        <v>57</v>
      </c>
      <c r="H29" s="3" t="s">
        <v>46</v>
      </c>
      <c r="I29" s="3" t="s">
        <v>46</v>
      </c>
      <c r="J29" s="3" t="s">
        <v>46</v>
      </c>
      <c r="K29" s="3">
        <v>15</v>
      </c>
      <c r="L29" s="3" t="s">
        <v>78</v>
      </c>
      <c r="M29" s="3" t="s">
        <v>68</v>
      </c>
      <c r="N29" s="3" t="s">
        <v>71</v>
      </c>
      <c r="O29" s="3" t="s">
        <v>65</v>
      </c>
      <c r="P29" s="3" t="s">
        <v>46</v>
      </c>
      <c r="Q29" s="3" t="s">
        <v>46</v>
      </c>
      <c r="R29" s="3" t="s">
        <v>46</v>
      </c>
      <c r="S29" s="3" t="s">
        <v>281</v>
      </c>
      <c r="T29" s="3" t="s">
        <v>46</v>
      </c>
      <c r="U29" s="3" t="s">
        <v>46</v>
      </c>
      <c r="V29" s="3" t="s">
        <v>46</v>
      </c>
      <c r="W29" s="3" t="s">
        <v>46</v>
      </c>
      <c r="X29" s="3" t="s">
        <v>46</v>
      </c>
      <c r="Y29" s="3" t="s">
        <v>46</v>
      </c>
      <c r="Z29" s="3" t="s">
        <v>282</v>
      </c>
      <c r="AA29" s="3" t="s">
        <v>283</v>
      </c>
      <c r="AB29" s="3" t="s">
        <v>85</v>
      </c>
      <c r="AC29" s="3" t="s">
        <v>284</v>
      </c>
      <c r="AD29" s="3" t="s">
        <v>285</v>
      </c>
    </row>
    <row r="30" spans="1:30" x14ac:dyDescent="0.3">
      <c r="A30" s="3">
        <v>133538</v>
      </c>
      <c r="B30" s="3" t="s">
        <v>43</v>
      </c>
      <c r="C30" s="3" t="s">
        <v>63</v>
      </c>
      <c r="D30" s="3" t="s">
        <v>45</v>
      </c>
      <c r="E30" s="3" t="s">
        <v>45</v>
      </c>
      <c r="F30" s="3" t="s">
        <v>45</v>
      </c>
      <c r="G30" s="3" t="s">
        <v>57</v>
      </c>
      <c r="H30" s="3" t="s">
        <v>46</v>
      </c>
      <c r="I30" s="3" t="s">
        <v>46</v>
      </c>
      <c r="J30" s="3" t="s">
        <v>46</v>
      </c>
      <c r="K30" s="3">
        <v>35</v>
      </c>
      <c r="L30" s="3" t="s">
        <v>49</v>
      </c>
      <c r="M30" s="3" t="s">
        <v>68</v>
      </c>
      <c r="N30" s="3" t="s">
        <v>77</v>
      </c>
      <c r="O30" s="3" t="s">
        <v>65</v>
      </c>
      <c r="P30" s="3" t="s">
        <v>46</v>
      </c>
      <c r="Q30" s="3" t="s">
        <v>46</v>
      </c>
      <c r="R30" s="3" t="s">
        <v>46</v>
      </c>
      <c r="S30" s="3" t="s">
        <v>46</v>
      </c>
      <c r="T30" s="3" t="s">
        <v>46</v>
      </c>
      <c r="U30" s="3" t="s">
        <v>46</v>
      </c>
      <c r="V30" s="3" t="s">
        <v>46</v>
      </c>
      <c r="W30" s="3" t="s">
        <v>46</v>
      </c>
      <c r="X30" s="3" t="s">
        <v>46</v>
      </c>
      <c r="Y30" s="3" t="s">
        <v>46</v>
      </c>
      <c r="Z30" s="3" t="s">
        <v>286</v>
      </c>
      <c r="AA30" s="3" t="s">
        <v>287</v>
      </c>
      <c r="AB30" s="3" t="s">
        <v>83</v>
      </c>
      <c r="AC30" s="3" t="s">
        <v>288</v>
      </c>
      <c r="AD30" s="3" t="s">
        <v>289</v>
      </c>
    </row>
    <row r="31" spans="1:30" x14ac:dyDescent="0.3">
      <c r="A31" s="3">
        <v>133535</v>
      </c>
      <c r="B31" s="3" t="s">
        <v>43</v>
      </c>
      <c r="C31" s="3" t="s">
        <v>63</v>
      </c>
      <c r="D31" s="3" t="s">
        <v>45</v>
      </c>
      <c r="E31" s="3" t="s">
        <v>45</v>
      </c>
      <c r="F31" s="3" t="s">
        <v>45</v>
      </c>
      <c r="G31" s="3" t="s">
        <v>57</v>
      </c>
      <c r="H31" s="3" t="s">
        <v>46</v>
      </c>
      <c r="I31" s="3" t="s">
        <v>46</v>
      </c>
      <c r="J31" s="3" t="s">
        <v>46</v>
      </c>
      <c r="K31" s="3">
        <v>35</v>
      </c>
      <c r="L31" s="3" t="s">
        <v>49</v>
      </c>
      <c r="M31" s="3" t="s">
        <v>68</v>
      </c>
      <c r="N31" s="3" t="s">
        <v>64</v>
      </c>
      <c r="O31" s="3" t="s">
        <v>65</v>
      </c>
      <c r="P31" s="3" t="s">
        <v>46</v>
      </c>
      <c r="Q31" s="3" t="s">
        <v>46</v>
      </c>
      <c r="R31" s="3" t="s">
        <v>46</v>
      </c>
      <c r="S31" s="3" t="s">
        <v>46</v>
      </c>
      <c r="T31" s="3" t="s">
        <v>46</v>
      </c>
      <c r="U31" s="3" t="s">
        <v>46</v>
      </c>
      <c r="V31" s="3" t="s">
        <v>46</v>
      </c>
      <c r="W31" s="3" t="s">
        <v>46</v>
      </c>
      <c r="X31" s="3" t="s">
        <v>46</v>
      </c>
      <c r="Y31" s="3" t="s">
        <v>46</v>
      </c>
      <c r="Z31" s="3" t="s">
        <v>290</v>
      </c>
      <c r="AA31" s="3" t="s">
        <v>291</v>
      </c>
      <c r="AB31" s="3" t="s">
        <v>53</v>
      </c>
      <c r="AC31" s="3" t="s">
        <v>292</v>
      </c>
      <c r="AD31" s="3" t="s">
        <v>293</v>
      </c>
    </row>
    <row r="32" spans="1:30" x14ac:dyDescent="0.3">
      <c r="A32" s="3">
        <v>133532</v>
      </c>
      <c r="B32" s="3" t="s">
        <v>43</v>
      </c>
      <c r="C32" s="3" t="s">
        <v>63</v>
      </c>
      <c r="D32" s="3" t="s">
        <v>45</v>
      </c>
      <c r="E32" s="3" t="s">
        <v>45</v>
      </c>
      <c r="F32" s="3" t="s">
        <v>45</v>
      </c>
      <c r="G32" s="3" t="s">
        <v>73</v>
      </c>
      <c r="H32" s="3" t="s">
        <v>46</v>
      </c>
      <c r="I32" s="3" t="s">
        <v>46</v>
      </c>
      <c r="J32" s="3" t="s">
        <v>46</v>
      </c>
      <c r="K32" s="3">
        <v>25</v>
      </c>
      <c r="L32" s="3" t="s">
        <v>49</v>
      </c>
      <c r="M32" s="3" t="s">
        <v>68</v>
      </c>
      <c r="N32" s="3" t="s">
        <v>64</v>
      </c>
      <c r="O32" s="3" t="s">
        <v>74</v>
      </c>
      <c r="P32" s="3" t="s">
        <v>46</v>
      </c>
      <c r="Q32" s="3" t="s">
        <v>46</v>
      </c>
      <c r="R32" s="3" t="s">
        <v>46</v>
      </c>
      <c r="S32" s="3" t="s">
        <v>46</v>
      </c>
      <c r="T32" s="3" t="s">
        <v>46</v>
      </c>
      <c r="U32" s="3" t="s">
        <v>46</v>
      </c>
      <c r="V32" s="3" t="s">
        <v>46</v>
      </c>
      <c r="W32" s="3" t="s">
        <v>46</v>
      </c>
      <c r="X32" s="3" t="s">
        <v>46</v>
      </c>
      <c r="Y32" s="3" t="s">
        <v>46</v>
      </c>
      <c r="Z32" s="3" t="s">
        <v>294</v>
      </c>
      <c r="AA32" s="3" t="s">
        <v>295</v>
      </c>
      <c r="AB32" s="3" t="s">
        <v>87</v>
      </c>
      <c r="AC32" s="3" t="s">
        <v>296</v>
      </c>
      <c r="AD32" s="3" t="s">
        <v>297</v>
      </c>
    </row>
    <row r="33" spans="1:30" x14ac:dyDescent="0.3">
      <c r="A33" s="3">
        <v>133530</v>
      </c>
      <c r="B33" s="3" t="s">
        <v>43</v>
      </c>
      <c r="C33" s="3" t="s">
        <v>63</v>
      </c>
      <c r="D33" s="3" t="s">
        <v>45</v>
      </c>
      <c r="E33" s="3" t="s">
        <v>45</v>
      </c>
      <c r="F33" s="3" t="s">
        <v>45</v>
      </c>
      <c r="G33" s="3" t="s">
        <v>57</v>
      </c>
      <c r="H33" s="3" t="s">
        <v>46</v>
      </c>
      <c r="I33" s="3" t="s">
        <v>46</v>
      </c>
      <c r="J33" s="3" t="s">
        <v>46</v>
      </c>
      <c r="K33" s="3">
        <v>35</v>
      </c>
      <c r="L33" s="3" t="s">
        <v>49</v>
      </c>
      <c r="M33" s="3" t="s">
        <v>68</v>
      </c>
      <c r="N33" s="3" t="s">
        <v>64</v>
      </c>
      <c r="O33" s="3" t="s">
        <v>65</v>
      </c>
      <c r="P33" s="3" t="s">
        <v>46</v>
      </c>
      <c r="Q33" s="3" t="s">
        <v>46</v>
      </c>
      <c r="R33" s="3" t="s">
        <v>46</v>
      </c>
      <c r="S33" s="3" t="s">
        <v>46</v>
      </c>
      <c r="T33" s="3" t="s">
        <v>46</v>
      </c>
      <c r="U33" s="3" t="s">
        <v>46</v>
      </c>
      <c r="V33" s="3" t="s">
        <v>46</v>
      </c>
      <c r="W33" s="3" t="s">
        <v>46</v>
      </c>
      <c r="X33" s="3" t="s">
        <v>46</v>
      </c>
      <c r="Y33" s="3" t="s">
        <v>46</v>
      </c>
      <c r="Z33" s="3" t="s">
        <v>298</v>
      </c>
      <c r="AA33" s="3" t="s">
        <v>299</v>
      </c>
      <c r="AB33" s="3" t="s">
        <v>62</v>
      </c>
      <c r="AC33" s="3" t="s">
        <v>300</v>
      </c>
      <c r="AD33" s="3" t="s">
        <v>301</v>
      </c>
    </row>
    <row r="34" spans="1:30" x14ac:dyDescent="0.3">
      <c r="A34" s="3">
        <v>133529</v>
      </c>
      <c r="B34" s="3" t="s">
        <v>43</v>
      </c>
      <c r="C34" s="3" t="s">
        <v>63</v>
      </c>
      <c r="D34" s="3" t="s">
        <v>45</v>
      </c>
      <c r="E34" s="3" t="s">
        <v>45</v>
      </c>
      <c r="F34" s="3" t="s">
        <v>45</v>
      </c>
      <c r="G34" s="3" t="s">
        <v>57</v>
      </c>
      <c r="H34" s="3" t="s">
        <v>46</v>
      </c>
      <c r="I34" s="3" t="s">
        <v>46</v>
      </c>
      <c r="J34" s="3" t="s">
        <v>46</v>
      </c>
      <c r="K34" s="3">
        <v>35</v>
      </c>
      <c r="L34" s="3" t="s">
        <v>49</v>
      </c>
      <c r="M34" s="3" t="s">
        <v>68</v>
      </c>
      <c r="N34" s="3" t="s">
        <v>64</v>
      </c>
      <c r="O34" s="3" t="s">
        <v>65</v>
      </c>
      <c r="P34" s="3" t="s">
        <v>46</v>
      </c>
      <c r="Q34" s="3" t="s">
        <v>46</v>
      </c>
      <c r="R34" s="3" t="s">
        <v>46</v>
      </c>
      <c r="S34" s="3" t="s">
        <v>46</v>
      </c>
      <c r="T34" s="3" t="s">
        <v>46</v>
      </c>
      <c r="U34" s="3" t="s">
        <v>46</v>
      </c>
      <c r="V34" s="3" t="s">
        <v>46</v>
      </c>
      <c r="W34" s="3" t="s">
        <v>46</v>
      </c>
      <c r="X34" s="3" t="s">
        <v>46</v>
      </c>
      <c r="Y34" s="3" t="s">
        <v>46</v>
      </c>
      <c r="Z34" s="3" t="s">
        <v>302</v>
      </c>
      <c r="AA34" s="3" t="s">
        <v>303</v>
      </c>
      <c r="AB34" s="3" t="s">
        <v>53</v>
      </c>
      <c r="AC34" s="3" t="s">
        <v>304</v>
      </c>
      <c r="AD34" s="3" t="s">
        <v>305</v>
      </c>
    </row>
    <row r="35" spans="1:30" x14ac:dyDescent="0.3">
      <c r="A35" s="3">
        <v>133527</v>
      </c>
      <c r="B35" s="3" t="s">
        <v>43</v>
      </c>
      <c r="C35" s="3" t="s">
        <v>63</v>
      </c>
      <c r="D35" s="3" t="s">
        <v>45</v>
      </c>
      <c r="E35" s="3" t="s">
        <v>45</v>
      </c>
      <c r="F35" s="3" t="s">
        <v>45</v>
      </c>
      <c r="G35" s="3" t="s">
        <v>57</v>
      </c>
      <c r="H35" s="3" t="s">
        <v>46</v>
      </c>
      <c r="I35" s="3" t="s">
        <v>46</v>
      </c>
      <c r="J35" s="3" t="s">
        <v>46</v>
      </c>
      <c r="K35" s="3">
        <v>35</v>
      </c>
      <c r="L35" s="3" t="s">
        <v>49</v>
      </c>
      <c r="M35" s="3" t="s">
        <v>68</v>
      </c>
      <c r="N35" s="3" t="s">
        <v>64</v>
      </c>
      <c r="O35" s="3" t="s">
        <v>65</v>
      </c>
      <c r="P35" s="3" t="s">
        <v>46</v>
      </c>
      <c r="Q35" s="3" t="s">
        <v>46</v>
      </c>
      <c r="R35" s="3" t="s">
        <v>46</v>
      </c>
      <c r="S35" s="3" t="s">
        <v>46</v>
      </c>
      <c r="T35" s="3" t="s">
        <v>46</v>
      </c>
      <c r="U35" s="3" t="s">
        <v>46</v>
      </c>
      <c r="V35" s="3" t="s">
        <v>46</v>
      </c>
      <c r="W35" s="3" t="s">
        <v>46</v>
      </c>
      <c r="X35" s="3" t="s">
        <v>46</v>
      </c>
      <c r="Y35" s="3" t="s">
        <v>46</v>
      </c>
      <c r="Z35" s="3" t="s">
        <v>306</v>
      </c>
      <c r="AA35" s="3" t="s">
        <v>307</v>
      </c>
      <c r="AB35" s="3" t="s">
        <v>53</v>
      </c>
      <c r="AC35" s="3" t="s">
        <v>308</v>
      </c>
      <c r="AD35" s="3" t="s">
        <v>309</v>
      </c>
    </row>
    <row r="36" spans="1:30" x14ac:dyDescent="0.3">
      <c r="A36" s="3">
        <v>133524</v>
      </c>
      <c r="B36" s="3" t="s">
        <v>43</v>
      </c>
      <c r="C36" s="3" t="s">
        <v>63</v>
      </c>
      <c r="D36" s="3" t="s">
        <v>45</v>
      </c>
      <c r="E36" s="3" t="s">
        <v>57</v>
      </c>
      <c r="F36" s="3" t="s">
        <v>45</v>
      </c>
      <c r="G36" s="3" t="s">
        <v>57</v>
      </c>
      <c r="H36" s="3" t="s">
        <v>46</v>
      </c>
      <c r="I36" s="3" t="s">
        <v>46</v>
      </c>
      <c r="J36" s="3" t="s">
        <v>46</v>
      </c>
      <c r="K36" s="3">
        <v>30</v>
      </c>
      <c r="L36" s="3" t="s">
        <v>49</v>
      </c>
      <c r="M36" s="3" t="s">
        <v>49</v>
      </c>
      <c r="N36" s="3" t="s">
        <v>71</v>
      </c>
      <c r="O36" s="3" t="s">
        <v>65</v>
      </c>
      <c r="P36" s="3" t="s">
        <v>46</v>
      </c>
      <c r="Q36" s="3" t="s">
        <v>46</v>
      </c>
      <c r="R36" s="3" t="s">
        <v>46</v>
      </c>
      <c r="S36" s="3" t="s">
        <v>46</v>
      </c>
      <c r="T36" s="3" t="s">
        <v>46</v>
      </c>
      <c r="U36" s="3" t="s">
        <v>46</v>
      </c>
      <c r="V36" s="3" t="s">
        <v>46</v>
      </c>
      <c r="W36" s="3" t="s">
        <v>46</v>
      </c>
      <c r="X36" s="3" t="s">
        <v>46</v>
      </c>
      <c r="Y36" s="3" t="s">
        <v>46</v>
      </c>
      <c r="Z36" s="3" t="s">
        <v>310</v>
      </c>
      <c r="AA36" s="3" t="s">
        <v>311</v>
      </c>
      <c r="AB36" s="3" t="s">
        <v>53</v>
      </c>
      <c r="AC36" s="3" t="s">
        <v>312</v>
      </c>
      <c r="AD36" s="3" t="s">
        <v>313</v>
      </c>
    </row>
    <row r="37" spans="1:30" x14ac:dyDescent="0.3">
      <c r="A37" s="3">
        <v>133523</v>
      </c>
      <c r="B37" s="3" t="s">
        <v>43</v>
      </c>
      <c r="C37" s="3" t="s">
        <v>63</v>
      </c>
      <c r="D37" s="3" t="s">
        <v>45</v>
      </c>
      <c r="E37" s="3" t="s">
        <v>66</v>
      </c>
      <c r="F37" s="3" t="s">
        <v>45</v>
      </c>
      <c r="G37" s="3" t="s">
        <v>57</v>
      </c>
      <c r="H37" s="3" t="s">
        <v>46</v>
      </c>
      <c r="I37" s="3" t="s">
        <v>46</v>
      </c>
      <c r="J37" s="3" t="s">
        <v>46</v>
      </c>
      <c r="K37" s="3">
        <v>28</v>
      </c>
      <c r="L37" s="3" t="s">
        <v>49</v>
      </c>
      <c r="M37" s="3" t="s">
        <v>67</v>
      </c>
      <c r="N37" s="3" t="s">
        <v>64</v>
      </c>
      <c r="O37" s="3" t="s">
        <v>65</v>
      </c>
      <c r="P37" s="3" t="s">
        <v>46</v>
      </c>
      <c r="Q37" s="3" t="s">
        <v>46</v>
      </c>
      <c r="R37" s="3" t="s">
        <v>46</v>
      </c>
      <c r="S37" s="3" t="s">
        <v>46</v>
      </c>
      <c r="T37" s="3" t="s">
        <v>46</v>
      </c>
      <c r="U37" s="3" t="s">
        <v>46</v>
      </c>
      <c r="V37" s="3" t="s">
        <v>46</v>
      </c>
      <c r="W37" s="3" t="s">
        <v>46</v>
      </c>
      <c r="X37" s="3" t="s">
        <v>46</v>
      </c>
      <c r="Y37" s="3" t="s">
        <v>46</v>
      </c>
      <c r="Z37" s="3" t="s">
        <v>314</v>
      </c>
      <c r="AA37" s="3" t="s">
        <v>315</v>
      </c>
      <c r="AB37" s="3" t="s">
        <v>51</v>
      </c>
      <c r="AC37" s="3" t="s">
        <v>316</v>
      </c>
      <c r="AD37" s="3" t="s">
        <v>317</v>
      </c>
    </row>
    <row r="38" spans="1:30" x14ac:dyDescent="0.3">
      <c r="A38" s="3">
        <v>133522</v>
      </c>
      <c r="B38" s="3" t="s">
        <v>43</v>
      </c>
      <c r="C38" s="3" t="s">
        <v>63</v>
      </c>
      <c r="D38" s="3" t="s">
        <v>45</v>
      </c>
      <c r="E38" s="3" t="s">
        <v>45</v>
      </c>
      <c r="F38" s="3" t="s">
        <v>45</v>
      </c>
      <c r="G38" s="3" t="s">
        <v>57</v>
      </c>
      <c r="H38" s="3" t="s">
        <v>46</v>
      </c>
      <c r="I38" s="3" t="s">
        <v>46</v>
      </c>
      <c r="J38" s="3" t="s">
        <v>46</v>
      </c>
      <c r="K38" s="3">
        <v>35</v>
      </c>
      <c r="L38" s="3" t="s">
        <v>49</v>
      </c>
      <c r="M38" s="3" t="s">
        <v>68</v>
      </c>
      <c r="N38" s="3" t="s">
        <v>71</v>
      </c>
      <c r="O38" s="3" t="s">
        <v>65</v>
      </c>
      <c r="P38" s="3" t="s">
        <v>46</v>
      </c>
      <c r="Q38" s="3" t="s">
        <v>46</v>
      </c>
      <c r="R38" s="3" t="s">
        <v>46</v>
      </c>
      <c r="S38" s="3" t="s">
        <v>46</v>
      </c>
      <c r="T38" s="3" t="s">
        <v>46</v>
      </c>
      <c r="U38" s="3" t="s">
        <v>46</v>
      </c>
      <c r="V38" s="3" t="s">
        <v>46</v>
      </c>
      <c r="W38" s="3" t="s">
        <v>46</v>
      </c>
      <c r="X38" s="3" t="s">
        <v>46</v>
      </c>
      <c r="Y38" s="3" t="s">
        <v>46</v>
      </c>
      <c r="Z38" s="3" t="s">
        <v>318</v>
      </c>
      <c r="AA38" s="3" t="s">
        <v>319</v>
      </c>
      <c r="AB38" s="3" t="s">
        <v>53</v>
      </c>
      <c r="AC38" s="3" t="s">
        <v>320</v>
      </c>
      <c r="AD38" s="3" t="s">
        <v>321</v>
      </c>
    </row>
    <row r="39" spans="1:30" x14ac:dyDescent="0.3">
      <c r="A39" s="3">
        <v>133521</v>
      </c>
      <c r="B39" s="3" t="s">
        <v>43</v>
      </c>
      <c r="C39" s="3" t="s">
        <v>63</v>
      </c>
      <c r="D39" s="3" t="s">
        <v>45</v>
      </c>
      <c r="E39" s="3" t="s">
        <v>57</v>
      </c>
      <c r="F39" s="3" t="s">
        <v>54</v>
      </c>
      <c r="G39" s="3" t="s">
        <v>57</v>
      </c>
      <c r="H39" s="3" t="s">
        <v>46</v>
      </c>
      <c r="I39" s="3" t="s">
        <v>46</v>
      </c>
      <c r="J39" s="3" t="s">
        <v>46</v>
      </c>
      <c r="K39" s="3">
        <v>10</v>
      </c>
      <c r="L39" s="3" t="s">
        <v>49</v>
      </c>
      <c r="M39" s="3" t="s">
        <v>49</v>
      </c>
      <c r="N39" s="3" t="s">
        <v>70</v>
      </c>
      <c r="O39" s="3" t="s">
        <v>65</v>
      </c>
      <c r="P39" s="3" t="s">
        <v>46</v>
      </c>
      <c r="Q39" s="3" t="s">
        <v>46</v>
      </c>
      <c r="R39" s="3" t="s">
        <v>46</v>
      </c>
      <c r="S39" s="3" t="s">
        <v>46</v>
      </c>
      <c r="T39" s="3" t="s">
        <v>46</v>
      </c>
      <c r="U39" s="3" t="s">
        <v>46</v>
      </c>
      <c r="V39" s="3" t="s">
        <v>46</v>
      </c>
      <c r="W39" s="3" t="s">
        <v>46</v>
      </c>
      <c r="X39" s="3" t="s">
        <v>46</v>
      </c>
      <c r="Y39" s="3" t="s">
        <v>46</v>
      </c>
      <c r="Z39" s="3" t="s">
        <v>322</v>
      </c>
      <c r="AA39" s="3" t="s">
        <v>323</v>
      </c>
      <c r="AB39" s="3" t="s">
        <v>53</v>
      </c>
      <c r="AC39" s="3" t="s">
        <v>324</v>
      </c>
      <c r="AD39" s="3" t="s">
        <v>325</v>
      </c>
    </row>
    <row r="40" spans="1:30" x14ac:dyDescent="0.3">
      <c r="A40" s="3">
        <v>133520</v>
      </c>
      <c r="B40" s="3" t="s">
        <v>43</v>
      </c>
      <c r="C40" s="3" t="s">
        <v>63</v>
      </c>
      <c r="D40" s="3" t="s">
        <v>45</v>
      </c>
      <c r="E40" s="3" t="s">
        <v>45</v>
      </c>
      <c r="F40" s="3" t="s">
        <v>54</v>
      </c>
      <c r="G40" s="3" t="s">
        <v>57</v>
      </c>
      <c r="H40" s="3" t="s">
        <v>46</v>
      </c>
      <c r="I40" s="3" t="s">
        <v>46</v>
      </c>
      <c r="J40" s="3" t="s">
        <v>46</v>
      </c>
      <c r="K40" s="3">
        <v>15</v>
      </c>
      <c r="L40" s="3" t="s">
        <v>49</v>
      </c>
      <c r="M40" s="3" t="s">
        <v>68</v>
      </c>
      <c r="N40" s="3" t="s">
        <v>70</v>
      </c>
      <c r="O40" s="3" t="s">
        <v>65</v>
      </c>
      <c r="P40" s="3" t="s">
        <v>46</v>
      </c>
      <c r="Q40" s="3" t="s">
        <v>46</v>
      </c>
      <c r="R40" s="3" t="s">
        <v>46</v>
      </c>
      <c r="S40" s="3" t="s">
        <v>46</v>
      </c>
      <c r="T40" s="3" t="s">
        <v>46</v>
      </c>
      <c r="U40" s="3" t="s">
        <v>46</v>
      </c>
      <c r="V40" s="3" t="s">
        <v>46</v>
      </c>
      <c r="W40" s="3" t="s">
        <v>46</v>
      </c>
      <c r="X40" s="3" t="s">
        <v>46</v>
      </c>
      <c r="Y40" s="3" t="s">
        <v>46</v>
      </c>
      <c r="Z40" s="3" t="s">
        <v>326</v>
      </c>
      <c r="AA40" s="3" t="s">
        <v>327</v>
      </c>
      <c r="AB40" s="3" t="s">
        <v>328</v>
      </c>
      <c r="AC40" s="3" t="s">
        <v>329</v>
      </c>
      <c r="AD40" s="3" t="s">
        <v>330</v>
      </c>
    </row>
    <row r="41" spans="1:30" x14ac:dyDescent="0.3">
      <c r="A41" s="3">
        <v>133517</v>
      </c>
      <c r="B41" s="3" t="s">
        <v>43</v>
      </c>
      <c r="C41" s="3" t="s">
        <v>63</v>
      </c>
      <c r="D41" s="3" t="s">
        <v>45</v>
      </c>
      <c r="E41" s="3" t="s">
        <v>45</v>
      </c>
      <c r="F41" s="3" t="s">
        <v>54</v>
      </c>
      <c r="G41" s="3" t="s">
        <v>57</v>
      </c>
      <c r="H41" s="3" t="s">
        <v>46</v>
      </c>
      <c r="I41" s="3" t="s">
        <v>46</v>
      </c>
      <c r="J41" s="3" t="s">
        <v>46</v>
      </c>
      <c r="K41" s="3">
        <v>15</v>
      </c>
      <c r="L41" s="3" t="s">
        <v>49</v>
      </c>
      <c r="M41" s="3" t="s">
        <v>68</v>
      </c>
      <c r="N41" s="3" t="s">
        <v>70</v>
      </c>
      <c r="O41" s="3" t="s">
        <v>65</v>
      </c>
      <c r="P41" s="3" t="s">
        <v>46</v>
      </c>
      <c r="Q41" s="3" t="s">
        <v>46</v>
      </c>
      <c r="R41" s="3" t="s">
        <v>46</v>
      </c>
      <c r="S41" s="3" t="s">
        <v>46</v>
      </c>
      <c r="T41" s="3" t="s">
        <v>46</v>
      </c>
      <c r="U41" s="3" t="s">
        <v>46</v>
      </c>
      <c r="V41" s="3" t="s">
        <v>46</v>
      </c>
      <c r="W41" s="3" t="s">
        <v>46</v>
      </c>
      <c r="X41" s="3" t="s">
        <v>46</v>
      </c>
      <c r="Y41" s="3" t="s">
        <v>46</v>
      </c>
      <c r="Z41" s="3" t="s">
        <v>331</v>
      </c>
      <c r="AA41" s="3" t="s">
        <v>332</v>
      </c>
      <c r="AB41" s="3" t="s">
        <v>53</v>
      </c>
      <c r="AC41" s="3" t="s">
        <v>333</v>
      </c>
      <c r="AD41" s="3" t="s">
        <v>334</v>
      </c>
    </row>
    <row r="42" spans="1:30" x14ac:dyDescent="0.3">
      <c r="A42" s="3">
        <v>133515</v>
      </c>
      <c r="B42" s="3" t="s">
        <v>43</v>
      </c>
      <c r="C42" s="3" t="s">
        <v>63</v>
      </c>
      <c r="D42" s="3" t="s">
        <v>45</v>
      </c>
      <c r="E42" s="3" t="s">
        <v>45</v>
      </c>
      <c r="F42" s="3" t="s">
        <v>45</v>
      </c>
      <c r="G42" s="3" t="s">
        <v>57</v>
      </c>
      <c r="H42" s="3" t="s">
        <v>46</v>
      </c>
      <c r="I42" s="3" t="s">
        <v>46</v>
      </c>
      <c r="J42" s="3" t="s">
        <v>46</v>
      </c>
      <c r="K42" s="3">
        <v>35</v>
      </c>
      <c r="L42" s="3" t="s">
        <v>49</v>
      </c>
      <c r="M42" s="3" t="s">
        <v>68</v>
      </c>
      <c r="N42" s="3" t="s">
        <v>64</v>
      </c>
      <c r="O42" s="3" t="s">
        <v>65</v>
      </c>
      <c r="P42" s="3" t="s">
        <v>46</v>
      </c>
      <c r="Q42" s="3" t="s">
        <v>46</v>
      </c>
      <c r="R42" s="3" t="s">
        <v>46</v>
      </c>
      <c r="S42" s="3" t="s">
        <v>46</v>
      </c>
      <c r="T42" s="3" t="s">
        <v>46</v>
      </c>
      <c r="U42" s="3" t="s">
        <v>46</v>
      </c>
      <c r="V42" s="3" t="s">
        <v>46</v>
      </c>
      <c r="W42" s="3" t="s">
        <v>46</v>
      </c>
      <c r="X42" s="3" t="s">
        <v>46</v>
      </c>
      <c r="Y42" s="3" t="s">
        <v>46</v>
      </c>
      <c r="Z42" s="3" t="s">
        <v>335</v>
      </c>
      <c r="AA42" s="3" t="s">
        <v>336</v>
      </c>
      <c r="AB42" s="3" t="s">
        <v>53</v>
      </c>
      <c r="AC42" s="3" t="s">
        <v>337</v>
      </c>
      <c r="AD42" s="3" t="s">
        <v>338</v>
      </c>
    </row>
    <row r="43" spans="1:30" x14ac:dyDescent="0.3">
      <c r="A43" s="3">
        <v>133513</v>
      </c>
      <c r="B43" s="3" t="s">
        <v>43</v>
      </c>
      <c r="C43" s="3" t="s">
        <v>63</v>
      </c>
      <c r="D43" s="3" t="s">
        <v>45</v>
      </c>
      <c r="E43" s="3" t="s">
        <v>45</v>
      </c>
      <c r="F43" s="3" t="s">
        <v>54</v>
      </c>
      <c r="G43" s="3" t="s">
        <v>57</v>
      </c>
      <c r="H43" s="3" t="s">
        <v>46</v>
      </c>
      <c r="I43" s="3" t="s">
        <v>46</v>
      </c>
      <c r="J43" s="3" t="s">
        <v>46</v>
      </c>
      <c r="K43" s="3">
        <v>15</v>
      </c>
      <c r="L43" s="3" t="s">
        <v>49</v>
      </c>
      <c r="M43" s="3" t="s">
        <v>68</v>
      </c>
      <c r="N43" s="3" t="s">
        <v>70</v>
      </c>
      <c r="O43" s="3" t="s">
        <v>65</v>
      </c>
      <c r="P43" s="3" t="s">
        <v>46</v>
      </c>
      <c r="Q43" s="3" t="s">
        <v>46</v>
      </c>
      <c r="R43" s="3" t="s">
        <v>46</v>
      </c>
      <c r="S43" s="3" t="s">
        <v>46</v>
      </c>
      <c r="T43" s="3" t="s">
        <v>46</v>
      </c>
      <c r="U43" s="3" t="s">
        <v>46</v>
      </c>
      <c r="V43" s="3" t="s">
        <v>46</v>
      </c>
      <c r="W43" s="3" t="s">
        <v>46</v>
      </c>
      <c r="X43" s="3" t="s">
        <v>46</v>
      </c>
      <c r="Y43" s="3" t="s">
        <v>46</v>
      </c>
      <c r="Z43" s="3" t="s">
        <v>339</v>
      </c>
      <c r="AA43" s="3" t="s">
        <v>340</v>
      </c>
      <c r="AB43" s="3" t="s">
        <v>53</v>
      </c>
      <c r="AC43" s="3" t="s">
        <v>341</v>
      </c>
      <c r="AD43" s="3" t="s">
        <v>342</v>
      </c>
    </row>
    <row r="44" spans="1:30" x14ac:dyDescent="0.3">
      <c r="A44" s="3">
        <v>133511</v>
      </c>
      <c r="B44" s="3" t="s">
        <v>43</v>
      </c>
      <c r="C44" s="3" t="s">
        <v>63</v>
      </c>
      <c r="D44" s="3" t="s">
        <v>45</v>
      </c>
      <c r="E44" s="3" t="s">
        <v>57</v>
      </c>
      <c r="F44" s="3" t="s">
        <v>45</v>
      </c>
      <c r="G44" s="3" t="s">
        <v>57</v>
      </c>
      <c r="H44" s="3" t="s">
        <v>46</v>
      </c>
      <c r="I44" s="3" t="s">
        <v>46</v>
      </c>
      <c r="J44" s="3" t="s">
        <v>46</v>
      </c>
      <c r="K44" s="3">
        <v>30</v>
      </c>
      <c r="L44" s="3" t="s">
        <v>49</v>
      </c>
      <c r="M44" s="3" t="s">
        <v>49</v>
      </c>
      <c r="N44" s="3" t="s">
        <v>64</v>
      </c>
      <c r="O44" s="3" t="s">
        <v>65</v>
      </c>
      <c r="P44" s="3" t="s">
        <v>46</v>
      </c>
      <c r="Q44" s="3" t="s">
        <v>46</v>
      </c>
      <c r="R44" s="3" t="s">
        <v>46</v>
      </c>
      <c r="S44" s="3" t="s">
        <v>46</v>
      </c>
      <c r="T44" s="3" t="s">
        <v>46</v>
      </c>
      <c r="U44" s="3" t="s">
        <v>46</v>
      </c>
      <c r="V44" s="3" t="s">
        <v>46</v>
      </c>
      <c r="W44" s="3" t="s">
        <v>46</v>
      </c>
      <c r="X44" s="3" t="s">
        <v>46</v>
      </c>
      <c r="Y44" s="3" t="s">
        <v>46</v>
      </c>
      <c r="Z44" s="3" t="s">
        <v>343</v>
      </c>
      <c r="AA44" s="3" t="s">
        <v>344</v>
      </c>
      <c r="AB44" s="3" t="s">
        <v>53</v>
      </c>
      <c r="AC44" s="3" t="s">
        <v>345</v>
      </c>
      <c r="AD44" s="3" t="s">
        <v>346</v>
      </c>
    </row>
    <row r="45" spans="1:30" x14ac:dyDescent="0.3">
      <c r="A45" s="3">
        <v>133510</v>
      </c>
      <c r="B45" s="3" t="s">
        <v>43</v>
      </c>
      <c r="C45" s="3" t="s">
        <v>63</v>
      </c>
      <c r="D45" s="3" t="s">
        <v>45</v>
      </c>
      <c r="E45" s="3" t="s">
        <v>57</v>
      </c>
      <c r="F45" s="3" t="s">
        <v>45</v>
      </c>
      <c r="G45" s="3" t="s">
        <v>57</v>
      </c>
      <c r="H45" s="3" t="s">
        <v>46</v>
      </c>
      <c r="I45" s="3" t="s">
        <v>46</v>
      </c>
      <c r="J45" s="3" t="s">
        <v>46</v>
      </c>
      <c r="K45" s="3">
        <v>30</v>
      </c>
      <c r="L45" s="3" t="s">
        <v>49</v>
      </c>
      <c r="M45" s="3" t="s">
        <v>49</v>
      </c>
      <c r="N45" s="3" t="s">
        <v>64</v>
      </c>
      <c r="O45" s="3" t="s">
        <v>65</v>
      </c>
      <c r="P45" s="3" t="s">
        <v>46</v>
      </c>
      <c r="Q45" s="3" t="s">
        <v>46</v>
      </c>
      <c r="R45" s="3" t="s">
        <v>46</v>
      </c>
      <c r="S45" s="3" t="s">
        <v>46</v>
      </c>
      <c r="T45" s="3" t="s">
        <v>46</v>
      </c>
      <c r="U45" s="3" t="s">
        <v>46</v>
      </c>
      <c r="V45" s="3" t="s">
        <v>46</v>
      </c>
      <c r="W45" s="3" t="s">
        <v>46</v>
      </c>
      <c r="X45" s="3" t="s">
        <v>46</v>
      </c>
      <c r="Y45" s="3" t="s">
        <v>46</v>
      </c>
      <c r="Z45" s="3" t="s">
        <v>347</v>
      </c>
      <c r="AA45" s="3" t="s">
        <v>348</v>
      </c>
      <c r="AB45" s="3" t="s">
        <v>53</v>
      </c>
      <c r="AC45" s="3" t="s">
        <v>349</v>
      </c>
      <c r="AD45" s="3" t="s">
        <v>350</v>
      </c>
    </row>
    <row r="46" spans="1:30" x14ac:dyDescent="0.3">
      <c r="A46" s="3">
        <v>133508</v>
      </c>
      <c r="B46" s="3" t="s">
        <v>43</v>
      </c>
      <c r="C46" s="3" t="s">
        <v>63</v>
      </c>
      <c r="D46" s="3" t="s">
        <v>45</v>
      </c>
      <c r="E46" s="3" t="s">
        <v>45</v>
      </c>
      <c r="F46" s="3" t="s">
        <v>45</v>
      </c>
      <c r="G46" s="3" t="s">
        <v>57</v>
      </c>
      <c r="H46" s="3" t="s">
        <v>46</v>
      </c>
      <c r="I46" s="3" t="s">
        <v>46</v>
      </c>
      <c r="J46" s="3" t="s">
        <v>46</v>
      </c>
      <c r="K46" s="3">
        <v>35</v>
      </c>
      <c r="L46" s="3" t="s">
        <v>49</v>
      </c>
      <c r="M46" s="3" t="s">
        <v>68</v>
      </c>
      <c r="N46" s="3" t="s">
        <v>64</v>
      </c>
      <c r="O46" s="3" t="s">
        <v>65</v>
      </c>
      <c r="P46" s="3" t="s">
        <v>46</v>
      </c>
      <c r="Q46" s="3" t="s">
        <v>46</v>
      </c>
      <c r="R46" s="3" t="s">
        <v>46</v>
      </c>
      <c r="S46" s="3" t="s">
        <v>46</v>
      </c>
      <c r="T46" s="3" t="s">
        <v>46</v>
      </c>
      <c r="U46" s="3" t="s">
        <v>46</v>
      </c>
      <c r="V46" s="3" t="s">
        <v>46</v>
      </c>
      <c r="W46" s="3" t="s">
        <v>46</v>
      </c>
      <c r="X46" s="3" t="s">
        <v>46</v>
      </c>
      <c r="Y46" s="3" t="s">
        <v>46</v>
      </c>
      <c r="Z46" s="3" t="s">
        <v>351</v>
      </c>
      <c r="AA46" s="3" t="s">
        <v>352</v>
      </c>
      <c r="AB46" s="3" t="s">
        <v>53</v>
      </c>
      <c r="AC46" s="3" t="s">
        <v>353</v>
      </c>
      <c r="AD46" s="3" t="s">
        <v>354</v>
      </c>
    </row>
    <row r="47" spans="1:30" x14ac:dyDescent="0.3">
      <c r="A47" s="3">
        <v>133507</v>
      </c>
      <c r="B47" s="3" t="s">
        <v>43</v>
      </c>
      <c r="C47" s="3" t="s">
        <v>63</v>
      </c>
      <c r="D47" s="3" t="s">
        <v>45</v>
      </c>
      <c r="E47" s="3" t="s">
        <v>57</v>
      </c>
      <c r="F47" s="3" t="s">
        <v>45</v>
      </c>
      <c r="G47" s="3" t="s">
        <v>57</v>
      </c>
      <c r="H47" s="3" t="s">
        <v>46</v>
      </c>
      <c r="I47" s="3" t="s">
        <v>46</v>
      </c>
      <c r="J47" s="3" t="s">
        <v>46</v>
      </c>
      <c r="K47" s="3">
        <v>30</v>
      </c>
      <c r="L47" s="3" t="s">
        <v>49</v>
      </c>
      <c r="M47" s="3" t="s">
        <v>49</v>
      </c>
      <c r="N47" s="3" t="s">
        <v>64</v>
      </c>
      <c r="O47" s="3" t="s">
        <v>65</v>
      </c>
      <c r="P47" s="3" t="s">
        <v>46</v>
      </c>
      <c r="Q47" s="3" t="s">
        <v>46</v>
      </c>
      <c r="R47" s="3" t="s">
        <v>46</v>
      </c>
      <c r="S47" s="3" t="s">
        <v>46</v>
      </c>
      <c r="T47" s="3" t="s">
        <v>46</v>
      </c>
      <c r="U47" s="3" t="s">
        <v>46</v>
      </c>
      <c r="V47" s="3" t="s">
        <v>46</v>
      </c>
      <c r="W47" s="3" t="s">
        <v>46</v>
      </c>
      <c r="X47" s="3" t="s">
        <v>46</v>
      </c>
      <c r="Y47" s="3" t="s">
        <v>46</v>
      </c>
      <c r="Z47" s="3" t="s">
        <v>351</v>
      </c>
      <c r="AA47" s="3" t="s">
        <v>355</v>
      </c>
      <c r="AB47" s="3" t="s">
        <v>356</v>
      </c>
      <c r="AC47" s="3" t="s">
        <v>357</v>
      </c>
      <c r="AD47" s="3" t="s">
        <v>358</v>
      </c>
    </row>
    <row r="48" spans="1:30" x14ac:dyDescent="0.3">
      <c r="A48" s="3">
        <v>133506</v>
      </c>
      <c r="B48" s="3" t="s">
        <v>43</v>
      </c>
      <c r="C48" s="3" t="s">
        <v>63</v>
      </c>
      <c r="D48" s="3" t="s">
        <v>45</v>
      </c>
      <c r="E48" s="3" t="s">
        <v>45</v>
      </c>
      <c r="F48" s="3" t="s">
        <v>45</v>
      </c>
      <c r="G48" s="3" t="s">
        <v>57</v>
      </c>
      <c r="H48" s="3" t="s">
        <v>46</v>
      </c>
      <c r="I48" s="3" t="s">
        <v>46</v>
      </c>
      <c r="J48" s="3" t="s">
        <v>46</v>
      </c>
      <c r="K48" s="3">
        <v>35</v>
      </c>
      <c r="L48" s="3" t="s">
        <v>49</v>
      </c>
      <c r="M48" s="3" t="s">
        <v>68</v>
      </c>
      <c r="N48" s="3" t="s">
        <v>64</v>
      </c>
      <c r="O48" s="3" t="s">
        <v>65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46</v>
      </c>
      <c r="U48" s="3" t="s">
        <v>46</v>
      </c>
      <c r="V48" s="3" t="s">
        <v>46</v>
      </c>
      <c r="W48" s="3" t="s">
        <v>46</v>
      </c>
      <c r="X48" s="3" t="s">
        <v>46</v>
      </c>
      <c r="Y48" s="3" t="s">
        <v>46</v>
      </c>
      <c r="Z48" s="3" t="s">
        <v>351</v>
      </c>
      <c r="AA48" s="3" t="s">
        <v>359</v>
      </c>
      <c r="AB48" s="3" t="s">
        <v>360</v>
      </c>
      <c r="AC48" s="3" t="s">
        <v>361</v>
      </c>
      <c r="AD48" s="3" t="s">
        <v>362</v>
      </c>
    </row>
    <row r="49" spans="1:30" x14ac:dyDescent="0.3">
      <c r="A49" s="3">
        <v>133504</v>
      </c>
      <c r="B49" s="3" t="s">
        <v>43</v>
      </c>
      <c r="C49" s="3" t="s">
        <v>63</v>
      </c>
      <c r="D49" s="3" t="s">
        <v>45</v>
      </c>
      <c r="E49" s="3" t="s">
        <v>45</v>
      </c>
      <c r="F49" s="3" t="s">
        <v>45</v>
      </c>
      <c r="G49" s="3" t="s">
        <v>57</v>
      </c>
      <c r="H49" s="3" t="s">
        <v>46</v>
      </c>
      <c r="I49" s="3" t="s">
        <v>46</v>
      </c>
      <c r="J49" s="3" t="s">
        <v>46</v>
      </c>
      <c r="K49" s="3">
        <v>35</v>
      </c>
      <c r="L49" s="3" t="s">
        <v>49</v>
      </c>
      <c r="M49" s="3" t="s">
        <v>68</v>
      </c>
      <c r="N49" s="3" t="s">
        <v>71</v>
      </c>
      <c r="O49" s="3" t="s">
        <v>65</v>
      </c>
      <c r="P49" s="3" t="s">
        <v>46</v>
      </c>
      <c r="Q49" s="3" t="s">
        <v>46</v>
      </c>
      <c r="R49" s="3" t="s">
        <v>46</v>
      </c>
      <c r="S49" s="3" t="s">
        <v>46</v>
      </c>
      <c r="T49" s="3" t="s">
        <v>46</v>
      </c>
      <c r="U49" s="3" t="s">
        <v>46</v>
      </c>
      <c r="V49" s="3" t="s">
        <v>46</v>
      </c>
      <c r="W49" s="3" t="s">
        <v>46</v>
      </c>
      <c r="X49" s="3" t="s">
        <v>46</v>
      </c>
      <c r="Y49" s="3" t="s">
        <v>46</v>
      </c>
      <c r="Z49" s="3" t="s">
        <v>363</v>
      </c>
      <c r="AA49" s="3" t="s">
        <v>364</v>
      </c>
      <c r="AB49" s="3" t="s">
        <v>53</v>
      </c>
      <c r="AC49" s="3" t="s">
        <v>365</v>
      </c>
      <c r="AD49" s="3" t="s">
        <v>366</v>
      </c>
    </row>
    <row r="50" spans="1:30" x14ac:dyDescent="0.3">
      <c r="A50" s="3">
        <v>133503</v>
      </c>
      <c r="B50" s="3" t="s">
        <v>43</v>
      </c>
      <c r="C50" s="3" t="s">
        <v>63</v>
      </c>
      <c r="D50" s="3" t="s">
        <v>45</v>
      </c>
      <c r="E50" s="3" t="s">
        <v>57</v>
      </c>
      <c r="F50" s="3" t="s">
        <v>45</v>
      </c>
      <c r="G50" s="3" t="s">
        <v>57</v>
      </c>
      <c r="H50" s="3" t="s">
        <v>46</v>
      </c>
      <c r="I50" s="3" t="s">
        <v>46</v>
      </c>
      <c r="J50" s="3" t="s">
        <v>46</v>
      </c>
      <c r="K50" s="3">
        <v>30</v>
      </c>
      <c r="L50" s="3" t="s">
        <v>49</v>
      </c>
      <c r="M50" s="3" t="s">
        <v>49</v>
      </c>
      <c r="N50" s="3" t="s">
        <v>64</v>
      </c>
      <c r="O50" s="3" t="s">
        <v>65</v>
      </c>
      <c r="P50" s="3" t="s">
        <v>46</v>
      </c>
      <c r="Q50" s="3" t="s">
        <v>46</v>
      </c>
      <c r="R50" s="3" t="s">
        <v>46</v>
      </c>
      <c r="S50" s="3" t="s">
        <v>46</v>
      </c>
      <c r="T50" s="3" t="s">
        <v>46</v>
      </c>
      <c r="U50" s="3" t="s">
        <v>46</v>
      </c>
      <c r="V50" s="3" t="s">
        <v>46</v>
      </c>
      <c r="W50" s="3" t="s">
        <v>46</v>
      </c>
      <c r="X50" s="3" t="s">
        <v>46</v>
      </c>
      <c r="Y50" s="3" t="s">
        <v>46</v>
      </c>
      <c r="Z50" s="3" t="s">
        <v>363</v>
      </c>
      <c r="AA50" s="3" t="s">
        <v>367</v>
      </c>
      <c r="AB50" s="3" t="s">
        <v>82</v>
      </c>
      <c r="AC50" s="3" t="s">
        <v>368</v>
      </c>
      <c r="AD50" s="3" t="s">
        <v>369</v>
      </c>
    </row>
    <row r="51" spans="1:30" x14ac:dyDescent="0.3">
      <c r="A51" s="3">
        <v>133502</v>
      </c>
      <c r="B51" s="3" t="s">
        <v>43</v>
      </c>
      <c r="C51" s="3" t="s">
        <v>63</v>
      </c>
      <c r="D51" s="3" t="s">
        <v>45</v>
      </c>
      <c r="E51" s="3" t="s">
        <v>45</v>
      </c>
      <c r="F51" s="3" t="s">
        <v>45</v>
      </c>
      <c r="G51" s="3" t="s">
        <v>57</v>
      </c>
      <c r="H51" s="3" t="s">
        <v>46</v>
      </c>
      <c r="I51" s="3" t="s">
        <v>46</v>
      </c>
      <c r="J51" s="3" t="s">
        <v>46</v>
      </c>
      <c r="K51" s="3">
        <v>35</v>
      </c>
      <c r="L51" s="3" t="s">
        <v>49</v>
      </c>
      <c r="M51" s="3" t="s">
        <v>68</v>
      </c>
      <c r="N51" s="3" t="s">
        <v>64</v>
      </c>
      <c r="O51" s="3" t="s">
        <v>65</v>
      </c>
      <c r="P51" s="3" t="s">
        <v>46</v>
      </c>
      <c r="Q51" s="3" t="s">
        <v>46</v>
      </c>
      <c r="R51" s="3" t="s">
        <v>46</v>
      </c>
      <c r="S51" s="3" t="s">
        <v>46</v>
      </c>
      <c r="T51" s="3" t="s">
        <v>46</v>
      </c>
      <c r="U51" s="3" t="s">
        <v>46</v>
      </c>
      <c r="V51" s="3" t="s">
        <v>46</v>
      </c>
      <c r="W51" s="3" t="s">
        <v>46</v>
      </c>
      <c r="X51" s="3" t="s">
        <v>46</v>
      </c>
      <c r="Y51" s="3" t="s">
        <v>46</v>
      </c>
      <c r="Z51" s="3" t="s">
        <v>370</v>
      </c>
      <c r="AA51" s="3" t="s">
        <v>371</v>
      </c>
      <c r="AB51" s="3" t="s">
        <v>80</v>
      </c>
      <c r="AC51" s="3" t="s">
        <v>372</v>
      </c>
      <c r="AD51" s="3" t="s">
        <v>373</v>
      </c>
    </row>
    <row r="52" spans="1:30" x14ac:dyDescent="0.3">
      <c r="A52" s="3">
        <v>133501</v>
      </c>
      <c r="B52" s="3" t="s">
        <v>43</v>
      </c>
      <c r="C52" s="3" t="s">
        <v>63</v>
      </c>
      <c r="D52" s="3" t="s">
        <v>45</v>
      </c>
      <c r="E52" s="3" t="s">
        <v>45</v>
      </c>
      <c r="F52" s="3" t="s">
        <v>45</v>
      </c>
      <c r="G52" s="3" t="s">
        <v>57</v>
      </c>
      <c r="H52" s="3" t="s">
        <v>46</v>
      </c>
      <c r="I52" s="3" t="s">
        <v>46</v>
      </c>
      <c r="J52" s="3" t="s">
        <v>46</v>
      </c>
      <c r="K52" s="3">
        <v>35</v>
      </c>
      <c r="L52" s="3" t="s">
        <v>49</v>
      </c>
      <c r="M52" s="3" t="s">
        <v>68</v>
      </c>
      <c r="N52" s="3" t="s">
        <v>64</v>
      </c>
      <c r="O52" s="3" t="s">
        <v>65</v>
      </c>
      <c r="P52" s="3" t="s">
        <v>46</v>
      </c>
      <c r="Q52" s="3" t="s">
        <v>46</v>
      </c>
      <c r="R52" s="3" t="s">
        <v>46</v>
      </c>
      <c r="S52" s="3" t="s">
        <v>46</v>
      </c>
      <c r="T52" s="3" t="s">
        <v>46</v>
      </c>
      <c r="U52" s="3" t="s">
        <v>46</v>
      </c>
      <c r="V52" s="3" t="s">
        <v>46</v>
      </c>
      <c r="W52" s="3" t="s">
        <v>46</v>
      </c>
      <c r="X52" s="3" t="s">
        <v>46</v>
      </c>
      <c r="Y52" s="3" t="s">
        <v>46</v>
      </c>
      <c r="Z52" s="3" t="s">
        <v>374</v>
      </c>
      <c r="AA52" s="3" t="s">
        <v>375</v>
      </c>
      <c r="AB52" s="3" t="s">
        <v>91</v>
      </c>
      <c r="AC52" s="3" t="s">
        <v>376</v>
      </c>
      <c r="AD52" s="3" t="s">
        <v>377</v>
      </c>
    </row>
    <row r="53" spans="1:30" x14ac:dyDescent="0.3">
      <c r="A53" s="3">
        <v>133500</v>
      </c>
      <c r="B53" s="3" t="s">
        <v>43</v>
      </c>
      <c r="C53" s="3" t="s">
        <v>63</v>
      </c>
      <c r="D53" s="3" t="s">
        <v>45</v>
      </c>
      <c r="E53" s="3" t="s">
        <v>45</v>
      </c>
      <c r="F53" s="3" t="s">
        <v>45</v>
      </c>
      <c r="G53" s="3" t="s">
        <v>57</v>
      </c>
      <c r="H53" s="3" t="s">
        <v>46</v>
      </c>
      <c r="I53" s="3" t="s">
        <v>46</v>
      </c>
      <c r="J53" s="3" t="s">
        <v>46</v>
      </c>
      <c r="K53" s="3">
        <v>35</v>
      </c>
      <c r="L53" s="3" t="s">
        <v>49</v>
      </c>
      <c r="M53" s="3" t="s">
        <v>68</v>
      </c>
      <c r="N53" s="3" t="s">
        <v>64</v>
      </c>
      <c r="O53" s="3" t="s">
        <v>65</v>
      </c>
      <c r="P53" s="3" t="s">
        <v>46</v>
      </c>
      <c r="Q53" s="3" t="s">
        <v>46</v>
      </c>
      <c r="R53" s="3" t="s">
        <v>46</v>
      </c>
      <c r="S53" s="3" t="s">
        <v>46</v>
      </c>
      <c r="T53" s="3" t="s">
        <v>46</v>
      </c>
      <c r="U53" s="3" t="s">
        <v>46</v>
      </c>
      <c r="V53" s="3" t="s">
        <v>46</v>
      </c>
      <c r="W53" s="3" t="s">
        <v>46</v>
      </c>
      <c r="X53" s="3" t="s">
        <v>46</v>
      </c>
      <c r="Y53" s="3" t="s">
        <v>46</v>
      </c>
      <c r="Z53" s="3" t="s">
        <v>378</v>
      </c>
      <c r="AA53" s="3" t="s">
        <v>379</v>
      </c>
      <c r="AB53" s="3" t="s">
        <v>53</v>
      </c>
      <c r="AC53" s="3" t="s">
        <v>380</v>
      </c>
      <c r="AD53" s="3" t="s">
        <v>381</v>
      </c>
    </row>
    <row r="54" spans="1:30" x14ac:dyDescent="0.3">
      <c r="A54" s="3">
        <v>133499</v>
      </c>
      <c r="B54" s="3" t="s">
        <v>43</v>
      </c>
      <c r="C54" s="3" t="s">
        <v>63</v>
      </c>
      <c r="D54" s="3" t="s">
        <v>45</v>
      </c>
      <c r="E54" s="3" t="s">
        <v>45</v>
      </c>
      <c r="F54" s="3" t="s">
        <v>45</v>
      </c>
      <c r="G54" s="3" t="s">
        <v>57</v>
      </c>
      <c r="H54" s="3" t="s">
        <v>46</v>
      </c>
      <c r="I54" s="3" t="s">
        <v>46</v>
      </c>
      <c r="J54" s="3" t="s">
        <v>46</v>
      </c>
      <c r="K54" s="3">
        <v>35</v>
      </c>
      <c r="L54" s="3" t="s">
        <v>49</v>
      </c>
      <c r="M54" s="3" t="s">
        <v>68</v>
      </c>
      <c r="N54" s="3" t="s">
        <v>64</v>
      </c>
      <c r="O54" s="3" t="s">
        <v>65</v>
      </c>
      <c r="P54" s="3" t="s">
        <v>46</v>
      </c>
      <c r="Q54" s="3" t="s">
        <v>46</v>
      </c>
      <c r="R54" s="3" t="s">
        <v>46</v>
      </c>
      <c r="S54" s="3" t="s">
        <v>46</v>
      </c>
      <c r="T54" s="3" t="s">
        <v>46</v>
      </c>
      <c r="U54" s="3" t="s">
        <v>46</v>
      </c>
      <c r="V54" s="3" t="s">
        <v>46</v>
      </c>
      <c r="W54" s="3" t="s">
        <v>46</v>
      </c>
      <c r="X54" s="3" t="s">
        <v>46</v>
      </c>
      <c r="Y54" s="3" t="s">
        <v>46</v>
      </c>
      <c r="Z54" s="3" t="s">
        <v>382</v>
      </c>
      <c r="AA54" s="3" t="s">
        <v>383</v>
      </c>
      <c r="AB54" s="3" t="s">
        <v>384</v>
      </c>
      <c r="AC54" s="3" t="s">
        <v>385</v>
      </c>
      <c r="AD54" s="3" t="s">
        <v>386</v>
      </c>
    </row>
    <row r="55" spans="1:30" x14ac:dyDescent="0.3">
      <c r="A55" s="3">
        <v>133498</v>
      </c>
      <c r="B55" s="3" t="s">
        <v>43</v>
      </c>
      <c r="C55" s="3" t="s">
        <v>63</v>
      </c>
      <c r="D55" s="3" t="s">
        <v>45</v>
      </c>
      <c r="E55" s="3" t="s">
        <v>57</v>
      </c>
      <c r="F55" s="3" t="s">
        <v>45</v>
      </c>
      <c r="G55" s="3" t="s">
        <v>57</v>
      </c>
      <c r="H55" s="3" t="s">
        <v>46</v>
      </c>
      <c r="I55" s="3" t="s">
        <v>46</v>
      </c>
      <c r="J55" s="3" t="s">
        <v>46</v>
      </c>
      <c r="K55" s="3">
        <v>30</v>
      </c>
      <c r="L55" s="3" t="s">
        <v>49</v>
      </c>
      <c r="M55" s="3" t="s">
        <v>49</v>
      </c>
      <c r="N55" s="3" t="s">
        <v>64</v>
      </c>
      <c r="O55" s="3" t="s">
        <v>65</v>
      </c>
      <c r="P55" s="3" t="s">
        <v>46</v>
      </c>
      <c r="Q55" s="3" t="s">
        <v>46</v>
      </c>
      <c r="R55" s="3" t="s">
        <v>46</v>
      </c>
      <c r="S55" s="3" t="s">
        <v>46</v>
      </c>
      <c r="T55" s="3" t="s">
        <v>46</v>
      </c>
      <c r="U55" s="3" t="s">
        <v>46</v>
      </c>
      <c r="V55" s="3" t="s">
        <v>46</v>
      </c>
      <c r="W55" s="3" t="s">
        <v>46</v>
      </c>
      <c r="X55" s="3" t="s">
        <v>46</v>
      </c>
      <c r="Y55" s="3" t="s">
        <v>46</v>
      </c>
      <c r="Z55" s="3" t="s">
        <v>382</v>
      </c>
      <c r="AA55" s="3" t="s">
        <v>387</v>
      </c>
      <c r="AB55" s="3" t="s">
        <v>59</v>
      </c>
      <c r="AC55" s="3" t="s">
        <v>388</v>
      </c>
      <c r="AD55" s="3" t="s">
        <v>389</v>
      </c>
    </row>
    <row r="56" spans="1:30" x14ac:dyDescent="0.3">
      <c r="A56" s="3">
        <v>133497</v>
      </c>
      <c r="B56" s="3" t="s">
        <v>43</v>
      </c>
      <c r="C56" s="3" t="s">
        <v>63</v>
      </c>
      <c r="D56" s="3" t="s">
        <v>45</v>
      </c>
      <c r="E56" s="3" t="s">
        <v>57</v>
      </c>
      <c r="F56" s="3" t="s">
        <v>45</v>
      </c>
      <c r="G56" s="3" t="s">
        <v>57</v>
      </c>
      <c r="H56" s="3" t="s">
        <v>46</v>
      </c>
      <c r="I56" s="3" t="s">
        <v>46</v>
      </c>
      <c r="J56" s="3" t="s">
        <v>46</v>
      </c>
      <c r="K56" s="3">
        <v>30</v>
      </c>
      <c r="L56" s="3" t="s">
        <v>49</v>
      </c>
      <c r="M56" s="3" t="s">
        <v>49</v>
      </c>
      <c r="N56" s="3" t="s">
        <v>64</v>
      </c>
      <c r="O56" s="3" t="s">
        <v>65</v>
      </c>
      <c r="P56" s="3" t="s">
        <v>46</v>
      </c>
      <c r="Q56" s="3" t="s">
        <v>46</v>
      </c>
      <c r="R56" s="3" t="s">
        <v>46</v>
      </c>
      <c r="S56" s="3" t="s">
        <v>46</v>
      </c>
      <c r="T56" s="3" t="s">
        <v>46</v>
      </c>
      <c r="U56" s="3" t="s">
        <v>46</v>
      </c>
      <c r="V56" s="3" t="s">
        <v>46</v>
      </c>
      <c r="W56" s="3" t="s">
        <v>46</v>
      </c>
      <c r="X56" s="3" t="s">
        <v>46</v>
      </c>
      <c r="Y56" s="3" t="s">
        <v>46</v>
      </c>
      <c r="Z56" s="3" t="s">
        <v>390</v>
      </c>
      <c r="AA56" s="3" t="s">
        <v>391</v>
      </c>
      <c r="AB56" s="3" t="s">
        <v>392</v>
      </c>
      <c r="AC56" s="3" t="s">
        <v>393</v>
      </c>
      <c r="AD56" s="3" t="s">
        <v>394</v>
      </c>
    </row>
    <row r="57" spans="1:30" x14ac:dyDescent="0.3">
      <c r="A57" s="3">
        <v>133496</v>
      </c>
      <c r="B57" s="3" t="s">
        <v>43</v>
      </c>
      <c r="C57" s="3" t="s">
        <v>63</v>
      </c>
      <c r="D57" s="3" t="s">
        <v>45</v>
      </c>
      <c r="E57" s="3" t="s">
        <v>45</v>
      </c>
      <c r="F57" s="3" t="s">
        <v>45</v>
      </c>
      <c r="G57" s="3" t="s">
        <v>57</v>
      </c>
      <c r="H57" s="3" t="s">
        <v>46</v>
      </c>
      <c r="I57" s="3" t="s">
        <v>46</v>
      </c>
      <c r="J57" s="3" t="s">
        <v>46</v>
      </c>
      <c r="K57" s="3">
        <v>35</v>
      </c>
      <c r="L57" s="3" t="s">
        <v>49</v>
      </c>
      <c r="M57" s="3" t="s">
        <v>68</v>
      </c>
      <c r="N57" s="3" t="s">
        <v>64</v>
      </c>
      <c r="O57" s="3" t="s">
        <v>65</v>
      </c>
      <c r="P57" s="3" t="s">
        <v>46</v>
      </c>
      <c r="Q57" s="3" t="s">
        <v>46</v>
      </c>
      <c r="R57" s="3" t="s">
        <v>46</v>
      </c>
      <c r="S57" s="3" t="s">
        <v>46</v>
      </c>
      <c r="T57" s="3" t="s">
        <v>46</v>
      </c>
      <c r="U57" s="3" t="s">
        <v>46</v>
      </c>
      <c r="V57" s="3" t="s">
        <v>46</v>
      </c>
      <c r="W57" s="3" t="s">
        <v>46</v>
      </c>
      <c r="X57" s="3" t="s">
        <v>46</v>
      </c>
      <c r="Y57" s="3" t="s">
        <v>46</v>
      </c>
      <c r="Z57" s="3" t="s">
        <v>390</v>
      </c>
      <c r="AA57" s="3" t="s">
        <v>395</v>
      </c>
      <c r="AB57" s="3" t="s">
        <v>51</v>
      </c>
      <c r="AC57" s="3" t="s">
        <v>396</v>
      </c>
      <c r="AD57" s="3" t="s">
        <v>397</v>
      </c>
    </row>
    <row r="58" spans="1:30" x14ac:dyDescent="0.3">
      <c r="A58" s="3">
        <v>133495</v>
      </c>
      <c r="B58" s="3" t="s">
        <v>43</v>
      </c>
      <c r="C58" s="3" t="s">
        <v>63</v>
      </c>
      <c r="D58" s="3" t="s">
        <v>45</v>
      </c>
      <c r="E58" s="3" t="s">
        <v>45</v>
      </c>
      <c r="F58" s="3" t="s">
        <v>45</v>
      </c>
      <c r="G58" s="3" t="s">
        <v>57</v>
      </c>
      <c r="H58" s="3" t="s">
        <v>46</v>
      </c>
      <c r="I58" s="3" t="s">
        <v>46</v>
      </c>
      <c r="J58" s="3" t="s">
        <v>46</v>
      </c>
      <c r="K58" s="3">
        <v>35</v>
      </c>
      <c r="L58" s="3" t="s">
        <v>49</v>
      </c>
      <c r="M58" s="3" t="s">
        <v>68</v>
      </c>
      <c r="N58" s="3" t="s">
        <v>64</v>
      </c>
      <c r="O58" s="3" t="s">
        <v>65</v>
      </c>
      <c r="P58" s="3" t="s">
        <v>46</v>
      </c>
      <c r="Q58" s="3" t="s">
        <v>46</v>
      </c>
      <c r="R58" s="3" t="s">
        <v>46</v>
      </c>
      <c r="S58" s="3" t="s">
        <v>46</v>
      </c>
      <c r="T58" s="3" t="s">
        <v>46</v>
      </c>
      <c r="U58" s="3" t="s">
        <v>46</v>
      </c>
      <c r="V58" s="3" t="s">
        <v>46</v>
      </c>
      <c r="W58" s="3" t="s">
        <v>46</v>
      </c>
      <c r="X58" s="3" t="s">
        <v>46</v>
      </c>
      <c r="Y58" s="3" t="s">
        <v>46</v>
      </c>
      <c r="Z58" s="3" t="s">
        <v>398</v>
      </c>
      <c r="AA58" s="3" t="s">
        <v>399</v>
      </c>
      <c r="AB58" s="3" t="s">
        <v>51</v>
      </c>
      <c r="AC58" s="3" t="s">
        <v>400</v>
      </c>
      <c r="AD58" s="3" t="s">
        <v>401</v>
      </c>
    </row>
    <row r="59" spans="1:30" x14ac:dyDescent="0.3">
      <c r="A59" s="3">
        <v>133494</v>
      </c>
      <c r="B59" s="3" t="s">
        <v>43</v>
      </c>
      <c r="C59" s="3" t="s">
        <v>63</v>
      </c>
      <c r="D59" s="3" t="s">
        <v>54</v>
      </c>
      <c r="E59" s="3" t="s">
        <v>66</v>
      </c>
      <c r="F59" s="3" t="s">
        <v>54</v>
      </c>
      <c r="G59" s="3" t="s">
        <v>66</v>
      </c>
      <c r="H59" s="3" t="s">
        <v>46</v>
      </c>
      <c r="I59" s="3" t="s">
        <v>46</v>
      </c>
      <c r="J59" s="3" t="s">
        <v>46</v>
      </c>
      <c r="K59" s="3">
        <v>-14</v>
      </c>
      <c r="L59" s="3" t="s">
        <v>75</v>
      </c>
      <c r="M59" s="3" t="s">
        <v>67</v>
      </c>
      <c r="N59" s="3" t="s">
        <v>70</v>
      </c>
      <c r="O59" s="3" t="s">
        <v>76</v>
      </c>
      <c r="P59" s="3" t="s">
        <v>46</v>
      </c>
      <c r="Q59" s="3" t="s">
        <v>46</v>
      </c>
      <c r="R59" s="3" t="s">
        <v>46</v>
      </c>
      <c r="S59" s="3" t="s">
        <v>46</v>
      </c>
      <c r="T59" s="3" t="s">
        <v>46</v>
      </c>
      <c r="U59" s="3" t="s">
        <v>46</v>
      </c>
      <c r="V59" s="3" t="s">
        <v>46</v>
      </c>
      <c r="W59" s="3" t="s">
        <v>46</v>
      </c>
      <c r="X59" s="3" t="s">
        <v>46</v>
      </c>
      <c r="Y59" s="3" t="s">
        <v>46</v>
      </c>
      <c r="Z59" s="3" t="s">
        <v>402</v>
      </c>
      <c r="AA59" s="3" t="s">
        <v>403</v>
      </c>
      <c r="AB59" s="3" t="s">
        <v>59</v>
      </c>
      <c r="AC59" s="3" t="s">
        <v>404</v>
      </c>
      <c r="AD59" s="3" t="s">
        <v>405</v>
      </c>
    </row>
    <row r="60" spans="1:30" x14ac:dyDescent="0.3">
      <c r="A60" s="3">
        <v>133493</v>
      </c>
      <c r="B60" s="3" t="s">
        <v>43</v>
      </c>
      <c r="C60" s="3" t="s">
        <v>63</v>
      </c>
      <c r="D60" s="3" t="s">
        <v>45</v>
      </c>
      <c r="E60" s="3" t="s">
        <v>57</v>
      </c>
      <c r="F60" s="3" t="s">
        <v>45</v>
      </c>
      <c r="G60" s="3" t="s">
        <v>57</v>
      </c>
      <c r="H60" s="3" t="s">
        <v>46</v>
      </c>
      <c r="I60" s="3" t="s">
        <v>46</v>
      </c>
      <c r="J60" s="3" t="s">
        <v>46</v>
      </c>
      <c r="K60" s="3">
        <v>30</v>
      </c>
      <c r="L60" s="3" t="s">
        <v>49</v>
      </c>
      <c r="M60" s="3" t="s">
        <v>49</v>
      </c>
      <c r="N60" s="3" t="s">
        <v>64</v>
      </c>
      <c r="O60" s="3" t="s">
        <v>65</v>
      </c>
      <c r="P60" s="3" t="s">
        <v>46</v>
      </c>
      <c r="Q60" s="3" t="s">
        <v>46</v>
      </c>
      <c r="R60" s="3" t="s">
        <v>46</v>
      </c>
      <c r="S60" s="3" t="s">
        <v>46</v>
      </c>
      <c r="T60" s="3" t="s">
        <v>46</v>
      </c>
      <c r="U60" s="3" t="s">
        <v>46</v>
      </c>
      <c r="V60" s="3" t="s">
        <v>46</v>
      </c>
      <c r="W60" s="3" t="s">
        <v>46</v>
      </c>
      <c r="X60" s="3" t="s">
        <v>46</v>
      </c>
      <c r="Y60" s="3" t="s">
        <v>46</v>
      </c>
      <c r="Z60" s="3" t="s">
        <v>402</v>
      </c>
      <c r="AA60" s="3" t="s">
        <v>406</v>
      </c>
      <c r="AB60" s="3" t="s">
        <v>407</v>
      </c>
      <c r="AC60" s="3" t="s">
        <v>408</v>
      </c>
      <c r="AD60" s="3" t="s">
        <v>409</v>
      </c>
    </row>
    <row r="61" spans="1:30" x14ac:dyDescent="0.3">
      <c r="A61" s="3">
        <v>133491</v>
      </c>
      <c r="B61" s="3" t="s">
        <v>43</v>
      </c>
      <c r="C61" s="3" t="s">
        <v>63</v>
      </c>
      <c r="D61" s="3" t="s">
        <v>45</v>
      </c>
      <c r="E61" s="3" t="s">
        <v>45</v>
      </c>
      <c r="F61" s="3" t="s">
        <v>45</v>
      </c>
      <c r="G61" s="3" t="s">
        <v>57</v>
      </c>
      <c r="H61" s="3" t="s">
        <v>46</v>
      </c>
      <c r="I61" s="3" t="s">
        <v>46</v>
      </c>
      <c r="J61" s="3" t="s">
        <v>46</v>
      </c>
      <c r="K61" s="3">
        <v>35</v>
      </c>
      <c r="L61" s="3" t="s">
        <v>49</v>
      </c>
      <c r="M61" s="3" t="s">
        <v>68</v>
      </c>
      <c r="N61" s="3" t="s">
        <v>71</v>
      </c>
      <c r="O61" s="3" t="s">
        <v>65</v>
      </c>
      <c r="P61" s="3" t="s">
        <v>46</v>
      </c>
      <c r="Q61" s="3" t="s">
        <v>46</v>
      </c>
      <c r="R61" s="3" t="s">
        <v>46</v>
      </c>
      <c r="S61" s="3" t="s">
        <v>46</v>
      </c>
      <c r="T61" s="3" t="s">
        <v>46</v>
      </c>
      <c r="U61" s="3" t="s">
        <v>46</v>
      </c>
      <c r="V61" s="3" t="s">
        <v>46</v>
      </c>
      <c r="W61" s="3" t="s">
        <v>46</v>
      </c>
      <c r="X61" s="3" t="s">
        <v>46</v>
      </c>
      <c r="Y61" s="3" t="s">
        <v>46</v>
      </c>
      <c r="Z61" s="3" t="s">
        <v>402</v>
      </c>
      <c r="AA61" s="3" t="s">
        <v>410</v>
      </c>
      <c r="AB61" s="3" t="s">
        <v>53</v>
      </c>
      <c r="AC61" s="3" t="s">
        <v>411</v>
      </c>
      <c r="AD61" s="3" t="s">
        <v>412</v>
      </c>
    </row>
    <row r="62" spans="1:30" x14ac:dyDescent="0.3">
      <c r="A62" s="3">
        <v>133490</v>
      </c>
      <c r="B62" s="3" t="s">
        <v>43</v>
      </c>
      <c r="C62" s="3" t="s">
        <v>63</v>
      </c>
      <c r="D62" s="3" t="s">
        <v>45</v>
      </c>
      <c r="E62" s="3" t="s">
        <v>57</v>
      </c>
      <c r="F62" s="3" t="s">
        <v>45</v>
      </c>
      <c r="G62" s="3" t="s">
        <v>57</v>
      </c>
      <c r="H62" s="3" t="s">
        <v>46</v>
      </c>
      <c r="I62" s="3" t="s">
        <v>46</v>
      </c>
      <c r="J62" s="3" t="s">
        <v>46</v>
      </c>
      <c r="K62" s="3">
        <v>30</v>
      </c>
      <c r="L62" s="3" t="s">
        <v>49</v>
      </c>
      <c r="M62" s="3" t="s">
        <v>49</v>
      </c>
      <c r="N62" s="3" t="s">
        <v>64</v>
      </c>
      <c r="O62" s="3" t="s">
        <v>65</v>
      </c>
      <c r="P62" s="3" t="s">
        <v>46</v>
      </c>
      <c r="Q62" s="3" t="s">
        <v>46</v>
      </c>
      <c r="R62" s="3" t="s">
        <v>46</v>
      </c>
      <c r="S62" s="3" t="s">
        <v>46</v>
      </c>
      <c r="T62" s="3" t="s">
        <v>46</v>
      </c>
      <c r="U62" s="3" t="s">
        <v>46</v>
      </c>
      <c r="V62" s="3" t="s">
        <v>46</v>
      </c>
      <c r="W62" s="3" t="s">
        <v>46</v>
      </c>
      <c r="X62" s="3" t="s">
        <v>46</v>
      </c>
      <c r="Y62" s="3" t="s">
        <v>46</v>
      </c>
      <c r="Z62" s="3" t="s">
        <v>413</v>
      </c>
      <c r="AA62" s="3" t="s">
        <v>414</v>
      </c>
      <c r="AB62" s="3" t="s">
        <v>415</v>
      </c>
      <c r="AC62" s="3" t="s">
        <v>416</v>
      </c>
      <c r="AD62" s="3" t="s">
        <v>417</v>
      </c>
    </row>
    <row r="63" spans="1:30" x14ac:dyDescent="0.3">
      <c r="A63" s="3">
        <v>133489</v>
      </c>
      <c r="B63" s="3" t="s">
        <v>43</v>
      </c>
      <c r="C63" s="3" t="s">
        <v>63</v>
      </c>
      <c r="D63" s="3" t="s">
        <v>54</v>
      </c>
      <c r="E63" s="3" t="s">
        <v>66</v>
      </c>
      <c r="F63" s="3" t="s">
        <v>54</v>
      </c>
      <c r="G63" s="3" t="s">
        <v>66</v>
      </c>
      <c r="H63" s="3" t="s">
        <v>46</v>
      </c>
      <c r="I63" s="3" t="s">
        <v>46</v>
      </c>
      <c r="J63" s="3" t="s">
        <v>46</v>
      </c>
      <c r="K63" s="3">
        <v>-14</v>
      </c>
      <c r="L63" s="3" t="s">
        <v>78</v>
      </c>
      <c r="M63" s="3" t="s">
        <v>67</v>
      </c>
      <c r="N63" s="3" t="s">
        <v>70</v>
      </c>
      <c r="O63" s="3" t="s">
        <v>76</v>
      </c>
      <c r="P63" s="3" t="s">
        <v>46</v>
      </c>
      <c r="Q63" s="3" t="s">
        <v>46</v>
      </c>
      <c r="R63" s="3" t="s">
        <v>46</v>
      </c>
      <c r="S63" s="3" t="s">
        <v>418</v>
      </c>
      <c r="T63" s="3" t="s">
        <v>46</v>
      </c>
      <c r="U63" s="3" t="s">
        <v>46</v>
      </c>
      <c r="V63" s="3" t="s">
        <v>46</v>
      </c>
      <c r="W63" s="3" t="s">
        <v>46</v>
      </c>
      <c r="X63" s="3" t="s">
        <v>46</v>
      </c>
      <c r="Y63" s="3" t="s">
        <v>46</v>
      </c>
      <c r="Z63" s="3" t="s">
        <v>413</v>
      </c>
      <c r="AA63" s="3" t="s">
        <v>419</v>
      </c>
      <c r="AB63" s="3" t="s">
        <v>59</v>
      </c>
      <c r="AC63" s="3" t="s">
        <v>404</v>
      </c>
      <c r="AD63" s="3" t="s">
        <v>405</v>
      </c>
    </row>
    <row r="64" spans="1:30" x14ac:dyDescent="0.3">
      <c r="A64" s="3">
        <v>133488</v>
      </c>
      <c r="B64" s="3" t="s">
        <v>43</v>
      </c>
      <c r="C64" s="3" t="s">
        <v>63</v>
      </c>
      <c r="D64" s="3" t="s">
        <v>45</v>
      </c>
      <c r="E64" s="3" t="s">
        <v>45</v>
      </c>
      <c r="F64" s="3" t="s">
        <v>45</v>
      </c>
      <c r="G64" s="3" t="s">
        <v>57</v>
      </c>
      <c r="H64" s="3" t="s">
        <v>46</v>
      </c>
      <c r="I64" s="3" t="s">
        <v>46</v>
      </c>
      <c r="J64" s="3" t="s">
        <v>46</v>
      </c>
      <c r="K64" s="3">
        <v>35</v>
      </c>
      <c r="L64" s="3" t="s">
        <v>49</v>
      </c>
      <c r="M64" s="3" t="s">
        <v>68</v>
      </c>
      <c r="N64" s="3" t="s">
        <v>71</v>
      </c>
      <c r="O64" s="3" t="s">
        <v>65</v>
      </c>
      <c r="P64" s="3" t="s">
        <v>46</v>
      </c>
      <c r="Q64" s="3" t="s">
        <v>46</v>
      </c>
      <c r="R64" s="3" t="s">
        <v>46</v>
      </c>
      <c r="S64" s="3" t="s">
        <v>46</v>
      </c>
      <c r="T64" s="3" t="s">
        <v>46</v>
      </c>
      <c r="U64" s="3" t="s">
        <v>46</v>
      </c>
      <c r="V64" s="3" t="s">
        <v>46</v>
      </c>
      <c r="W64" s="3" t="s">
        <v>46</v>
      </c>
      <c r="X64" s="3" t="s">
        <v>46</v>
      </c>
      <c r="Y64" s="3" t="s">
        <v>46</v>
      </c>
      <c r="Z64" s="3" t="s">
        <v>413</v>
      </c>
      <c r="AA64" s="3" t="s">
        <v>420</v>
      </c>
      <c r="AB64" s="3" t="s">
        <v>421</v>
      </c>
      <c r="AC64" s="3" t="s">
        <v>422</v>
      </c>
      <c r="AD64" s="3" t="s">
        <v>423</v>
      </c>
    </row>
    <row r="65" spans="1:30" x14ac:dyDescent="0.3">
      <c r="A65" s="3">
        <v>133487</v>
      </c>
      <c r="B65" s="3" t="s">
        <v>43</v>
      </c>
      <c r="C65" s="3" t="s">
        <v>63</v>
      </c>
      <c r="D65" s="3" t="s">
        <v>45</v>
      </c>
      <c r="E65" s="3" t="s">
        <v>57</v>
      </c>
      <c r="F65" s="3" t="s">
        <v>45</v>
      </c>
      <c r="G65" s="3" t="s">
        <v>57</v>
      </c>
      <c r="H65" s="3" t="s">
        <v>46</v>
      </c>
      <c r="I65" s="3" t="s">
        <v>46</v>
      </c>
      <c r="J65" s="3" t="s">
        <v>46</v>
      </c>
      <c r="K65" s="3">
        <v>30</v>
      </c>
      <c r="L65" s="3" t="s">
        <v>49</v>
      </c>
      <c r="M65" s="3" t="s">
        <v>49</v>
      </c>
      <c r="N65" s="3" t="s">
        <v>71</v>
      </c>
      <c r="O65" s="3" t="s">
        <v>65</v>
      </c>
      <c r="P65" s="3" t="s">
        <v>46</v>
      </c>
      <c r="Q65" s="3" t="s">
        <v>46</v>
      </c>
      <c r="R65" s="3" t="s">
        <v>46</v>
      </c>
      <c r="S65" s="3" t="s">
        <v>46</v>
      </c>
      <c r="T65" s="3" t="s">
        <v>46</v>
      </c>
      <c r="U65" s="3" t="s">
        <v>46</v>
      </c>
      <c r="V65" s="3" t="s">
        <v>46</v>
      </c>
      <c r="W65" s="3" t="s">
        <v>46</v>
      </c>
      <c r="X65" s="3" t="s">
        <v>46</v>
      </c>
      <c r="Y65" s="3" t="s">
        <v>46</v>
      </c>
      <c r="Z65" s="3" t="s">
        <v>413</v>
      </c>
      <c r="AA65" s="3" t="s">
        <v>424</v>
      </c>
      <c r="AB65" s="3" t="s">
        <v>59</v>
      </c>
      <c r="AC65" s="3" t="s">
        <v>425</v>
      </c>
      <c r="AD65" s="3" t="s">
        <v>426</v>
      </c>
    </row>
    <row r="66" spans="1:30" x14ac:dyDescent="0.3">
      <c r="A66" s="3">
        <v>133486</v>
      </c>
      <c r="B66" s="3" t="s">
        <v>43</v>
      </c>
      <c r="C66" s="3" t="s">
        <v>63</v>
      </c>
      <c r="D66" s="3" t="s">
        <v>45</v>
      </c>
      <c r="E66" s="3" t="s">
        <v>45</v>
      </c>
      <c r="F66" s="3" t="s">
        <v>45</v>
      </c>
      <c r="G66" s="3" t="s">
        <v>57</v>
      </c>
      <c r="H66" s="3" t="s">
        <v>46</v>
      </c>
      <c r="I66" s="3" t="s">
        <v>46</v>
      </c>
      <c r="J66" s="3" t="s">
        <v>46</v>
      </c>
      <c r="K66" s="3">
        <v>35</v>
      </c>
      <c r="L66" s="3" t="s">
        <v>49</v>
      </c>
      <c r="M66" s="3" t="s">
        <v>68</v>
      </c>
      <c r="N66" s="3" t="s">
        <v>64</v>
      </c>
      <c r="O66" s="3" t="s">
        <v>65</v>
      </c>
      <c r="P66" s="3" t="s">
        <v>46</v>
      </c>
      <c r="Q66" s="3" t="s">
        <v>46</v>
      </c>
      <c r="R66" s="3" t="s">
        <v>46</v>
      </c>
      <c r="S66" s="3" t="s">
        <v>46</v>
      </c>
      <c r="T66" s="3" t="s">
        <v>46</v>
      </c>
      <c r="U66" s="3" t="s">
        <v>46</v>
      </c>
      <c r="V66" s="3" t="s">
        <v>46</v>
      </c>
      <c r="W66" s="3" t="s">
        <v>46</v>
      </c>
      <c r="X66" s="3" t="s">
        <v>46</v>
      </c>
      <c r="Y66" s="3" t="s">
        <v>46</v>
      </c>
      <c r="Z66" s="3" t="s">
        <v>180</v>
      </c>
      <c r="AA66" s="3" t="s">
        <v>427</v>
      </c>
      <c r="AB66" s="3" t="s">
        <v>60</v>
      </c>
      <c r="AC66" s="3" t="s">
        <v>428</v>
      </c>
      <c r="AD66" s="3" t="s">
        <v>429</v>
      </c>
    </row>
    <row r="67" spans="1:30" x14ac:dyDescent="0.3">
      <c r="A67" s="3">
        <v>133484</v>
      </c>
      <c r="B67" s="3" t="s">
        <v>43</v>
      </c>
      <c r="C67" s="3" t="s">
        <v>63</v>
      </c>
      <c r="D67" s="3" t="s">
        <v>45</v>
      </c>
      <c r="E67" s="3" t="s">
        <v>45</v>
      </c>
      <c r="F67" s="3" t="s">
        <v>45</v>
      </c>
      <c r="G67" s="3" t="s">
        <v>57</v>
      </c>
      <c r="H67" s="3" t="s">
        <v>46</v>
      </c>
      <c r="I67" s="3" t="s">
        <v>46</v>
      </c>
      <c r="J67" s="3" t="s">
        <v>46</v>
      </c>
      <c r="K67" s="3">
        <v>35</v>
      </c>
      <c r="L67" s="3" t="s">
        <v>49</v>
      </c>
      <c r="M67" s="3" t="s">
        <v>68</v>
      </c>
      <c r="N67" s="3" t="s">
        <v>64</v>
      </c>
      <c r="O67" s="3" t="s">
        <v>65</v>
      </c>
      <c r="P67" s="3" t="s">
        <v>46</v>
      </c>
      <c r="Q67" s="3" t="s">
        <v>46</v>
      </c>
      <c r="R67" s="3" t="s">
        <v>46</v>
      </c>
      <c r="S67" s="3" t="s">
        <v>46</v>
      </c>
      <c r="T67" s="3" t="s">
        <v>46</v>
      </c>
      <c r="U67" s="3" t="s">
        <v>46</v>
      </c>
      <c r="V67" s="3" t="s">
        <v>46</v>
      </c>
      <c r="W67" s="3" t="s">
        <v>46</v>
      </c>
      <c r="X67" s="3" t="s">
        <v>46</v>
      </c>
      <c r="Y67" s="3" t="s">
        <v>46</v>
      </c>
      <c r="Z67" s="3" t="s">
        <v>180</v>
      </c>
      <c r="AA67" s="3" t="s">
        <v>430</v>
      </c>
      <c r="AB67" s="3" t="s">
        <v>53</v>
      </c>
      <c r="AC67" s="3" t="s">
        <v>431</v>
      </c>
      <c r="AD67" s="3" t="s">
        <v>432</v>
      </c>
    </row>
    <row r="68" spans="1:30" x14ac:dyDescent="0.3">
      <c r="A68" s="3">
        <v>133483</v>
      </c>
      <c r="B68" s="3" t="s">
        <v>43</v>
      </c>
      <c r="C68" s="3" t="s">
        <v>63</v>
      </c>
      <c r="D68" s="3" t="s">
        <v>45</v>
      </c>
      <c r="E68" s="3" t="s">
        <v>45</v>
      </c>
      <c r="F68" s="3" t="s">
        <v>45</v>
      </c>
      <c r="G68" s="3" t="s">
        <v>57</v>
      </c>
      <c r="H68" s="3" t="s">
        <v>46</v>
      </c>
      <c r="I68" s="3" t="s">
        <v>46</v>
      </c>
      <c r="J68" s="3" t="s">
        <v>46</v>
      </c>
      <c r="K68" s="3">
        <v>35</v>
      </c>
      <c r="L68" s="3" t="s">
        <v>49</v>
      </c>
      <c r="M68" s="3" t="s">
        <v>68</v>
      </c>
      <c r="N68" s="3" t="s">
        <v>71</v>
      </c>
      <c r="O68" s="3" t="s">
        <v>65</v>
      </c>
      <c r="P68" s="3" t="s">
        <v>46</v>
      </c>
      <c r="Q68" s="3" t="s">
        <v>46</v>
      </c>
      <c r="R68" s="3" t="s">
        <v>46</v>
      </c>
      <c r="S68" s="3" t="s">
        <v>46</v>
      </c>
      <c r="T68" s="3" t="s">
        <v>46</v>
      </c>
      <c r="U68" s="3" t="s">
        <v>46</v>
      </c>
      <c r="V68" s="3" t="s">
        <v>46</v>
      </c>
      <c r="W68" s="3" t="s">
        <v>46</v>
      </c>
      <c r="X68" s="3" t="s">
        <v>46</v>
      </c>
      <c r="Y68" s="3" t="s">
        <v>46</v>
      </c>
      <c r="Z68" s="3" t="s">
        <v>433</v>
      </c>
      <c r="AA68" s="3" t="s">
        <v>434</v>
      </c>
      <c r="AB68" s="3" t="s">
        <v>435</v>
      </c>
      <c r="AC68" s="3" t="s">
        <v>436</v>
      </c>
      <c r="AD68" s="3" t="s">
        <v>437</v>
      </c>
    </row>
    <row r="69" spans="1:30" x14ac:dyDescent="0.3">
      <c r="A69" s="3">
        <v>133482</v>
      </c>
      <c r="B69" s="3" t="s">
        <v>43</v>
      </c>
      <c r="C69" s="3" t="s">
        <v>63</v>
      </c>
      <c r="D69" s="3" t="s">
        <v>45</v>
      </c>
      <c r="E69" s="3" t="s">
        <v>73</v>
      </c>
      <c r="F69" s="3" t="s">
        <v>45</v>
      </c>
      <c r="G69" s="3" t="s">
        <v>66</v>
      </c>
      <c r="H69" s="3" t="s">
        <v>46</v>
      </c>
      <c r="I69" s="3" t="s">
        <v>46</v>
      </c>
      <c r="J69" s="3" t="s">
        <v>46</v>
      </c>
      <c r="K69" s="3">
        <v>18</v>
      </c>
      <c r="L69" s="3" t="s">
        <v>49</v>
      </c>
      <c r="M69" s="3" t="s">
        <v>86</v>
      </c>
      <c r="N69" s="3" t="s">
        <v>71</v>
      </c>
      <c r="O69" s="3" t="s">
        <v>76</v>
      </c>
      <c r="P69" s="3" t="s">
        <v>46</v>
      </c>
      <c r="Q69" s="3" t="s">
        <v>46</v>
      </c>
      <c r="R69" s="3" t="s">
        <v>46</v>
      </c>
      <c r="S69" s="3" t="s">
        <v>46</v>
      </c>
      <c r="T69" s="3" t="s">
        <v>46</v>
      </c>
      <c r="U69" s="3" t="s">
        <v>46</v>
      </c>
      <c r="V69" s="3" t="s">
        <v>46</v>
      </c>
      <c r="W69" s="3" t="s">
        <v>46</v>
      </c>
      <c r="X69" s="3" t="s">
        <v>46</v>
      </c>
      <c r="Y69" s="3" t="s">
        <v>46</v>
      </c>
      <c r="Z69" s="3" t="s">
        <v>438</v>
      </c>
      <c r="AA69" s="3" t="s">
        <v>439</v>
      </c>
      <c r="AB69" s="3" t="s">
        <v>53</v>
      </c>
      <c r="AC69" s="3" t="s">
        <v>440</v>
      </c>
      <c r="AD69" s="3" t="s">
        <v>441</v>
      </c>
    </row>
    <row r="70" spans="1:30" x14ac:dyDescent="0.3">
      <c r="A70" s="3">
        <v>133481</v>
      </c>
      <c r="B70" s="3" t="s">
        <v>43</v>
      </c>
      <c r="C70" s="3" t="s">
        <v>63</v>
      </c>
      <c r="D70" s="3" t="s">
        <v>45</v>
      </c>
      <c r="E70" s="3" t="s">
        <v>45</v>
      </c>
      <c r="F70" s="3" t="s">
        <v>45</v>
      </c>
      <c r="G70" s="3" t="s">
        <v>57</v>
      </c>
      <c r="H70" s="3" t="s">
        <v>46</v>
      </c>
      <c r="I70" s="3" t="s">
        <v>46</v>
      </c>
      <c r="J70" s="3" t="s">
        <v>46</v>
      </c>
      <c r="K70" s="3">
        <v>35</v>
      </c>
      <c r="L70" s="3" t="s">
        <v>49</v>
      </c>
      <c r="M70" s="3" t="s">
        <v>68</v>
      </c>
      <c r="N70" s="3" t="s">
        <v>64</v>
      </c>
      <c r="O70" s="3" t="s">
        <v>65</v>
      </c>
      <c r="P70" s="3" t="s">
        <v>46</v>
      </c>
      <c r="Q70" s="3" t="s">
        <v>46</v>
      </c>
      <c r="R70" s="3" t="s">
        <v>46</v>
      </c>
      <c r="S70" s="3" t="s">
        <v>46</v>
      </c>
      <c r="T70" s="3" t="s">
        <v>46</v>
      </c>
      <c r="U70" s="3" t="s">
        <v>46</v>
      </c>
      <c r="V70" s="3" t="s">
        <v>46</v>
      </c>
      <c r="W70" s="3" t="s">
        <v>46</v>
      </c>
      <c r="X70" s="3" t="s">
        <v>46</v>
      </c>
      <c r="Y70" s="3" t="s">
        <v>46</v>
      </c>
      <c r="Z70" s="3" t="s">
        <v>438</v>
      </c>
      <c r="AA70" s="3" t="s">
        <v>442</v>
      </c>
      <c r="AB70" s="3" t="s">
        <v>53</v>
      </c>
      <c r="AC70" s="3" t="s">
        <v>443</v>
      </c>
      <c r="AD70" s="3" t="s">
        <v>444</v>
      </c>
    </row>
    <row r="71" spans="1:30" x14ac:dyDescent="0.3">
      <c r="A71" s="3">
        <v>133480</v>
      </c>
      <c r="B71" s="3" t="s">
        <v>43</v>
      </c>
      <c r="C71" s="3" t="s">
        <v>63</v>
      </c>
      <c r="D71" s="3" t="s">
        <v>45</v>
      </c>
      <c r="E71" s="3" t="s">
        <v>57</v>
      </c>
      <c r="F71" s="3" t="s">
        <v>45</v>
      </c>
      <c r="G71" s="3" t="s">
        <v>57</v>
      </c>
      <c r="H71" s="3" t="s">
        <v>46</v>
      </c>
      <c r="I71" s="3" t="s">
        <v>46</v>
      </c>
      <c r="J71" s="3" t="s">
        <v>46</v>
      </c>
      <c r="K71" s="3">
        <v>30</v>
      </c>
      <c r="L71" s="3" t="s">
        <v>49</v>
      </c>
      <c r="M71" s="3" t="s">
        <v>49</v>
      </c>
      <c r="N71" s="3" t="s">
        <v>64</v>
      </c>
      <c r="O71" s="3" t="s">
        <v>65</v>
      </c>
      <c r="P71" s="3" t="s">
        <v>46</v>
      </c>
      <c r="Q71" s="3" t="s">
        <v>46</v>
      </c>
      <c r="R71" s="3" t="s">
        <v>46</v>
      </c>
      <c r="S71" s="3" t="s">
        <v>46</v>
      </c>
      <c r="T71" s="3" t="s">
        <v>46</v>
      </c>
      <c r="U71" s="3" t="s">
        <v>46</v>
      </c>
      <c r="V71" s="3" t="s">
        <v>46</v>
      </c>
      <c r="W71" s="3" t="s">
        <v>46</v>
      </c>
      <c r="X71" s="3" t="s">
        <v>46</v>
      </c>
      <c r="Y71" s="3" t="s">
        <v>46</v>
      </c>
      <c r="Z71" s="3" t="s">
        <v>438</v>
      </c>
      <c r="AA71" s="3" t="s">
        <v>445</v>
      </c>
      <c r="AB71" s="3" t="s">
        <v>53</v>
      </c>
      <c r="AC71" s="3" t="s">
        <v>446</v>
      </c>
      <c r="AD71" s="3" t="s">
        <v>447</v>
      </c>
    </row>
    <row r="72" spans="1:30" x14ac:dyDescent="0.3">
      <c r="A72" s="3">
        <v>133479</v>
      </c>
      <c r="B72" s="3" t="s">
        <v>43</v>
      </c>
      <c r="C72" s="3" t="s">
        <v>63</v>
      </c>
      <c r="D72" s="3" t="s">
        <v>45</v>
      </c>
      <c r="E72" s="3" t="s">
        <v>45</v>
      </c>
      <c r="F72" s="3" t="s">
        <v>54</v>
      </c>
      <c r="G72" s="3" t="s">
        <v>57</v>
      </c>
      <c r="H72" s="3" t="s">
        <v>46</v>
      </c>
      <c r="I72" s="3" t="s">
        <v>46</v>
      </c>
      <c r="J72" s="3" t="s">
        <v>46</v>
      </c>
      <c r="K72" s="3">
        <v>15</v>
      </c>
      <c r="L72" s="3" t="s">
        <v>49</v>
      </c>
      <c r="M72" s="3" t="s">
        <v>68</v>
      </c>
      <c r="N72" s="3" t="s">
        <v>70</v>
      </c>
      <c r="O72" s="3" t="s">
        <v>65</v>
      </c>
      <c r="P72" s="3" t="s">
        <v>46</v>
      </c>
      <c r="Q72" s="3" t="s">
        <v>46</v>
      </c>
      <c r="R72" s="3" t="s">
        <v>46</v>
      </c>
      <c r="S72" s="3" t="s">
        <v>46</v>
      </c>
      <c r="T72" s="3" t="s">
        <v>46</v>
      </c>
      <c r="U72" s="3" t="s">
        <v>46</v>
      </c>
      <c r="V72" s="3" t="s">
        <v>46</v>
      </c>
      <c r="W72" s="3" t="s">
        <v>46</v>
      </c>
      <c r="X72" s="3" t="s">
        <v>46</v>
      </c>
      <c r="Y72" s="3" t="s">
        <v>46</v>
      </c>
      <c r="Z72" s="3" t="s">
        <v>448</v>
      </c>
      <c r="AA72" s="3" t="s">
        <v>449</v>
      </c>
      <c r="AB72" s="3" t="s">
        <v>51</v>
      </c>
      <c r="AC72" s="3" t="s">
        <v>450</v>
      </c>
      <c r="AD72" s="3" t="s">
        <v>451</v>
      </c>
    </row>
    <row r="73" spans="1:30" x14ac:dyDescent="0.3">
      <c r="A73" s="3">
        <v>133478</v>
      </c>
      <c r="B73" s="3" t="s">
        <v>43</v>
      </c>
      <c r="C73" s="3" t="s">
        <v>63</v>
      </c>
      <c r="D73" s="3" t="s">
        <v>45</v>
      </c>
      <c r="E73" s="3" t="s">
        <v>45</v>
      </c>
      <c r="F73" s="3" t="s">
        <v>45</v>
      </c>
      <c r="G73" s="3" t="s">
        <v>57</v>
      </c>
      <c r="H73" s="3" t="s">
        <v>46</v>
      </c>
      <c r="I73" s="3" t="s">
        <v>46</v>
      </c>
      <c r="J73" s="3" t="s">
        <v>46</v>
      </c>
      <c r="K73" s="3">
        <v>35</v>
      </c>
      <c r="L73" s="3" t="s">
        <v>49</v>
      </c>
      <c r="M73" s="3" t="s">
        <v>68</v>
      </c>
      <c r="N73" s="3" t="s">
        <v>77</v>
      </c>
      <c r="O73" s="3" t="s">
        <v>65</v>
      </c>
      <c r="P73" s="3" t="s">
        <v>46</v>
      </c>
      <c r="Q73" s="3" t="s">
        <v>46</v>
      </c>
      <c r="R73" s="3" t="s">
        <v>46</v>
      </c>
      <c r="S73" s="3" t="s">
        <v>46</v>
      </c>
      <c r="T73" s="3" t="s">
        <v>46</v>
      </c>
      <c r="U73" s="3" t="s">
        <v>46</v>
      </c>
      <c r="V73" s="3" t="s">
        <v>46</v>
      </c>
      <c r="W73" s="3" t="s">
        <v>46</v>
      </c>
      <c r="X73" s="3" t="s">
        <v>46</v>
      </c>
      <c r="Y73" s="3" t="s">
        <v>46</v>
      </c>
      <c r="Z73" s="3" t="s">
        <v>448</v>
      </c>
      <c r="AA73" s="3" t="s">
        <v>452</v>
      </c>
      <c r="AB73" s="3" t="s">
        <v>453</v>
      </c>
      <c r="AC73" s="3" t="s">
        <v>454</v>
      </c>
      <c r="AD73" s="3" t="s">
        <v>455</v>
      </c>
    </row>
    <row r="74" spans="1:30" x14ac:dyDescent="0.3">
      <c r="A74" s="3">
        <v>133477</v>
      </c>
      <c r="B74" s="3" t="s">
        <v>43</v>
      </c>
      <c r="C74" s="3" t="s">
        <v>63</v>
      </c>
      <c r="D74" s="3" t="s">
        <v>45</v>
      </c>
      <c r="E74" s="3" t="s">
        <v>45</v>
      </c>
      <c r="F74" s="3" t="s">
        <v>45</v>
      </c>
      <c r="G74" s="3" t="s">
        <v>57</v>
      </c>
      <c r="H74" s="3" t="s">
        <v>46</v>
      </c>
      <c r="I74" s="3" t="s">
        <v>46</v>
      </c>
      <c r="J74" s="3" t="s">
        <v>46</v>
      </c>
      <c r="K74" s="3">
        <v>35</v>
      </c>
      <c r="L74" s="3" t="s">
        <v>49</v>
      </c>
      <c r="M74" s="3" t="s">
        <v>68</v>
      </c>
      <c r="N74" s="3" t="s">
        <v>64</v>
      </c>
      <c r="O74" s="3" t="s">
        <v>65</v>
      </c>
      <c r="P74" s="3" t="s">
        <v>46</v>
      </c>
      <c r="Q74" s="3" t="s">
        <v>46</v>
      </c>
      <c r="R74" s="3" t="s">
        <v>46</v>
      </c>
      <c r="S74" s="3" t="s">
        <v>46</v>
      </c>
      <c r="T74" s="3" t="s">
        <v>46</v>
      </c>
      <c r="U74" s="3" t="s">
        <v>46</v>
      </c>
      <c r="V74" s="3" t="s">
        <v>46</v>
      </c>
      <c r="W74" s="3" t="s">
        <v>46</v>
      </c>
      <c r="X74" s="3" t="s">
        <v>46</v>
      </c>
      <c r="Y74" s="3" t="s">
        <v>46</v>
      </c>
      <c r="Z74" s="3" t="s">
        <v>448</v>
      </c>
      <c r="AA74" s="3" t="s">
        <v>456</v>
      </c>
      <c r="AB74" s="3" t="s">
        <v>53</v>
      </c>
      <c r="AC74" s="3" t="s">
        <v>457</v>
      </c>
      <c r="AD74" s="3" t="s">
        <v>458</v>
      </c>
    </row>
    <row r="75" spans="1:30" x14ac:dyDescent="0.3">
      <c r="A75" s="3">
        <v>133476</v>
      </c>
      <c r="B75" s="3" t="s">
        <v>43</v>
      </c>
      <c r="C75" s="3" t="s">
        <v>63</v>
      </c>
      <c r="D75" s="3" t="s">
        <v>45</v>
      </c>
      <c r="E75" s="3" t="s">
        <v>57</v>
      </c>
      <c r="F75" s="3" t="s">
        <v>45</v>
      </c>
      <c r="G75" s="3" t="s">
        <v>57</v>
      </c>
      <c r="H75" s="3" t="s">
        <v>46</v>
      </c>
      <c r="I75" s="3" t="s">
        <v>46</v>
      </c>
      <c r="J75" s="3" t="s">
        <v>46</v>
      </c>
      <c r="K75" s="3">
        <v>30</v>
      </c>
      <c r="L75" s="3" t="s">
        <v>49</v>
      </c>
      <c r="M75" s="3" t="s">
        <v>49</v>
      </c>
      <c r="N75" s="3" t="s">
        <v>64</v>
      </c>
      <c r="O75" s="3" t="s">
        <v>65</v>
      </c>
      <c r="P75" s="3" t="s">
        <v>46</v>
      </c>
      <c r="Q75" s="3" t="s">
        <v>46</v>
      </c>
      <c r="R75" s="3" t="s">
        <v>46</v>
      </c>
      <c r="S75" s="3" t="s">
        <v>46</v>
      </c>
      <c r="T75" s="3" t="s">
        <v>46</v>
      </c>
      <c r="U75" s="3" t="s">
        <v>46</v>
      </c>
      <c r="V75" s="3" t="s">
        <v>46</v>
      </c>
      <c r="W75" s="3" t="s">
        <v>46</v>
      </c>
      <c r="X75" s="3" t="s">
        <v>46</v>
      </c>
      <c r="Y75" s="3" t="s">
        <v>46</v>
      </c>
      <c r="Z75" s="3" t="s">
        <v>448</v>
      </c>
      <c r="AA75" s="3" t="s">
        <v>459</v>
      </c>
      <c r="AB75" s="3" t="s">
        <v>460</v>
      </c>
      <c r="AC75" s="3" t="s">
        <v>461</v>
      </c>
      <c r="AD75" s="3" t="s">
        <v>462</v>
      </c>
    </row>
    <row r="76" spans="1:30" x14ac:dyDescent="0.3">
      <c r="A76" s="3">
        <v>133475</v>
      </c>
      <c r="B76" s="3" t="s">
        <v>43</v>
      </c>
      <c r="C76" s="3" t="s">
        <v>63</v>
      </c>
      <c r="D76" s="3" t="s">
        <v>54</v>
      </c>
      <c r="E76" s="3" t="s">
        <v>45</v>
      </c>
      <c r="F76" s="3" t="s">
        <v>45</v>
      </c>
      <c r="G76" s="3" t="s">
        <v>57</v>
      </c>
      <c r="H76" s="3" t="s">
        <v>46</v>
      </c>
      <c r="I76" s="3" t="s">
        <v>46</v>
      </c>
      <c r="J76" s="3" t="s">
        <v>46</v>
      </c>
      <c r="K76" s="3">
        <v>15</v>
      </c>
      <c r="L76" s="3" t="s">
        <v>78</v>
      </c>
      <c r="M76" s="3" t="s">
        <v>68</v>
      </c>
      <c r="N76" s="3" t="s">
        <v>71</v>
      </c>
      <c r="O76" s="3" t="s">
        <v>65</v>
      </c>
      <c r="P76" s="3" t="s">
        <v>46</v>
      </c>
      <c r="Q76" s="3" t="s">
        <v>46</v>
      </c>
      <c r="R76" s="3" t="s">
        <v>46</v>
      </c>
      <c r="S76" s="3" t="s">
        <v>463</v>
      </c>
      <c r="T76" s="3" t="s">
        <v>46</v>
      </c>
      <c r="U76" s="3" t="s">
        <v>46</v>
      </c>
      <c r="V76" s="3" t="s">
        <v>46</v>
      </c>
      <c r="W76" s="3" t="s">
        <v>46</v>
      </c>
      <c r="X76" s="3" t="s">
        <v>46</v>
      </c>
      <c r="Y76" s="3" t="s">
        <v>46</v>
      </c>
      <c r="Z76" s="3" t="s">
        <v>464</v>
      </c>
      <c r="AA76" s="3" t="s">
        <v>465</v>
      </c>
      <c r="AB76" s="3" t="s">
        <v>466</v>
      </c>
      <c r="AC76" s="3" t="s">
        <v>467</v>
      </c>
      <c r="AD76" s="3" t="s">
        <v>468</v>
      </c>
    </row>
    <row r="77" spans="1:30" x14ac:dyDescent="0.3">
      <c r="A77" s="3">
        <v>133474</v>
      </c>
      <c r="B77" s="3" t="s">
        <v>43</v>
      </c>
      <c r="C77" s="3" t="s">
        <v>63</v>
      </c>
      <c r="D77" s="3" t="s">
        <v>45</v>
      </c>
      <c r="E77" s="3" t="s">
        <v>57</v>
      </c>
      <c r="F77" s="3" t="s">
        <v>45</v>
      </c>
      <c r="G77" s="3" t="s">
        <v>57</v>
      </c>
      <c r="H77" s="3" t="s">
        <v>46</v>
      </c>
      <c r="I77" s="3" t="s">
        <v>46</v>
      </c>
      <c r="J77" s="3" t="s">
        <v>46</v>
      </c>
      <c r="K77" s="3">
        <v>30</v>
      </c>
      <c r="L77" s="3" t="s">
        <v>49</v>
      </c>
      <c r="M77" s="3" t="s">
        <v>49</v>
      </c>
      <c r="N77" s="3" t="s">
        <v>64</v>
      </c>
      <c r="O77" s="3" t="s">
        <v>65</v>
      </c>
      <c r="P77" s="3" t="s">
        <v>46</v>
      </c>
      <c r="Q77" s="3" t="s">
        <v>46</v>
      </c>
      <c r="R77" s="3" t="s">
        <v>46</v>
      </c>
      <c r="S77" s="3" t="s">
        <v>46</v>
      </c>
      <c r="T77" s="3" t="s">
        <v>46</v>
      </c>
      <c r="U77" s="3" t="s">
        <v>46</v>
      </c>
      <c r="V77" s="3" t="s">
        <v>46</v>
      </c>
      <c r="W77" s="3" t="s">
        <v>46</v>
      </c>
      <c r="X77" s="3" t="s">
        <v>46</v>
      </c>
      <c r="Y77" s="3" t="s">
        <v>46</v>
      </c>
      <c r="Z77" s="3" t="s">
        <v>464</v>
      </c>
      <c r="AA77" s="3" t="s">
        <v>469</v>
      </c>
      <c r="AB77" s="3" t="s">
        <v>470</v>
      </c>
      <c r="AC77" s="3" t="s">
        <v>471</v>
      </c>
      <c r="AD77" s="3" t="s">
        <v>472</v>
      </c>
    </row>
    <row r="78" spans="1:30" x14ac:dyDescent="0.3">
      <c r="A78" s="3">
        <v>133473</v>
      </c>
      <c r="B78" s="3" t="s">
        <v>43</v>
      </c>
      <c r="C78" s="3" t="s">
        <v>63</v>
      </c>
      <c r="D78" s="3" t="s">
        <v>45</v>
      </c>
      <c r="E78" s="3" t="s">
        <v>57</v>
      </c>
      <c r="F78" s="3" t="s">
        <v>45</v>
      </c>
      <c r="G78" s="3" t="s">
        <v>57</v>
      </c>
      <c r="H78" s="3" t="s">
        <v>46</v>
      </c>
      <c r="I78" s="3" t="s">
        <v>46</v>
      </c>
      <c r="J78" s="3" t="s">
        <v>46</v>
      </c>
      <c r="K78" s="3">
        <v>30</v>
      </c>
      <c r="L78" s="3" t="s">
        <v>49</v>
      </c>
      <c r="M78" s="3" t="s">
        <v>49</v>
      </c>
      <c r="N78" s="3" t="s">
        <v>64</v>
      </c>
      <c r="O78" s="3" t="s">
        <v>65</v>
      </c>
      <c r="P78" s="3" t="s">
        <v>46</v>
      </c>
      <c r="Q78" s="3" t="s">
        <v>46</v>
      </c>
      <c r="R78" s="3" t="s">
        <v>46</v>
      </c>
      <c r="S78" s="3" t="s">
        <v>46</v>
      </c>
      <c r="T78" s="3" t="s">
        <v>46</v>
      </c>
      <c r="U78" s="3" t="s">
        <v>46</v>
      </c>
      <c r="V78" s="3" t="s">
        <v>46</v>
      </c>
      <c r="W78" s="3" t="s">
        <v>46</v>
      </c>
      <c r="X78" s="3" t="s">
        <v>46</v>
      </c>
      <c r="Y78" s="3" t="s">
        <v>46</v>
      </c>
      <c r="Z78" s="3" t="s">
        <v>464</v>
      </c>
      <c r="AA78" s="3" t="s">
        <v>473</v>
      </c>
      <c r="AB78" s="3" t="s">
        <v>50</v>
      </c>
      <c r="AC78" s="3" t="s">
        <v>474</v>
      </c>
      <c r="AD78" s="3" t="s">
        <v>475</v>
      </c>
    </row>
    <row r="79" spans="1:30" x14ac:dyDescent="0.3">
      <c r="A79" s="3">
        <v>133472</v>
      </c>
      <c r="B79" s="3" t="s">
        <v>43</v>
      </c>
      <c r="C79" s="3" t="s">
        <v>63</v>
      </c>
      <c r="D79" s="3" t="s">
        <v>45</v>
      </c>
      <c r="E79" s="3" t="s">
        <v>57</v>
      </c>
      <c r="F79" s="3" t="s">
        <v>45</v>
      </c>
      <c r="G79" s="3" t="s">
        <v>57</v>
      </c>
      <c r="H79" s="3" t="s">
        <v>46</v>
      </c>
      <c r="I79" s="3" t="s">
        <v>46</v>
      </c>
      <c r="J79" s="3" t="s">
        <v>46</v>
      </c>
      <c r="K79" s="3">
        <v>30</v>
      </c>
      <c r="L79" s="3" t="s">
        <v>49</v>
      </c>
      <c r="M79" s="3" t="s">
        <v>49</v>
      </c>
      <c r="N79" s="3" t="s">
        <v>64</v>
      </c>
      <c r="O79" s="3" t="s">
        <v>65</v>
      </c>
      <c r="P79" s="3" t="s">
        <v>46</v>
      </c>
      <c r="Q79" s="3" t="s">
        <v>46</v>
      </c>
      <c r="R79" s="3" t="s">
        <v>46</v>
      </c>
      <c r="S79" s="3" t="s">
        <v>46</v>
      </c>
      <c r="T79" s="3" t="s">
        <v>46</v>
      </c>
      <c r="U79" s="3" t="s">
        <v>46</v>
      </c>
      <c r="V79" s="3" t="s">
        <v>46</v>
      </c>
      <c r="W79" s="3" t="s">
        <v>46</v>
      </c>
      <c r="X79" s="3" t="s">
        <v>46</v>
      </c>
      <c r="Y79" s="3" t="s">
        <v>46</v>
      </c>
      <c r="Z79" s="3" t="s">
        <v>464</v>
      </c>
      <c r="AA79" s="3" t="s">
        <v>476</v>
      </c>
      <c r="AB79" s="3" t="s">
        <v>53</v>
      </c>
      <c r="AC79" s="3" t="s">
        <v>477</v>
      </c>
      <c r="AD79" s="3" t="s">
        <v>478</v>
      </c>
    </row>
    <row r="80" spans="1:30" x14ac:dyDescent="0.3">
      <c r="A80" s="3">
        <v>133471</v>
      </c>
      <c r="B80" s="3" t="s">
        <v>43</v>
      </c>
      <c r="C80" s="3" t="s">
        <v>63</v>
      </c>
      <c r="D80" s="3" t="s">
        <v>45</v>
      </c>
      <c r="E80" s="3" t="s">
        <v>45</v>
      </c>
      <c r="F80" s="3" t="s">
        <v>45</v>
      </c>
      <c r="G80" s="3" t="s">
        <v>57</v>
      </c>
      <c r="H80" s="3" t="s">
        <v>46</v>
      </c>
      <c r="I80" s="3" t="s">
        <v>46</v>
      </c>
      <c r="J80" s="3" t="s">
        <v>46</v>
      </c>
      <c r="K80" s="3">
        <v>35</v>
      </c>
      <c r="L80" s="3" t="s">
        <v>49</v>
      </c>
      <c r="M80" s="3" t="s">
        <v>68</v>
      </c>
      <c r="N80" s="3" t="s">
        <v>64</v>
      </c>
      <c r="O80" s="3" t="s">
        <v>65</v>
      </c>
      <c r="P80" s="3" t="s">
        <v>46</v>
      </c>
      <c r="Q80" s="3" t="s">
        <v>46</v>
      </c>
      <c r="R80" s="3" t="s">
        <v>46</v>
      </c>
      <c r="S80" s="3" t="s">
        <v>46</v>
      </c>
      <c r="T80" s="3" t="s">
        <v>46</v>
      </c>
      <c r="U80" s="3" t="s">
        <v>46</v>
      </c>
      <c r="V80" s="3" t="s">
        <v>46</v>
      </c>
      <c r="W80" s="3" t="s">
        <v>46</v>
      </c>
      <c r="X80" s="3" t="s">
        <v>46</v>
      </c>
      <c r="Y80" s="3" t="s">
        <v>46</v>
      </c>
      <c r="Z80" s="3" t="s">
        <v>479</v>
      </c>
      <c r="AA80" s="3" t="s">
        <v>480</v>
      </c>
      <c r="AB80" s="3" t="s">
        <v>481</v>
      </c>
      <c r="AC80" s="3" t="s">
        <v>482</v>
      </c>
      <c r="AD80" s="3" t="s">
        <v>483</v>
      </c>
    </row>
    <row r="81" spans="1:30" x14ac:dyDescent="0.3">
      <c r="A81" s="3">
        <v>133470</v>
      </c>
      <c r="B81" s="3" t="s">
        <v>43</v>
      </c>
      <c r="C81" s="3" t="s">
        <v>63</v>
      </c>
      <c r="D81" s="3" t="s">
        <v>45</v>
      </c>
      <c r="E81" s="3" t="s">
        <v>45</v>
      </c>
      <c r="F81" s="3" t="s">
        <v>45</v>
      </c>
      <c r="G81" s="3" t="s">
        <v>57</v>
      </c>
      <c r="H81" s="3" t="s">
        <v>46</v>
      </c>
      <c r="I81" s="3" t="s">
        <v>46</v>
      </c>
      <c r="J81" s="3" t="s">
        <v>46</v>
      </c>
      <c r="K81" s="3">
        <v>35</v>
      </c>
      <c r="L81" s="3" t="s">
        <v>49</v>
      </c>
      <c r="M81" s="3" t="s">
        <v>68</v>
      </c>
      <c r="N81" s="3" t="s">
        <v>64</v>
      </c>
      <c r="O81" s="3" t="s">
        <v>65</v>
      </c>
      <c r="P81" s="3" t="s">
        <v>46</v>
      </c>
      <c r="Q81" s="3" t="s">
        <v>46</v>
      </c>
      <c r="R81" s="3" t="s">
        <v>46</v>
      </c>
      <c r="S81" s="3" t="s">
        <v>46</v>
      </c>
      <c r="T81" s="3" t="s">
        <v>46</v>
      </c>
      <c r="U81" s="3" t="s">
        <v>46</v>
      </c>
      <c r="V81" s="3" t="s">
        <v>46</v>
      </c>
      <c r="W81" s="3" t="s">
        <v>46</v>
      </c>
      <c r="X81" s="3" t="s">
        <v>46</v>
      </c>
      <c r="Y81" s="3" t="s">
        <v>46</v>
      </c>
      <c r="Z81" s="3" t="s">
        <v>479</v>
      </c>
      <c r="AA81" s="3" t="s">
        <v>484</v>
      </c>
      <c r="AB81" s="3" t="s">
        <v>485</v>
      </c>
      <c r="AC81" s="3" t="s">
        <v>486</v>
      </c>
      <c r="AD81" s="3" t="s">
        <v>487</v>
      </c>
    </row>
    <row r="82" spans="1:30" x14ac:dyDescent="0.3">
      <c r="A82" s="3">
        <v>133468</v>
      </c>
      <c r="B82" s="3" t="s">
        <v>43</v>
      </c>
      <c r="C82" s="3" t="s">
        <v>63</v>
      </c>
      <c r="D82" s="3" t="s">
        <v>45</v>
      </c>
      <c r="E82" s="3" t="s">
        <v>45</v>
      </c>
      <c r="F82" s="3" t="s">
        <v>45</v>
      </c>
      <c r="G82" s="3" t="s">
        <v>57</v>
      </c>
      <c r="H82" s="3" t="s">
        <v>46</v>
      </c>
      <c r="I82" s="3" t="s">
        <v>46</v>
      </c>
      <c r="J82" s="3" t="s">
        <v>46</v>
      </c>
      <c r="K82" s="3">
        <v>35</v>
      </c>
      <c r="L82" s="3" t="s">
        <v>49</v>
      </c>
      <c r="M82" s="3" t="s">
        <v>68</v>
      </c>
      <c r="N82" s="3" t="s">
        <v>64</v>
      </c>
      <c r="O82" s="3" t="s">
        <v>65</v>
      </c>
      <c r="P82" s="3" t="s">
        <v>46</v>
      </c>
      <c r="Q82" s="3" t="s">
        <v>46</v>
      </c>
      <c r="R82" s="3" t="s">
        <v>46</v>
      </c>
      <c r="S82" s="3" t="s">
        <v>46</v>
      </c>
      <c r="T82" s="3" t="s">
        <v>46</v>
      </c>
      <c r="U82" s="3" t="s">
        <v>46</v>
      </c>
      <c r="V82" s="3" t="s">
        <v>46</v>
      </c>
      <c r="W82" s="3" t="s">
        <v>46</v>
      </c>
      <c r="X82" s="3" t="s">
        <v>46</v>
      </c>
      <c r="Y82" s="3" t="s">
        <v>46</v>
      </c>
      <c r="Z82" s="3" t="s">
        <v>479</v>
      </c>
      <c r="AA82" s="3" t="s">
        <v>488</v>
      </c>
      <c r="AB82" s="3" t="s">
        <v>53</v>
      </c>
      <c r="AC82" s="3" t="s">
        <v>489</v>
      </c>
      <c r="AD82" s="3" t="s">
        <v>490</v>
      </c>
    </row>
    <row r="83" spans="1:30" x14ac:dyDescent="0.3">
      <c r="A83" s="3">
        <v>133467</v>
      </c>
      <c r="B83" s="3" t="s">
        <v>43</v>
      </c>
      <c r="C83" s="3" t="s">
        <v>63</v>
      </c>
      <c r="D83" s="3" t="s">
        <v>45</v>
      </c>
      <c r="E83" s="3" t="s">
        <v>57</v>
      </c>
      <c r="F83" s="3" t="s">
        <v>45</v>
      </c>
      <c r="G83" s="3" t="s">
        <v>57</v>
      </c>
      <c r="H83" s="3" t="s">
        <v>46</v>
      </c>
      <c r="I83" s="3" t="s">
        <v>46</v>
      </c>
      <c r="J83" s="3" t="s">
        <v>46</v>
      </c>
      <c r="K83" s="3">
        <v>30</v>
      </c>
      <c r="L83" s="3" t="s">
        <v>49</v>
      </c>
      <c r="M83" s="3" t="s">
        <v>49</v>
      </c>
      <c r="N83" s="3" t="s">
        <v>64</v>
      </c>
      <c r="O83" s="3" t="s">
        <v>65</v>
      </c>
      <c r="P83" s="3" t="s">
        <v>46</v>
      </c>
      <c r="Q83" s="3" t="s">
        <v>46</v>
      </c>
      <c r="R83" s="3" t="s">
        <v>46</v>
      </c>
      <c r="S83" s="3" t="s">
        <v>46</v>
      </c>
      <c r="T83" s="3" t="s">
        <v>46</v>
      </c>
      <c r="U83" s="3" t="s">
        <v>46</v>
      </c>
      <c r="V83" s="3" t="s">
        <v>46</v>
      </c>
      <c r="W83" s="3" t="s">
        <v>46</v>
      </c>
      <c r="X83" s="3" t="s">
        <v>46</v>
      </c>
      <c r="Y83" s="3" t="s">
        <v>46</v>
      </c>
      <c r="Z83" s="3" t="s">
        <v>479</v>
      </c>
      <c r="AA83" s="3" t="s">
        <v>491</v>
      </c>
      <c r="AB83" s="3" t="s">
        <v>53</v>
      </c>
      <c r="AC83" s="3" t="s">
        <v>492</v>
      </c>
      <c r="AD83" s="3" t="s">
        <v>493</v>
      </c>
    </row>
    <row r="84" spans="1:30" x14ac:dyDescent="0.3">
      <c r="A84" s="3">
        <v>133466</v>
      </c>
      <c r="B84" s="3" t="s">
        <v>43</v>
      </c>
      <c r="C84" s="3" t="s">
        <v>63</v>
      </c>
      <c r="D84" s="3" t="s">
        <v>45</v>
      </c>
      <c r="E84" s="3" t="s">
        <v>45</v>
      </c>
      <c r="F84" s="3" t="s">
        <v>54</v>
      </c>
      <c r="G84" s="3" t="s">
        <v>57</v>
      </c>
      <c r="H84" s="3" t="s">
        <v>46</v>
      </c>
      <c r="I84" s="3" t="s">
        <v>46</v>
      </c>
      <c r="J84" s="3" t="s">
        <v>46</v>
      </c>
      <c r="K84" s="3">
        <v>15</v>
      </c>
      <c r="L84" s="3" t="s">
        <v>49</v>
      </c>
      <c r="M84" s="3" t="s">
        <v>68</v>
      </c>
      <c r="N84" s="3" t="s">
        <v>70</v>
      </c>
      <c r="O84" s="3" t="s">
        <v>65</v>
      </c>
      <c r="P84" s="3" t="s">
        <v>46</v>
      </c>
      <c r="Q84" s="3" t="s">
        <v>46</v>
      </c>
      <c r="R84" s="3" t="s">
        <v>46</v>
      </c>
      <c r="S84" s="3" t="s">
        <v>46</v>
      </c>
      <c r="T84" s="3" t="s">
        <v>46</v>
      </c>
      <c r="U84" s="3" t="s">
        <v>46</v>
      </c>
      <c r="V84" s="3" t="s">
        <v>46</v>
      </c>
      <c r="W84" s="3" t="s">
        <v>46</v>
      </c>
      <c r="X84" s="3" t="s">
        <v>46</v>
      </c>
      <c r="Y84" s="3" t="s">
        <v>46</v>
      </c>
      <c r="Z84" s="3" t="s">
        <v>479</v>
      </c>
      <c r="AA84" s="3" t="s">
        <v>494</v>
      </c>
      <c r="AB84" s="3" t="s">
        <v>53</v>
      </c>
      <c r="AC84" s="3" t="s">
        <v>495</v>
      </c>
      <c r="AD84" s="3" t="s">
        <v>496</v>
      </c>
    </row>
    <row r="85" spans="1:30" x14ac:dyDescent="0.3">
      <c r="A85" s="3">
        <v>133465</v>
      </c>
      <c r="B85" s="3" t="s">
        <v>43</v>
      </c>
      <c r="C85" s="3" t="s">
        <v>63</v>
      </c>
      <c r="D85" s="3" t="s">
        <v>45</v>
      </c>
      <c r="E85" s="3" t="s">
        <v>57</v>
      </c>
      <c r="F85" s="3" t="s">
        <v>45</v>
      </c>
      <c r="G85" s="3" t="s">
        <v>57</v>
      </c>
      <c r="H85" s="3" t="s">
        <v>46</v>
      </c>
      <c r="I85" s="3" t="s">
        <v>46</v>
      </c>
      <c r="J85" s="3" t="s">
        <v>46</v>
      </c>
      <c r="K85" s="3">
        <v>30</v>
      </c>
      <c r="L85" s="3" t="s">
        <v>49</v>
      </c>
      <c r="M85" s="3" t="s">
        <v>49</v>
      </c>
      <c r="N85" s="3" t="s">
        <v>64</v>
      </c>
      <c r="O85" s="3" t="s">
        <v>65</v>
      </c>
      <c r="P85" s="3" t="s">
        <v>46</v>
      </c>
      <c r="Q85" s="3" t="s">
        <v>46</v>
      </c>
      <c r="R85" s="3" t="s">
        <v>46</v>
      </c>
      <c r="S85" s="3" t="s">
        <v>46</v>
      </c>
      <c r="T85" s="3" t="s">
        <v>46</v>
      </c>
      <c r="U85" s="3" t="s">
        <v>46</v>
      </c>
      <c r="V85" s="3" t="s">
        <v>46</v>
      </c>
      <c r="W85" s="3" t="s">
        <v>46</v>
      </c>
      <c r="X85" s="3" t="s">
        <v>46</v>
      </c>
      <c r="Y85" s="3" t="s">
        <v>46</v>
      </c>
      <c r="Z85" s="3" t="s">
        <v>479</v>
      </c>
      <c r="AA85" s="3" t="s">
        <v>497</v>
      </c>
      <c r="AB85" s="3" t="s">
        <v>79</v>
      </c>
      <c r="AC85" s="3" t="s">
        <v>498</v>
      </c>
      <c r="AD85" s="3" t="s">
        <v>499</v>
      </c>
    </row>
    <row r="86" spans="1:30" x14ac:dyDescent="0.3">
      <c r="A86" s="3">
        <v>133464</v>
      </c>
      <c r="B86" s="3" t="s">
        <v>43</v>
      </c>
      <c r="C86" s="3" t="s">
        <v>63</v>
      </c>
      <c r="D86" s="3" t="s">
        <v>45</v>
      </c>
      <c r="E86" s="3" t="s">
        <v>45</v>
      </c>
      <c r="F86" s="3" t="s">
        <v>45</v>
      </c>
      <c r="G86" s="3" t="s">
        <v>57</v>
      </c>
      <c r="H86" s="3" t="s">
        <v>46</v>
      </c>
      <c r="I86" s="3" t="s">
        <v>46</v>
      </c>
      <c r="J86" s="3" t="s">
        <v>46</v>
      </c>
      <c r="K86" s="3">
        <v>35</v>
      </c>
      <c r="L86" s="3" t="s">
        <v>49</v>
      </c>
      <c r="M86" s="3" t="s">
        <v>68</v>
      </c>
      <c r="N86" s="3" t="s">
        <v>64</v>
      </c>
      <c r="O86" s="3" t="s">
        <v>65</v>
      </c>
      <c r="P86" s="3" t="s">
        <v>46</v>
      </c>
      <c r="Q86" s="3" t="s">
        <v>46</v>
      </c>
      <c r="R86" s="3" t="s">
        <v>46</v>
      </c>
      <c r="S86" s="3" t="s">
        <v>46</v>
      </c>
      <c r="T86" s="3" t="s">
        <v>46</v>
      </c>
      <c r="U86" s="3" t="s">
        <v>46</v>
      </c>
      <c r="V86" s="3" t="s">
        <v>46</v>
      </c>
      <c r="W86" s="3" t="s">
        <v>46</v>
      </c>
      <c r="X86" s="3" t="s">
        <v>46</v>
      </c>
      <c r="Y86" s="3" t="s">
        <v>46</v>
      </c>
      <c r="Z86" s="3" t="s">
        <v>500</v>
      </c>
      <c r="AA86" s="3" t="s">
        <v>501</v>
      </c>
      <c r="AB86" s="3" t="s">
        <v>59</v>
      </c>
      <c r="AC86" s="3" t="s">
        <v>502</v>
      </c>
      <c r="AD86" s="3" t="s">
        <v>503</v>
      </c>
    </row>
    <row r="87" spans="1:30" x14ac:dyDescent="0.3">
      <c r="A87" s="3">
        <v>133463</v>
      </c>
      <c r="B87" s="3" t="s">
        <v>43</v>
      </c>
      <c r="C87" s="3" t="s">
        <v>63</v>
      </c>
      <c r="D87" s="3" t="s">
        <v>45</v>
      </c>
      <c r="E87" s="3" t="s">
        <v>45</v>
      </c>
      <c r="F87" s="3" t="s">
        <v>45</v>
      </c>
      <c r="G87" s="3" t="s">
        <v>57</v>
      </c>
      <c r="H87" s="3" t="s">
        <v>46</v>
      </c>
      <c r="I87" s="3" t="s">
        <v>46</v>
      </c>
      <c r="J87" s="3" t="s">
        <v>46</v>
      </c>
      <c r="K87" s="3">
        <v>35</v>
      </c>
      <c r="L87" s="3" t="s">
        <v>49</v>
      </c>
      <c r="M87" s="3" t="s">
        <v>68</v>
      </c>
      <c r="N87" s="3" t="s">
        <v>71</v>
      </c>
      <c r="O87" s="3" t="s">
        <v>65</v>
      </c>
      <c r="P87" s="3" t="s">
        <v>46</v>
      </c>
      <c r="Q87" s="3" t="s">
        <v>46</v>
      </c>
      <c r="R87" s="3" t="s">
        <v>46</v>
      </c>
      <c r="S87" s="3" t="s">
        <v>46</v>
      </c>
      <c r="T87" s="3" t="s">
        <v>46</v>
      </c>
      <c r="U87" s="3" t="s">
        <v>46</v>
      </c>
      <c r="V87" s="3" t="s">
        <v>46</v>
      </c>
      <c r="W87" s="3" t="s">
        <v>46</v>
      </c>
      <c r="X87" s="3" t="s">
        <v>46</v>
      </c>
      <c r="Y87" s="3" t="s">
        <v>46</v>
      </c>
      <c r="Z87" s="3" t="s">
        <v>500</v>
      </c>
      <c r="AA87" s="3" t="s">
        <v>504</v>
      </c>
      <c r="AB87" s="3" t="s">
        <v>505</v>
      </c>
      <c r="AC87" s="3" t="s">
        <v>506</v>
      </c>
      <c r="AD87" s="3" t="s">
        <v>507</v>
      </c>
    </row>
    <row r="88" spans="1:30" x14ac:dyDescent="0.3">
      <c r="A88" s="3">
        <v>133462</v>
      </c>
      <c r="B88" s="3" t="s">
        <v>43</v>
      </c>
      <c r="C88" s="3" t="s">
        <v>63</v>
      </c>
      <c r="D88" s="3" t="s">
        <v>45</v>
      </c>
      <c r="E88" s="3" t="s">
        <v>45</v>
      </c>
      <c r="F88" s="3" t="s">
        <v>45</v>
      </c>
      <c r="G88" s="3" t="s">
        <v>45</v>
      </c>
      <c r="H88" s="3" t="s">
        <v>46</v>
      </c>
      <c r="I88" s="3" t="s">
        <v>46</v>
      </c>
      <c r="J88" s="3" t="s">
        <v>46</v>
      </c>
      <c r="K88" s="3">
        <v>40</v>
      </c>
      <c r="L88" s="3" t="s">
        <v>49</v>
      </c>
      <c r="M88" s="3" t="s">
        <v>68</v>
      </c>
      <c r="N88" s="3" t="s">
        <v>64</v>
      </c>
      <c r="O88" s="3" t="s">
        <v>64</v>
      </c>
      <c r="P88" s="3" t="s">
        <v>46</v>
      </c>
      <c r="Q88" s="3" t="s">
        <v>46</v>
      </c>
      <c r="R88" s="3" t="s">
        <v>46</v>
      </c>
      <c r="S88" s="3" t="s">
        <v>46</v>
      </c>
      <c r="T88" s="3" t="s">
        <v>46</v>
      </c>
      <c r="U88" s="3" t="s">
        <v>46</v>
      </c>
      <c r="V88" s="3" t="s">
        <v>46</v>
      </c>
      <c r="W88" s="3" t="s">
        <v>46</v>
      </c>
      <c r="X88" s="3" t="s">
        <v>46</v>
      </c>
      <c r="Y88" s="3" t="s">
        <v>46</v>
      </c>
      <c r="Z88" s="3" t="s">
        <v>500</v>
      </c>
      <c r="AA88" s="3" t="s">
        <v>508</v>
      </c>
      <c r="AB88" s="3" t="s">
        <v>51</v>
      </c>
      <c r="AC88" s="3" t="s">
        <v>509</v>
      </c>
      <c r="AD88" s="3" t="s">
        <v>510</v>
      </c>
    </row>
    <row r="89" spans="1:30" x14ac:dyDescent="0.3">
      <c r="A89" s="3">
        <v>133461</v>
      </c>
      <c r="B89" s="3" t="s">
        <v>43</v>
      </c>
      <c r="C89" s="3" t="s">
        <v>63</v>
      </c>
      <c r="D89" s="3" t="s">
        <v>45</v>
      </c>
      <c r="E89" s="3" t="s">
        <v>45</v>
      </c>
      <c r="F89" s="3" t="s">
        <v>45</v>
      </c>
      <c r="G89" s="3" t="s">
        <v>57</v>
      </c>
      <c r="H89" s="3" t="s">
        <v>46</v>
      </c>
      <c r="I89" s="3" t="s">
        <v>46</v>
      </c>
      <c r="J89" s="3" t="s">
        <v>46</v>
      </c>
      <c r="K89" s="3">
        <v>35</v>
      </c>
      <c r="L89" s="3" t="s">
        <v>49</v>
      </c>
      <c r="M89" s="3" t="s">
        <v>68</v>
      </c>
      <c r="N89" s="3" t="s">
        <v>64</v>
      </c>
      <c r="O89" s="3" t="s">
        <v>65</v>
      </c>
      <c r="P89" s="3" t="s">
        <v>46</v>
      </c>
      <c r="Q89" s="3" t="s">
        <v>46</v>
      </c>
      <c r="R89" s="3" t="s">
        <v>46</v>
      </c>
      <c r="S89" s="3" t="s">
        <v>46</v>
      </c>
      <c r="T89" s="3" t="s">
        <v>46</v>
      </c>
      <c r="U89" s="3" t="s">
        <v>46</v>
      </c>
      <c r="V89" s="3" t="s">
        <v>46</v>
      </c>
      <c r="W89" s="3" t="s">
        <v>46</v>
      </c>
      <c r="X89" s="3" t="s">
        <v>46</v>
      </c>
      <c r="Y89" s="3" t="s">
        <v>46</v>
      </c>
      <c r="Z89" s="3" t="s">
        <v>511</v>
      </c>
      <c r="AA89" s="3" t="s">
        <v>512</v>
      </c>
      <c r="AB89" s="3" t="s">
        <v>69</v>
      </c>
      <c r="AC89" s="3" t="s">
        <v>513</v>
      </c>
      <c r="AD89" s="3" t="s">
        <v>514</v>
      </c>
    </row>
    <row r="90" spans="1:30" x14ac:dyDescent="0.3">
      <c r="A90" s="3">
        <v>133460</v>
      </c>
      <c r="B90" s="3" t="s">
        <v>43</v>
      </c>
      <c r="C90" s="3" t="s">
        <v>63</v>
      </c>
      <c r="D90" s="3" t="s">
        <v>45</v>
      </c>
      <c r="E90" s="3" t="s">
        <v>45</v>
      </c>
      <c r="F90" s="3" t="s">
        <v>45</v>
      </c>
      <c r="G90" s="3" t="s">
        <v>57</v>
      </c>
      <c r="H90" s="3" t="s">
        <v>46</v>
      </c>
      <c r="I90" s="3" t="s">
        <v>46</v>
      </c>
      <c r="J90" s="3" t="s">
        <v>46</v>
      </c>
      <c r="K90" s="3">
        <v>35</v>
      </c>
      <c r="L90" s="3" t="s">
        <v>49</v>
      </c>
      <c r="M90" s="3" t="s">
        <v>68</v>
      </c>
      <c r="N90" s="3" t="s">
        <v>64</v>
      </c>
      <c r="O90" s="3" t="s">
        <v>65</v>
      </c>
      <c r="P90" s="3" t="s">
        <v>46</v>
      </c>
      <c r="Q90" s="3" t="s">
        <v>46</v>
      </c>
      <c r="R90" s="3" t="s">
        <v>46</v>
      </c>
      <c r="S90" s="3" t="s">
        <v>46</v>
      </c>
      <c r="T90" s="3" t="s">
        <v>46</v>
      </c>
      <c r="U90" s="3" t="s">
        <v>46</v>
      </c>
      <c r="V90" s="3" t="s">
        <v>46</v>
      </c>
      <c r="W90" s="3" t="s">
        <v>46</v>
      </c>
      <c r="X90" s="3" t="s">
        <v>46</v>
      </c>
      <c r="Y90" s="3" t="s">
        <v>46</v>
      </c>
      <c r="Z90" s="3" t="s">
        <v>511</v>
      </c>
      <c r="AA90" s="3" t="s">
        <v>515</v>
      </c>
      <c r="AB90" s="3" t="s">
        <v>61</v>
      </c>
      <c r="AC90" s="3" t="s">
        <v>516</v>
      </c>
      <c r="AD90" s="3" t="s">
        <v>517</v>
      </c>
    </row>
    <row r="91" spans="1:30" x14ac:dyDescent="0.3">
      <c r="A91" s="3">
        <v>133459</v>
      </c>
      <c r="B91" s="3" t="s">
        <v>43</v>
      </c>
      <c r="C91" s="3" t="s">
        <v>63</v>
      </c>
      <c r="D91" s="3" t="s">
        <v>45</v>
      </c>
      <c r="E91" s="3" t="s">
        <v>45</v>
      </c>
      <c r="F91" s="3" t="s">
        <v>45</v>
      </c>
      <c r="G91" s="3" t="s">
        <v>57</v>
      </c>
      <c r="H91" s="3" t="s">
        <v>46</v>
      </c>
      <c r="I91" s="3" t="s">
        <v>46</v>
      </c>
      <c r="J91" s="3" t="s">
        <v>46</v>
      </c>
      <c r="K91" s="3">
        <v>35</v>
      </c>
      <c r="L91" s="3" t="s">
        <v>49</v>
      </c>
      <c r="M91" s="3" t="s">
        <v>68</v>
      </c>
      <c r="N91" s="3" t="s">
        <v>64</v>
      </c>
      <c r="O91" s="3" t="s">
        <v>65</v>
      </c>
      <c r="P91" s="3" t="s">
        <v>46</v>
      </c>
      <c r="Q91" s="3" t="s">
        <v>46</v>
      </c>
      <c r="R91" s="3" t="s">
        <v>46</v>
      </c>
      <c r="S91" s="3" t="s">
        <v>46</v>
      </c>
      <c r="T91" s="3" t="s">
        <v>46</v>
      </c>
      <c r="U91" s="3" t="s">
        <v>46</v>
      </c>
      <c r="V91" s="3" t="s">
        <v>46</v>
      </c>
      <c r="W91" s="3" t="s">
        <v>46</v>
      </c>
      <c r="X91" s="3" t="s">
        <v>46</v>
      </c>
      <c r="Y91" s="3" t="s">
        <v>46</v>
      </c>
      <c r="Z91" s="3" t="s">
        <v>518</v>
      </c>
      <c r="AA91" s="3" t="s">
        <v>519</v>
      </c>
      <c r="AB91" s="3" t="s">
        <v>53</v>
      </c>
      <c r="AC91" s="3" t="s">
        <v>520</v>
      </c>
      <c r="AD91" s="3" t="s">
        <v>521</v>
      </c>
    </row>
    <row r="92" spans="1:30" x14ac:dyDescent="0.3">
      <c r="A92" s="3">
        <v>133458</v>
      </c>
      <c r="B92" s="3" t="s">
        <v>43</v>
      </c>
      <c r="C92" s="3" t="s">
        <v>63</v>
      </c>
      <c r="D92" s="3" t="s">
        <v>45</v>
      </c>
      <c r="E92" s="3" t="s">
        <v>57</v>
      </c>
      <c r="F92" s="3" t="s">
        <v>45</v>
      </c>
      <c r="G92" s="3" t="s">
        <v>57</v>
      </c>
      <c r="H92" s="3" t="s">
        <v>46</v>
      </c>
      <c r="I92" s="3" t="s">
        <v>46</v>
      </c>
      <c r="J92" s="3" t="s">
        <v>46</v>
      </c>
      <c r="K92" s="3">
        <v>30</v>
      </c>
      <c r="L92" s="3" t="s">
        <v>49</v>
      </c>
      <c r="M92" s="3" t="s">
        <v>49</v>
      </c>
      <c r="N92" s="3" t="s">
        <v>64</v>
      </c>
      <c r="O92" s="3" t="s">
        <v>65</v>
      </c>
      <c r="P92" s="3" t="s">
        <v>46</v>
      </c>
      <c r="Q92" s="3" t="s">
        <v>46</v>
      </c>
      <c r="R92" s="3" t="s">
        <v>46</v>
      </c>
      <c r="S92" s="3" t="s">
        <v>46</v>
      </c>
      <c r="T92" s="3" t="s">
        <v>46</v>
      </c>
      <c r="U92" s="3" t="s">
        <v>46</v>
      </c>
      <c r="V92" s="3" t="s">
        <v>46</v>
      </c>
      <c r="W92" s="3" t="s">
        <v>46</v>
      </c>
      <c r="X92" s="3" t="s">
        <v>46</v>
      </c>
      <c r="Y92" s="3" t="s">
        <v>46</v>
      </c>
      <c r="Z92" s="3" t="s">
        <v>518</v>
      </c>
      <c r="AA92" s="3" t="s">
        <v>522</v>
      </c>
      <c r="AB92" s="3" t="s">
        <v>53</v>
      </c>
      <c r="AC92" s="3" t="s">
        <v>523</v>
      </c>
      <c r="AD92" s="3" t="s">
        <v>524</v>
      </c>
    </row>
    <row r="93" spans="1:30" x14ac:dyDescent="0.3">
      <c r="A93" s="3">
        <v>133457</v>
      </c>
      <c r="B93" s="3" t="s">
        <v>43</v>
      </c>
      <c r="C93" s="3" t="s">
        <v>63</v>
      </c>
      <c r="D93" s="3" t="s">
        <v>54</v>
      </c>
      <c r="E93" s="3" t="s">
        <v>54</v>
      </c>
      <c r="F93" s="3" t="s">
        <v>54</v>
      </c>
      <c r="G93" s="3" t="s">
        <v>66</v>
      </c>
      <c r="H93" s="3" t="s">
        <v>46</v>
      </c>
      <c r="I93" s="3" t="s">
        <v>46</v>
      </c>
      <c r="J93" s="3" t="s">
        <v>46</v>
      </c>
      <c r="K93" s="3">
        <v>-27</v>
      </c>
      <c r="L93" s="3" t="s">
        <v>75</v>
      </c>
      <c r="M93" s="3" t="s">
        <v>81</v>
      </c>
      <c r="N93" s="3" t="s">
        <v>70</v>
      </c>
      <c r="O93" s="3" t="s">
        <v>76</v>
      </c>
      <c r="P93" s="3" t="s">
        <v>46</v>
      </c>
      <c r="Q93" s="3" t="s">
        <v>46</v>
      </c>
      <c r="R93" s="3" t="s">
        <v>46</v>
      </c>
      <c r="S93" s="3" t="s">
        <v>46</v>
      </c>
      <c r="T93" s="3" t="s">
        <v>46</v>
      </c>
      <c r="U93" s="3" t="s">
        <v>46</v>
      </c>
      <c r="V93" s="3" t="s">
        <v>46</v>
      </c>
      <c r="W93" s="3" t="s">
        <v>46</v>
      </c>
      <c r="X93" s="3" t="s">
        <v>46</v>
      </c>
      <c r="Y93" s="3" t="s">
        <v>46</v>
      </c>
      <c r="Z93" s="3" t="s">
        <v>525</v>
      </c>
      <c r="AA93" s="3" t="s">
        <v>526</v>
      </c>
      <c r="AB93" s="3" t="s">
        <v>72</v>
      </c>
      <c r="AC93" s="3" t="s">
        <v>527</v>
      </c>
      <c r="AD93" s="3" t="s">
        <v>528</v>
      </c>
    </row>
    <row r="94" spans="1:30" x14ac:dyDescent="0.3">
      <c r="A94" s="3">
        <v>133456</v>
      </c>
      <c r="B94" s="3" t="s">
        <v>43</v>
      </c>
      <c r="C94" s="3" t="s">
        <v>63</v>
      </c>
      <c r="D94" s="3" t="s">
        <v>45</v>
      </c>
      <c r="E94" s="3" t="s">
        <v>45</v>
      </c>
      <c r="F94" s="3" t="s">
        <v>45</v>
      </c>
      <c r="G94" s="3" t="s">
        <v>57</v>
      </c>
      <c r="H94" s="3" t="s">
        <v>46</v>
      </c>
      <c r="I94" s="3" t="s">
        <v>46</v>
      </c>
      <c r="J94" s="3" t="s">
        <v>46</v>
      </c>
      <c r="K94" s="3">
        <v>35</v>
      </c>
      <c r="L94" s="3" t="s">
        <v>49</v>
      </c>
      <c r="M94" s="3" t="s">
        <v>68</v>
      </c>
      <c r="N94" s="3" t="s">
        <v>64</v>
      </c>
      <c r="O94" s="3" t="s">
        <v>65</v>
      </c>
      <c r="P94" s="3" t="s">
        <v>46</v>
      </c>
      <c r="Q94" s="3" t="s">
        <v>46</v>
      </c>
      <c r="R94" s="3" t="s">
        <v>46</v>
      </c>
      <c r="S94" s="3" t="s">
        <v>46</v>
      </c>
      <c r="T94" s="3" t="s">
        <v>46</v>
      </c>
      <c r="U94" s="3" t="s">
        <v>46</v>
      </c>
      <c r="V94" s="3" t="s">
        <v>46</v>
      </c>
      <c r="W94" s="3" t="s">
        <v>46</v>
      </c>
      <c r="X94" s="3" t="s">
        <v>46</v>
      </c>
      <c r="Y94" s="3" t="s">
        <v>46</v>
      </c>
      <c r="Z94" s="3" t="s">
        <v>525</v>
      </c>
      <c r="AA94" s="3" t="s">
        <v>529</v>
      </c>
      <c r="AB94" s="3" t="s">
        <v>52</v>
      </c>
      <c r="AC94" s="3" t="s">
        <v>530</v>
      </c>
      <c r="AD94" s="3" t="s">
        <v>531</v>
      </c>
    </row>
    <row r="95" spans="1:30" x14ac:dyDescent="0.3">
      <c r="A95" s="3">
        <v>133437</v>
      </c>
      <c r="B95" s="3" t="s">
        <v>43</v>
      </c>
      <c r="C95" s="3" t="s">
        <v>63</v>
      </c>
      <c r="D95" s="3" t="s">
        <v>45</v>
      </c>
      <c r="E95" s="3" t="s">
        <v>45</v>
      </c>
      <c r="F95" s="3" t="s">
        <v>45</v>
      </c>
      <c r="G95" s="3" t="s">
        <v>73</v>
      </c>
      <c r="H95" s="3" t="s">
        <v>46</v>
      </c>
      <c r="I95" s="3" t="s">
        <v>46</v>
      </c>
      <c r="J95" s="3" t="s">
        <v>46</v>
      </c>
      <c r="K95" s="3">
        <v>25</v>
      </c>
      <c r="L95" s="3" t="s">
        <v>49</v>
      </c>
      <c r="M95" s="3" t="s">
        <v>68</v>
      </c>
      <c r="N95" s="3" t="s">
        <v>64</v>
      </c>
      <c r="O95" s="3" t="s">
        <v>74</v>
      </c>
      <c r="P95" s="3" t="s">
        <v>46</v>
      </c>
      <c r="Q95" s="3" t="s">
        <v>46</v>
      </c>
      <c r="R95" s="3" t="s">
        <v>46</v>
      </c>
      <c r="S95" s="3" t="s">
        <v>46</v>
      </c>
      <c r="T95" s="3" t="s">
        <v>46</v>
      </c>
      <c r="U95" s="3" t="s">
        <v>46</v>
      </c>
      <c r="V95" s="3" t="s">
        <v>46</v>
      </c>
      <c r="W95" s="3" t="s">
        <v>46</v>
      </c>
      <c r="X95" s="3" t="s">
        <v>46</v>
      </c>
      <c r="Y95" s="3" t="s">
        <v>46</v>
      </c>
      <c r="Z95" s="3" t="s">
        <v>532</v>
      </c>
      <c r="AA95" s="3" t="s">
        <v>533</v>
      </c>
      <c r="AB95" s="3" t="s">
        <v>534</v>
      </c>
      <c r="AC95" s="3" t="s">
        <v>535</v>
      </c>
      <c r="AD95" s="3" t="s">
        <v>536</v>
      </c>
    </row>
    <row r="96" spans="1:30" x14ac:dyDescent="0.3">
      <c r="A96" s="3">
        <v>133420</v>
      </c>
      <c r="B96" s="3" t="s">
        <v>43</v>
      </c>
      <c r="C96" s="3" t="s">
        <v>63</v>
      </c>
      <c r="D96" s="3" t="s">
        <v>45</v>
      </c>
      <c r="E96" s="3" t="s">
        <v>45</v>
      </c>
      <c r="F96" s="3" t="s">
        <v>45</v>
      </c>
      <c r="G96" s="3" t="s">
        <v>57</v>
      </c>
      <c r="H96" s="3" t="s">
        <v>46</v>
      </c>
      <c r="I96" s="3" t="s">
        <v>46</v>
      </c>
      <c r="J96" s="3" t="s">
        <v>46</v>
      </c>
      <c r="K96" s="3">
        <v>35</v>
      </c>
      <c r="L96" s="3" t="s">
        <v>49</v>
      </c>
      <c r="M96" s="3" t="s">
        <v>68</v>
      </c>
      <c r="N96" s="3" t="s">
        <v>64</v>
      </c>
      <c r="O96" s="3" t="s">
        <v>65</v>
      </c>
      <c r="P96" s="3" t="s">
        <v>46</v>
      </c>
      <c r="Q96" s="3" t="s">
        <v>46</v>
      </c>
      <c r="R96" s="3" t="s">
        <v>46</v>
      </c>
      <c r="S96" s="3" t="s">
        <v>46</v>
      </c>
      <c r="T96" s="3" t="s">
        <v>46</v>
      </c>
      <c r="U96" s="3" t="s">
        <v>46</v>
      </c>
      <c r="V96" s="3" t="s">
        <v>46</v>
      </c>
      <c r="W96" s="3" t="s">
        <v>46</v>
      </c>
      <c r="X96" s="3" t="s">
        <v>46</v>
      </c>
      <c r="Y96" s="3" t="s">
        <v>46</v>
      </c>
      <c r="Z96" s="3" t="s">
        <v>537</v>
      </c>
      <c r="AA96" s="3" t="s">
        <v>538</v>
      </c>
      <c r="AB96" s="3" t="s">
        <v>59</v>
      </c>
      <c r="AC96" s="3" t="s">
        <v>539</v>
      </c>
      <c r="AD96" s="3" t="s">
        <v>540</v>
      </c>
    </row>
    <row r="97" spans="1:30" x14ac:dyDescent="0.3">
      <c r="A97" s="3">
        <v>133411</v>
      </c>
      <c r="B97" s="3" t="s">
        <v>43</v>
      </c>
      <c r="C97" s="3" t="s">
        <v>63</v>
      </c>
      <c r="D97" s="3" t="s">
        <v>54</v>
      </c>
      <c r="E97" s="3" t="s">
        <v>66</v>
      </c>
      <c r="F97" s="3" t="s">
        <v>45</v>
      </c>
      <c r="G97" s="3" t="s">
        <v>66</v>
      </c>
      <c r="H97" s="3" t="s">
        <v>46</v>
      </c>
      <c r="I97" s="3" t="s">
        <v>46</v>
      </c>
      <c r="J97" s="3" t="s">
        <v>46</v>
      </c>
      <c r="K97" s="3">
        <v>6</v>
      </c>
      <c r="L97" s="3" t="s">
        <v>75</v>
      </c>
      <c r="M97" s="3" t="s">
        <v>67</v>
      </c>
      <c r="N97" s="3" t="s">
        <v>64</v>
      </c>
      <c r="O97" s="3" t="s">
        <v>76</v>
      </c>
      <c r="P97" s="3" t="s">
        <v>46</v>
      </c>
      <c r="Q97" s="3" t="s">
        <v>46</v>
      </c>
      <c r="R97" s="3" t="s">
        <v>46</v>
      </c>
      <c r="S97" s="3" t="s">
        <v>46</v>
      </c>
      <c r="T97" s="3" t="s">
        <v>46</v>
      </c>
      <c r="U97" s="3" t="s">
        <v>46</v>
      </c>
      <c r="V97" s="3" t="s">
        <v>46</v>
      </c>
      <c r="W97" s="3" t="s">
        <v>46</v>
      </c>
      <c r="X97" s="3" t="s">
        <v>46</v>
      </c>
      <c r="Y97" s="3" t="s">
        <v>46</v>
      </c>
      <c r="Z97" s="3" t="s">
        <v>541</v>
      </c>
      <c r="AA97" s="3" t="s">
        <v>542</v>
      </c>
      <c r="AB97" s="3" t="s">
        <v>543</v>
      </c>
      <c r="AC97" s="3" t="s">
        <v>544</v>
      </c>
      <c r="AD97" s="3" t="s">
        <v>545</v>
      </c>
    </row>
    <row r="98" spans="1:30" x14ac:dyDescent="0.3">
      <c r="A98" s="3">
        <v>133409</v>
      </c>
      <c r="B98" s="3" t="s">
        <v>43</v>
      </c>
      <c r="C98" s="3" t="s">
        <v>63</v>
      </c>
      <c r="D98" s="3" t="s">
        <v>45</v>
      </c>
      <c r="E98" s="3" t="s">
        <v>57</v>
      </c>
      <c r="F98" s="3" t="s">
        <v>45</v>
      </c>
      <c r="G98" s="3" t="s">
        <v>57</v>
      </c>
      <c r="H98" s="3" t="s">
        <v>46</v>
      </c>
      <c r="I98" s="3" t="s">
        <v>46</v>
      </c>
      <c r="J98" s="3" t="s">
        <v>46</v>
      </c>
      <c r="K98" s="3">
        <v>30</v>
      </c>
      <c r="L98" s="3" t="s">
        <v>49</v>
      </c>
      <c r="M98" s="3" t="s">
        <v>49</v>
      </c>
      <c r="N98" s="3" t="s">
        <v>64</v>
      </c>
      <c r="O98" s="3" t="s">
        <v>65</v>
      </c>
      <c r="P98" s="3" t="s">
        <v>46</v>
      </c>
      <c r="Q98" s="3" t="s">
        <v>46</v>
      </c>
      <c r="R98" s="3" t="s">
        <v>46</v>
      </c>
      <c r="S98" s="3" t="s">
        <v>46</v>
      </c>
      <c r="T98" s="3" t="s">
        <v>46</v>
      </c>
      <c r="U98" s="3" t="s">
        <v>46</v>
      </c>
      <c r="V98" s="3" t="s">
        <v>46</v>
      </c>
      <c r="W98" s="3" t="s">
        <v>46</v>
      </c>
      <c r="X98" s="3" t="s">
        <v>46</v>
      </c>
      <c r="Y98" s="3" t="s">
        <v>46</v>
      </c>
      <c r="Z98" s="3" t="s">
        <v>546</v>
      </c>
      <c r="AA98" s="3" t="s">
        <v>547</v>
      </c>
      <c r="AB98" s="3" t="s">
        <v>548</v>
      </c>
      <c r="AC98" s="3" t="s">
        <v>549</v>
      </c>
      <c r="AD98" s="3" t="s">
        <v>550</v>
      </c>
    </row>
    <row r="99" spans="1:30" x14ac:dyDescent="0.3">
      <c r="A99" s="3">
        <v>133407</v>
      </c>
      <c r="B99" s="3" t="s">
        <v>43</v>
      </c>
      <c r="C99" s="3" t="s">
        <v>63</v>
      </c>
      <c r="D99" s="3" t="s">
        <v>45</v>
      </c>
      <c r="E99" s="3" t="s">
        <v>45</v>
      </c>
      <c r="F99" s="3" t="s">
        <v>45</v>
      </c>
      <c r="G99" s="3" t="s">
        <v>57</v>
      </c>
      <c r="H99" s="3" t="s">
        <v>46</v>
      </c>
      <c r="I99" s="3" t="s">
        <v>46</v>
      </c>
      <c r="J99" s="3" t="s">
        <v>46</v>
      </c>
      <c r="K99" s="3">
        <v>35</v>
      </c>
      <c r="L99" s="3" t="s">
        <v>49</v>
      </c>
      <c r="M99" s="3" t="s">
        <v>68</v>
      </c>
      <c r="N99" s="3" t="s">
        <v>71</v>
      </c>
      <c r="O99" s="3" t="s">
        <v>65</v>
      </c>
      <c r="P99" s="3" t="s">
        <v>46</v>
      </c>
      <c r="Q99" s="3" t="s">
        <v>46</v>
      </c>
      <c r="R99" s="3" t="s">
        <v>46</v>
      </c>
      <c r="S99" s="3" t="s">
        <v>46</v>
      </c>
      <c r="T99" s="3" t="s">
        <v>46</v>
      </c>
      <c r="U99" s="3" t="s">
        <v>46</v>
      </c>
      <c r="V99" s="3" t="s">
        <v>46</v>
      </c>
      <c r="W99" s="3" t="s">
        <v>46</v>
      </c>
      <c r="X99" s="3" t="s">
        <v>46</v>
      </c>
      <c r="Y99" s="3" t="s">
        <v>46</v>
      </c>
      <c r="Z99" s="3" t="s">
        <v>551</v>
      </c>
      <c r="AA99" s="3" t="s">
        <v>552</v>
      </c>
      <c r="AB99" s="3" t="s">
        <v>53</v>
      </c>
      <c r="AC99" s="3" t="s">
        <v>553</v>
      </c>
      <c r="AD99" s="3" t="s">
        <v>554</v>
      </c>
    </row>
    <row r="100" spans="1:30" x14ac:dyDescent="0.3">
      <c r="A100" s="3">
        <v>133406</v>
      </c>
      <c r="B100" s="3" t="s">
        <v>43</v>
      </c>
      <c r="C100" s="3" t="s">
        <v>63</v>
      </c>
      <c r="D100" s="3" t="s">
        <v>45</v>
      </c>
      <c r="E100" s="3" t="s">
        <v>66</v>
      </c>
      <c r="F100" s="3" t="s">
        <v>45</v>
      </c>
      <c r="G100" s="3" t="s">
        <v>57</v>
      </c>
      <c r="H100" s="3" t="s">
        <v>46</v>
      </c>
      <c r="I100" s="3" t="s">
        <v>46</v>
      </c>
      <c r="J100" s="3" t="s">
        <v>46</v>
      </c>
      <c r="K100" s="3">
        <v>28</v>
      </c>
      <c r="L100" s="3" t="s">
        <v>49</v>
      </c>
      <c r="M100" s="3" t="s">
        <v>67</v>
      </c>
      <c r="N100" s="3" t="s">
        <v>64</v>
      </c>
      <c r="O100" s="3" t="s">
        <v>65</v>
      </c>
      <c r="P100" s="3" t="s">
        <v>46</v>
      </c>
      <c r="Q100" s="3" t="s">
        <v>46</v>
      </c>
      <c r="R100" s="3" t="s">
        <v>46</v>
      </c>
      <c r="S100" s="3" t="s">
        <v>46</v>
      </c>
      <c r="T100" s="3" t="s">
        <v>46</v>
      </c>
      <c r="U100" s="3" t="s">
        <v>46</v>
      </c>
      <c r="V100" s="3" t="s">
        <v>46</v>
      </c>
      <c r="W100" s="3" t="s">
        <v>46</v>
      </c>
      <c r="X100" s="3" t="s">
        <v>46</v>
      </c>
      <c r="Y100" s="3" t="s">
        <v>46</v>
      </c>
      <c r="Z100" s="3" t="s">
        <v>555</v>
      </c>
      <c r="AA100" s="3" t="s">
        <v>556</v>
      </c>
      <c r="AB100" s="3" t="s">
        <v>92</v>
      </c>
      <c r="AC100" s="3" t="s">
        <v>557</v>
      </c>
      <c r="AD100" s="3" t="s">
        <v>558</v>
      </c>
    </row>
    <row r="101" spans="1:30" x14ac:dyDescent="0.3">
      <c r="A101" s="3">
        <v>133405</v>
      </c>
      <c r="B101" s="3" t="s">
        <v>43</v>
      </c>
      <c r="C101" s="3" t="s">
        <v>63</v>
      </c>
      <c r="D101" s="3" t="s">
        <v>45</v>
      </c>
      <c r="E101" s="3" t="s">
        <v>45</v>
      </c>
      <c r="F101" s="3" t="s">
        <v>45</v>
      </c>
      <c r="G101" s="3" t="s">
        <v>57</v>
      </c>
      <c r="H101" s="3" t="s">
        <v>46</v>
      </c>
      <c r="I101" s="3" t="s">
        <v>46</v>
      </c>
      <c r="J101" s="3" t="s">
        <v>46</v>
      </c>
      <c r="K101" s="3">
        <v>35</v>
      </c>
      <c r="L101" s="3" t="s">
        <v>49</v>
      </c>
      <c r="M101" s="3" t="s">
        <v>68</v>
      </c>
      <c r="N101" s="3" t="s">
        <v>64</v>
      </c>
      <c r="O101" s="3" t="s">
        <v>65</v>
      </c>
      <c r="P101" s="3" t="s">
        <v>46</v>
      </c>
      <c r="Q101" s="3" t="s">
        <v>46</v>
      </c>
      <c r="R101" s="3" t="s">
        <v>46</v>
      </c>
      <c r="S101" s="3" t="s">
        <v>46</v>
      </c>
      <c r="T101" s="3" t="s">
        <v>46</v>
      </c>
      <c r="U101" s="3" t="s">
        <v>46</v>
      </c>
      <c r="V101" s="3" t="s">
        <v>46</v>
      </c>
      <c r="W101" s="3" t="s">
        <v>46</v>
      </c>
      <c r="X101" s="3" t="s">
        <v>46</v>
      </c>
      <c r="Y101" s="3" t="s">
        <v>46</v>
      </c>
      <c r="Z101" s="3" t="s">
        <v>559</v>
      </c>
      <c r="AA101" s="3" t="s">
        <v>560</v>
      </c>
      <c r="AB101" s="3" t="s">
        <v>53</v>
      </c>
      <c r="AC101" s="3" t="s">
        <v>561</v>
      </c>
      <c r="AD101" s="3" t="s">
        <v>562</v>
      </c>
    </row>
    <row r="102" spans="1:30" x14ac:dyDescent="0.3">
      <c r="A102" s="3">
        <v>133404</v>
      </c>
      <c r="B102" s="3" t="s">
        <v>43</v>
      </c>
      <c r="C102" s="3" t="s">
        <v>63</v>
      </c>
      <c r="D102" s="3" t="s">
        <v>45</v>
      </c>
      <c r="E102" s="3" t="s">
        <v>45</v>
      </c>
      <c r="F102" s="3" t="s">
        <v>45</v>
      </c>
      <c r="G102" s="3" t="s">
        <v>57</v>
      </c>
      <c r="H102" s="3" t="s">
        <v>46</v>
      </c>
      <c r="I102" s="3" t="s">
        <v>46</v>
      </c>
      <c r="J102" s="3" t="s">
        <v>46</v>
      </c>
      <c r="K102" s="3">
        <v>35</v>
      </c>
      <c r="L102" s="3" t="s">
        <v>49</v>
      </c>
      <c r="M102" s="3" t="s">
        <v>68</v>
      </c>
      <c r="N102" s="3" t="s">
        <v>64</v>
      </c>
      <c r="O102" s="3" t="s">
        <v>65</v>
      </c>
      <c r="P102" s="3" t="s">
        <v>46</v>
      </c>
      <c r="Q102" s="3" t="s">
        <v>46</v>
      </c>
      <c r="R102" s="3" t="s">
        <v>46</v>
      </c>
      <c r="S102" s="3" t="s">
        <v>46</v>
      </c>
      <c r="T102" s="3" t="s">
        <v>46</v>
      </c>
      <c r="U102" s="3" t="s">
        <v>46</v>
      </c>
      <c r="V102" s="3" t="s">
        <v>46</v>
      </c>
      <c r="W102" s="3" t="s">
        <v>46</v>
      </c>
      <c r="X102" s="3" t="s">
        <v>46</v>
      </c>
      <c r="Y102" s="3" t="s">
        <v>46</v>
      </c>
      <c r="Z102" s="3" t="s">
        <v>563</v>
      </c>
      <c r="AA102" s="3" t="s">
        <v>564</v>
      </c>
      <c r="AB102" s="3" t="s">
        <v>59</v>
      </c>
      <c r="AC102" s="3" t="s">
        <v>565</v>
      </c>
      <c r="AD102" s="3" t="s">
        <v>566</v>
      </c>
    </row>
    <row r="103" spans="1:30" x14ac:dyDescent="0.3">
      <c r="A103" s="3">
        <v>133403</v>
      </c>
      <c r="B103" s="3" t="s">
        <v>43</v>
      </c>
      <c r="C103" s="3" t="s">
        <v>63</v>
      </c>
      <c r="D103" s="3" t="s">
        <v>45</v>
      </c>
      <c r="E103" s="3" t="s">
        <v>45</v>
      </c>
      <c r="F103" s="3" t="s">
        <v>45</v>
      </c>
      <c r="G103" s="3" t="s">
        <v>57</v>
      </c>
      <c r="H103" s="3" t="s">
        <v>46</v>
      </c>
      <c r="I103" s="3" t="s">
        <v>46</v>
      </c>
      <c r="J103" s="3" t="s">
        <v>46</v>
      </c>
      <c r="K103" s="3">
        <v>35</v>
      </c>
      <c r="L103" s="3" t="s">
        <v>49</v>
      </c>
      <c r="M103" s="3" t="s">
        <v>68</v>
      </c>
      <c r="N103" s="3" t="s">
        <v>64</v>
      </c>
      <c r="O103" s="3" t="s">
        <v>65</v>
      </c>
      <c r="P103" s="3" t="s">
        <v>46</v>
      </c>
      <c r="Q103" s="3" t="s">
        <v>46</v>
      </c>
      <c r="R103" s="3" t="s">
        <v>46</v>
      </c>
      <c r="S103" s="3" t="s">
        <v>46</v>
      </c>
      <c r="T103" s="3" t="s">
        <v>46</v>
      </c>
      <c r="U103" s="3" t="s">
        <v>46</v>
      </c>
      <c r="V103" s="3" t="s">
        <v>46</v>
      </c>
      <c r="W103" s="3" t="s">
        <v>46</v>
      </c>
      <c r="X103" s="3" t="s">
        <v>46</v>
      </c>
      <c r="Y103" s="3" t="s">
        <v>46</v>
      </c>
      <c r="Z103" s="3" t="s">
        <v>567</v>
      </c>
      <c r="AA103" s="3" t="s">
        <v>568</v>
      </c>
      <c r="AB103" s="3" t="s">
        <v>569</v>
      </c>
      <c r="AC103" s="3" t="s">
        <v>570</v>
      </c>
      <c r="AD103" s="3" t="s">
        <v>571</v>
      </c>
    </row>
    <row r="104" spans="1:30" x14ac:dyDescent="0.3">
      <c r="A104" s="3">
        <v>133402</v>
      </c>
      <c r="B104" s="3" t="s">
        <v>43</v>
      </c>
      <c r="C104" s="3" t="s">
        <v>63</v>
      </c>
      <c r="D104" s="3" t="s">
        <v>45</v>
      </c>
      <c r="E104" s="3" t="s">
        <v>45</v>
      </c>
      <c r="F104" s="3" t="s">
        <v>45</v>
      </c>
      <c r="G104" s="3" t="s">
        <v>57</v>
      </c>
      <c r="H104" s="3" t="s">
        <v>46</v>
      </c>
      <c r="I104" s="3" t="s">
        <v>46</v>
      </c>
      <c r="J104" s="3" t="s">
        <v>46</v>
      </c>
      <c r="K104" s="3">
        <v>35</v>
      </c>
      <c r="L104" s="3" t="s">
        <v>49</v>
      </c>
      <c r="M104" s="3" t="s">
        <v>68</v>
      </c>
      <c r="N104" s="3" t="s">
        <v>64</v>
      </c>
      <c r="O104" s="3" t="s">
        <v>65</v>
      </c>
      <c r="P104" s="3" t="s">
        <v>46</v>
      </c>
      <c r="Q104" s="3" t="s">
        <v>46</v>
      </c>
      <c r="R104" s="3" t="s">
        <v>46</v>
      </c>
      <c r="S104" s="3" t="s">
        <v>46</v>
      </c>
      <c r="T104" s="3" t="s">
        <v>46</v>
      </c>
      <c r="U104" s="3" t="s">
        <v>46</v>
      </c>
      <c r="V104" s="3" t="s">
        <v>46</v>
      </c>
      <c r="W104" s="3" t="s">
        <v>46</v>
      </c>
      <c r="X104" s="3" t="s">
        <v>46</v>
      </c>
      <c r="Y104" s="3" t="s">
        <v>46</v>
      </c>
      <c r="Z104" s="3" t="s">
        <v>572</v>
      </c>
      <c r="AA104" s="3" t="s">
        <v>573</v>
      </c>
      <c r="AB104" s="3" t="s">
        <v>53</v>
      </c>
      <c r="AC104" s="3" t="s">
        <v>574</v>
      </c>
      <c r="AD104" s="3" t="s">
        <v>575</v>
      </c>
    </row>
    <row r="105" spans="1:3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1:30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1:30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1:30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1:30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spans="1:30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0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spans="1:30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spans="1:30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spans="1:30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spans="1:30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spans="1:30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spans="1:30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spans="1:30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spans="1:30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spans="1:30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spans="1:30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spans="1:30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spans="1:30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spans="1:30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spans="1:30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spans="1:30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spans="1:30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spans="1:30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spans="1:30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spans="1:30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spans="1:30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spans="1:30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spans="1:30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spans="1:30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spans="1:30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spans="1:30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spans="1:30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spans="1:30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spans="1:30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spans="1:30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spans="1:30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spans="1:30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spans="1:30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spans="1:30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spans="1:30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spans="1:30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spans="1:30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spans="1:30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spans="1:30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spans="1:30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spans="1:30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spans="1:30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spans="1:30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spans="1:30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spans="1:30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spans="1:30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 spans="1:30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spans="1:30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 spans="1:30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 spans="1:30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 spans="1:30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spans="1:30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 spans="1:30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 spans="1:30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spans="1:30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 spans="1:30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 spans="1:30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 spans="1:30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 spans="1:30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 spans="1:30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 spans="1:30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 spans="1:30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 spans="1:30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spans="1:30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 spans="1:30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 spans="1:30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 spans="1:30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 spans="1:30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 spans="1:30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 spans="1:30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 spans="1:30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 spans="1:30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 spans="1:30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 spans="1:30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 spans="1:30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 spans="1:30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 spans="1:30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 spans="1:30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 spans="1:30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 spans="1:30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 spans="1:30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 spans="1:30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 spans="1:30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 spans="1:30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spans="1:30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 spans="1:30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 spans="1:30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 spans="1:30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 spans="1:30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 spans="1:30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 spans="1:30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 spans="1:30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 spans="1:30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 spans="1:30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 spans="1:30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 spans="1:30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 spans="1:30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 spans="1:30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 spans="1:30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 spans="1:30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 spans="1:30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 spans="1:30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  <row r="1113" spans="1:30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</row>
    <row r="1114" spans="1:30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</row>
    <row r="1115" spans="1:30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 spans="1:30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</row>
    <row r="1117" spans="1:30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 spans="1:30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</row>
    <row r="1119" spans="1:30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 spans="1:30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</row>
    <row r="1121" spans="1:30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 spans="1:30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</row>
    <row r="1123" spans="1:30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 spans="1:30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</row>
    <row r="1125" spans="1:30" x14ac:dyDescent="0.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</row>
    <row r="1126" spans="1:30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 spans="1:30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</row>
    <row r="1128" spans="1:30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 spans="1:30" x14ac:dyDescent="0.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 spans="1:30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 spans="1:30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</row>
    <row r="1132" spans="1:30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</row>
    <row r="1133" spans="1:30" x14ac:dyDescent="0.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 spans="1:30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</row>
    <row r="1135" spans="1:30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 spans="1:30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 spans="1:30" x14ac:dyDescent="0.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0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</row>
    <row r="1139" spans="1:30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</row>
    <row r="1140" spans="1:30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</row>
    <row r="1141" spans="1:30" x14ac:dyDescent="0.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 spans="1:30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 spans="1:30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 spans="1:30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</row>
    <row r="1145" spans="1:30" x14ac:dyDescent="0.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</row>
    <row r="1146" spans="1:30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 spans="1:30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</row>
    <row r="1148" spans="1:30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</row>
    <row r="1149" spans="1:30" x14ac:dyDescent="0.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 spans="1:30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</row>
    <row r="1151" spans="1:30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</row>
    <row r="1152" spans="1:30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</row>
    <row r="1153" spans="1:30" x14ac:dyDescent="0.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</row>
    <row r="1154" spans="1:30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</row>
    <row r="1155" spans="1:30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</row>
    <row r="1156" spans="1:30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</row>
    <row r="1157" spans="1:30" x14ac:dyDescent="0.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</row>
    <row r="1158" spans="1:30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</row>
    <row r="1159" spans="1:30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</row>
    <row r="1160" spans="1:30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</row>
    <row r="1161" spans="1:30" x14ac:dyDescent="0.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</row>
    <row r="1162" spans="1:30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</row>
    <row r="1163" spans="1:30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</row>
    <row r="1164" spans="1:30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</row>
    <row r="1165" spans="1:30" x14ac:dyDescent="0.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</row>
    <row r="1166" spans="1:30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</row>
    <row r="1167" spans="1:30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</row>
    <row r="1168" spans="1:30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</row>
    <row r="1169" spans="1:30" x14ac:dyDescent="0.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</row>
    <row r="1170" spans="1:30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</row>
    <row r="1171" spans="1:30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</row>
    <row r="1172" spans="1:30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</row>
    <row r="1173" spans="1:30" x14ac:dyDescent="0.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</row>
    <row r="1174" spans="1:30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</row>
    <row r="1175" spans="1:30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</row>
    <row r="1176" spans="1:30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</row>
    <row r="1177" spans="1:30" x14ac:dyDescent="0.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</row>
    <row r="1178" spans="1:30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</row>
    <row r="1179" spans="1:30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</row>
    <row r="1180" spans="1:30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</row>
    <row r="1181" spans="1:30" x14ac:dyDescent="0.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</row>
    <row r="1182" spans="1:30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</row>
    <row r="1183" spans="1:30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</row>
    <row r="1184" spans="1:30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</row>
    <row r="1185" spans="1:30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</row>
    <row r="1186" spans="1:30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</row>
    <row r="1187" spans="1:30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</row>
    <row r="1188" spans="1:30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</row>
    <row r="1189" spans="1:30" x14ac:dyDescent="0.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</row>
    <row r="1190" spans="1:30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</row>
    <row r="1191" spans="1:30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</row>
    <row r="1192" spans="1:30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</row>
    <row r="1193" spans="1:30" x14ac:dyDescent="0.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</row>
    <row r="1194" spans="1:30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</row>
    <row r="1195" spans="1:30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</row>
    <row r="1196" spans="1:30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</row>
    <row r="1197" spans="1:30" x14ac:dyDescent="0.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</row>
    <row r="1198" spans="1:30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</row>
    <row r="1199" spans="1:30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</row>
    <row r="1200" spans="1:30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</row>
    <row r="1201" spans="1:30" x14ac:dyDescent="0.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</row>
    <row r="1203" spans="1:30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</row>
    <row r="1204" spans="1:30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</row>
    <row r="1205" spans="1:30" x14ac:dyDescent="0.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</row>
    <row r="1206" spans="1:30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</row>
    <row r="1207" spans="1:30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</row>
    <row r="1208" spans="1:30" x14ac:dyDescent="0.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</row>
    <row r="1209" spans="1:30" x14ac:dyDescent="0.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</row>
    <row r="1210" spans="1:30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</row>
    <row r="1211" spans="1:30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</row>
    <row r="1212" spans="1:30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</row>
    <row r="1213" spans="1:30" x14ac:dyDescent="0.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</row>
    <row r="1214" spans="1:30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</row>
    <row r="1215" spans="1:30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</row>
    <row r="1216" spans="1:30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</row>
    <row r="1217" spans="1:30" x14ac:dyDescent="0.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</row>
    <row r="1218" spans="1:30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</row>
    <row r="1219" spans="1:30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</row>
    <row r="1220" spans="1:30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</row>
    <row r="1221" spans="1:30" x14ac:dyDescent="0.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</row>
    <row r="1222" spans="1:30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</row>
    <row r="1223" spans="1:30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</row>
    <row r="1224" spans="1:30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</row>
    <row r="1225" spans="1:30" x14ac:dyDescent="0.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</row>
    <row r="1226" spans="1:30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</row>
    <row r="1227" spans="1:30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</row>
    <row r="1228" spans="1:30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</row>
    <row r="1229" spans="1:30" x14ac:dyDescent="0.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</row>
    <row r="1230" spans="1:30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</row>
    <row r="1231" spans="1:30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</row>
    <row r="1232" spans="1:30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</row>
    <row r="1233" spans="1:30" x14ac:dyDescent="0.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</row>
    <row r="1234" spans="1:30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</row>
    <row r="1235" spans="1:30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</row>
    <row r="1236" spans="1:30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</row>
    <row r="1237" spans="1:30" x14ac:dyDescent="0.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</row>
    <row r="1238" spans="1:30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</row>
    <row r="1239" spans="1:30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</row>
    <row r="1240" spans="1:30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</row>
    <row r="1241" spans="1:30" x14ac:dyDescent="0.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</row>
    <row r="1242" spans="1:30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</row>
    <row r="1243" spans="1:30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</row>
    <row r="1244" spans="1:30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</row>
    <row r="1245" spans="1:30" x14ac:dyDescent="0.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</row>
    <row r="1246" spans="1:30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</row>
    <row r="1247" spans="1:30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</row>
    <row r="1248" spans="1:30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</row>
    <row r="1249" spans="1:30" x14ac:dyDescent="0.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</row>
    <row r="1250" spans="1:30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</row>
    <row r="1251" spans="1:30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</row>
    <row r="1252" spans="1:30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</row>
    <row r="1253" spans="1:30" x14ac:dyDescent="0.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</row>
    <row r="1254" spans="1:30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</row>
    <row r="1255" spans="1:30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</row>
    <row r="1256" spans="1:30" x14ac:dyDescent="0.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</row>
    <row r="1257" spans="1:30" x14ac:dyDescent="0.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</row>
    <row r="1258" spans="1:30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</row>
    <row r="1259" spans="1:30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</row>
    <row r="1260" spans="1:30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</row>
    <row r="1261" spans="1:30" x14ac:dyDescent="0.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</row>
    <row r="1262" spans="1:30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</row>
    <row r="1263" spans="1:30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</row>
    <row r="1264" spans="1:30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</row>
    <row r="1265" spans="1:30" x14ac:dyDescent="0.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</row>
    <row r="1266" spans="1:30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</row>
    <row r="1267" spans="1:30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</row>
    <row r="1268" spans="1:30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</row>
    <row r="1269" spans="1:30" x14ac:dyDescent="0.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</row>
    <row r="1270" spans="1:30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</row>
    <row r="1271" spans="1:30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</row>
    <row r="1272" spans="1:30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</row>
    <row r="1273" spans="1:30" x14ac:dyDescent="0.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</row>
    <row r="1274" spans="1:30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</row>
    <row r="1275" spans="1:30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</row>
    <row r="1276" spans="1:30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</row>
    <row r="1277" spans="1:30" x14ac:dyDescent="0.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</row>
    <row r="1278" spans="1:30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</row>
    <row r="1279" spans="1:30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</row>
    <row r="1280" spans="1:30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</row>
    <row r="1281" spans="1:30" x14ac:dyDescent="0.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</row>
    <row r="1282" spans="1:30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</row>
    <row r="1283" spans="1:30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</row>
    <row r="1284" spans="1:30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</row>
    <row r="1285" spans="1:30" x14ac:dyDescent="0.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</row>
    <row r="1286" spans="1:30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</row>
    <row r="1287" spans="1:30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</row>
    <row r="1288" spans="1:30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</row>
    <row r="1289" spans="1:30" x14ac:dyDescent="0.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</row>
    <row r="1290" spans="1:30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</row>
    <row r="1291" spans="1:30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</row>
    <row r="1292" spans="1:30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</row>
    <row r="1293" spans="1:30" x14ac:dyDescent="0.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</row>
    <row r="1294" spans="1:30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</row>
    <row r="1295" spans="1:30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</row>
    <row r="1296" spans="1:30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</row>
    <row r="1297" spans="1:30" x14ac:dyDescent="0.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</row>
    <row r="1298" spans="1:30" x14ac:dyDescent="0.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</row>
    <row r="1299" spans="1:30" x14ac:dyDescent="0.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</row>
    <row r="1300" spans="1:30" x14ac:dyDescent="0.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</row>
    <row r="1301" spans="1:30" x14ac:dyDescent="0.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</row>
    <row r="1302" spans="1:30" x14ac:dyDescent="0.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</row>
    <row r="1303" spans="1:30" x14ac:dyDescent="0.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</row>
    <row r="1304" spans="1:30" x14ac:dyDescent="0.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</row>
    <row r="1305" spans="1:30" x14ac:dyDescent="0.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</row>
    <row r="1306" spans="1:30" x14ac:dyDescent="0.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</row>
    <row r="1307" spans="1:30" x14ac:dyDescent="0.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</row>
    <row r="1308" spans="1:30" x14ac:dyDescent="0.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</row>
    <row r="1309" spans="1:30" x14ac:dyDescent="0.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</row>
    <row r="1310" spans="1:30" x14ac:dyDescent="0.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</row>
    <row r="1311" spans="1:30" x14ac:dyDescent="0.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</row>
    <row r="1312" spans="1:30" x14ac:dyDescent="0.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</row>
    <row r="1313" spans="1:30" x14ac:dyDescent="0.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</row>
    <row r="1314" spans="1:30" x14ac:dyDescent="0.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</row>
    <row r="1315" spans="1:30" x14ac:dyDescent="0.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</row>
    <row r="1316" spans="1:30" x14ac:dyDescent="0.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</row>
    <row r="1317" spans="1:30" x14ac:dyDescent="0.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</row>
    <row r="1318" spans="1:30" x14ac:dyDescent="0.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</row>
    <row r="1319" spans="1:30" x14ac:dyDescent="0.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</row>
    <row r="1320" spans="1:30" x14ac:dyDescent="0.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</row>
    <row r="1321" spans="1:30" x14ac:dyDescent="0.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</row>
    <row r="1322" spans="1:30" x14ac:dyDescent="0.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</row>
    <row r="1323" spans="1:30" x14ac:dyDescent="0.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</row>
    <row r="1324" spans="1:30" x14ac:dyDescent="0.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</row>
    <row r="1325" spans="1:30" x14ac:dyDescent="0.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</row>
    <row r="1326" spans="1:30" x14ac:dyDescent="0.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</row>
    <row r="1327" spans="1:30" x14ac:dyDescent="0.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</row>
    <row r="1328" spans="1:30" x14ac:dyDescent="0.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 spans="1:30" x14ac:dyDescent="0.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</row>
    <row r="1330" spans="1:30" x14ac:dyDescent="0.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</row>
    <row r="1331" spans="1:30" x14ac:dyDescent="0.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 spans="1:30" x14ac:dyDescent="0.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</row>
    <row r="1333" spans="1:30" x14ac:dyDescent="0.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</row>
    <row r="1334" spans="1:30" x14ac:dyDescent="0.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</row>
    <row r="1335" spans="1:30" x14ac:dyDescent="0.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</row>
    <row r="1336" spans="1:30" x14ac:dyDescent="0.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</row>
    <row r="1337" spans="1:30" x14ac:dyDescent="0.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</row>
    <row r="1338" spans="1:30" x14ac:dyDescent="0.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</row>
    <row r="1339" spans="1:30" x14ac:dyDescent="0.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</row>
    <row r="1340" spans="1:30" x14ac:dyDescent="0.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</row>
    <row r="1341" spans="1:30" x14ac:dyDescent="0.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</row>
    <row r="1342" spans="1:30" x14ac:dyDescent="0.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</row>
    <row r="1343" spans="1:30" x14ac:dyDescent="0.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</row>
    <row r="1344" spans="1:30" x14ac:dyDescent="0.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</row>
    <row r="1345" spans="1:30" x14ac:dyDescent="0.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</row>
    <row r="1346" spans="1:30" x14ac:dyDescent="0.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</row>
    <row r="1347" spans="1:30" x14ac:dyDescent="0.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</row>
    <row r="1348" spans="1:30" x14ac:dyDescent="0.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</row>
    <row r="1349" spans="1:30" x14ac:dyDescent="0.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</row>
    <row r="1350" spans="1:30" x14ac:dyDescent="0.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</row>
    <row r="1351" spans="1:30" x14ac:dyDescent="0.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</row>
    <row r="1352" spans="1:30" x14ac:dyDescent="0.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</row>
    <row r="1353" spans="1:30" x14ac:dyDescent="0.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</row>
    <row r="1354" spans="1:30" x14ac:dyDescent="0.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</row>
    <row r="1355" spans="1:30" x14ac:dyDescent="0.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</row>
    <row r="1356" spans="1:30" x14ac:dyDescent="0.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</row>
    <row r="1357" spans="1:30" x14ac:dyDescent="0.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</row>
    <row r="1358" spans="1:30" x14ac:dyDescent="0.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</row>
    <row r="1359" spans="1:30" x14ac:dyDescent="0.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</row>
    <row r="1360" spans="1:30" x14ac:dyDescent="0.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</row>
    <row r="1361" spans="1:30" x14ac:dyDescent="0.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</row>
    <row r="1362" spans="1:30" x14ac:dyDescent="0.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</row>
    <row r="1363" spans="1:30" x14ac:dyDescent="0.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</row>
    <row r="1364" spans="1:30" x14ac:dyDescent="0.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</row>
    <row r="1365" spans="1:30" x14ac:dyDescent="0.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</row>
    <row r="1366" spans="1:30" x14ac:dyDescent="0.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</row>
    <row r="1367" spans="1:30" x14ac:dyDescent="0.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</row>
    <row r="1368" spans="1:30" x14ac:dyDescent="0.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</row>
    <row r="1369" spans="1:30" x14ac:dyDescent="0.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</row>
    <row r="1370" spans="1:30" x14ac:dyDescent="0.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</row>
    <row r="1371" spans="1:30" x14ac:dyDescent="0.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</row>
    <row r="1372" spans="1:30" x14ac:dyDescent="0.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</row>
    <row r="1373" spans="1:30" x14ac:dyDescent="0.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</row>
    <row r="1374" spans="1:30" x14ac:dyDescent="0.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</row>
    <row r="1375" spans="1:30" x14ac:dyDescent="0.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</row>
    <row r="1376" spans="1:30" x14ac:dyDescent="0.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</row>
    <row r="1377" spans="1:30" x14ac:dyDescent="0.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</row>
    <row r="1378" spans="1:30" x14ac:dyDescent="0.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</row>
    <row r="1379" spans="1:30" x14ac:dyDescent="0.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</row>
    <row r="1380" spans="1:30" x14ac:dyDescent="0.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</row>
    <row r="1381" spans="1:30" x14ac:dyDescent="0.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</row>
    <row r="1382" spans="1:30" x14ac:dyDescent="0.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</row>
    <row r="1383" spans="1:30" x14ac:dyDescent="0.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</row>
    <row r="1384" spans="1:30" x14ac:dyDescent="0.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</row>
    <row r="1385" spans="1:30" x14ac:dyDescent="0.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</row>
    <row r="1386" spans="1:30" x14ac:dyDescent="0.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</row>
    <row r="1387" spans="1:30" x14ac:dyDescent="0.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</row>
    <row r="1388" spans="1:30" x14ac:dyDescent="0.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</row>
    <row r="1389" spans="1:30" x14ac:dyDescent="0.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</row>
    <row r="1390" spans="1:30" x14ac:dyDescent="0.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</row>
    <row r="1391" spans="1:30" x14ac:dyDescent="0.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</row>
    <row r="1392" spans="1:30" x14ac:dyDescent="0.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</row>
    <row r="1393" spans="1:30" x14ac:dyDescent="0.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</row>
    <row r="1394" spans="1:30" x14ac:dyDescent="0.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</row>
    <row r="1395" spans="1:30" x14ac:dyDescent="0.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</row>
    <row r="1396" spans="1:30" x14ac:dyDescent="0.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</row>
    <row r="1397" spans="1:30" x14ac:dyDescent="0.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</row>
    <row r="1398" spans="1:30" x14ac:dyDescent="0.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</row>
    <row r="1399" spans="1:30" x14ac:dyDescent="0.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</row>
    <row r="1400" spans="1:30" x14ac:dyDescent="0.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</row>
    <row r="1401" spans="1:30" x14ac:dyDescent="0.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</row>
    <row r="1402" spans="1:30" x14ac:dyDescent="0.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</row>
    <row r="1403" spans="1:30" x14ac:dyDescent="0.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</row>
    <row r="1404" spans="1:30" x14ac:dyDescent="0.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</row>
    <row r="1405" spans="1:30" x14ac:dyDescent="0.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</row>
    <row r="1406" spans="1:30" x14ac:dyDescent="0.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</row>
    <row r="1407" spans="1:30" x14ac:dyDescent="0.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</row>
    <row r="1408" spans="1:30" x14ac:dyDescent="0.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</row>
    <row r="1409" spans="1:30" x14ac:dyDescent="0.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</row>
    <row r="1410" spans="1:30" x14ac:dyDescent="0.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</row>
    <row r="1411" spans="1:30" x14ac:dyDescent="0.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</row>
    <row r="1412" spans="1:30" x14ac:dyDescent="0.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</row>
    <row r="1413" spans="1:30" x14ac:dyDescent="0.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</row>
    <row r="1414" spans="1:30" x14ac:dyDescent="0.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</row>
    <row r="1415" spans="1:30" x14ac:dyDescent="0.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</row>
    <row r="1416" spans="1:30" x14ac:dyDescent="0.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</row>
    <row r="1417" spans="1:30" x14ac:dyDescent="0.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</row>
    <row r="1418" spans="1:30" x14ac:dyDescent="0.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</row>
    <row r="1419" spans="1:30" x14ac:dyDescent="0.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</row>
    <row r="1420" spans="1:30" x14ac:dyDescent="0.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</row>
    <row r="1421" spans="1:30" x14ac:dyDescent="0.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</row>
    <row r="1422" spans="1:30" x14ac:dyDescent="0.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</row>
    <row r="1423" spans="1:30" x14ac:dyDescent="0.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</row>
    <row r="1424" spans="1:30" x14ac:dyDescent="0.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</row>
    <row r="1425" spans="1:30" x14ac:dyDescent="0.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</row>
    <row r="1426" spans="1:30" x14ac:dyDescent="0.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</row>
    <row r="1427" spans="1:30" x14ac:dyDescent="0.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</row>
    <row r="1428" spans="1:30" x14ac:dyDescent="0.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</row>
    <row r="1429" spans="1:30" x14ac:dyDescent="0.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</row>
    <row r="1430" spans="1:30" x14ac:dyDescent="0.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</row>
    <row r="1431" spans="1:30" x14ac:dyDescent="0.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</row>
    <row r="1432" spans="1:30" x14ac:dyDescent="0.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</row>
    <row r="1433" spans="1:30" x14ac:dyDescent="0.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</row>
    <row r="1434" spans="1:30" x14ac:dyDescent="0.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</row>
    <row r="1435" spans="1:30" x14ac:dyDescent="0.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</row>
    <row r="1436" spans="1:30" x14ac:dyDescent="0.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</row>
    <row r="1437" spans="1:30" x14ac:dyDescent="0.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</row>
    <row r="1438" spans="1:30" x14ac:dyDescent="0.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</row>
    <row r="1439" spans="1:30" x14ac:dyDescent="0.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</row>
    <row r="1440" spans="1:30" x14ac:dyDescent="0.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</row>
    <row r="1441" spans="1:30" x14ac:dyDescent="0.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</row>
    <row r="1442" spans="1:30" x14ac:dyDescent="0.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</row>
    <row r="1443" spans="1:30" x14ac:dyDescent="0.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</row>
    <row r="1444" spans="1:30" x14ac:dyDescent="0.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</row>
    <row r="1445" spans="1:30" x14ac:dyDescent="0.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</row>
    <row r="1446" spans="1:30" x14ac:dyDescent="0.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</row>
    <row r="1447" spans="1:30" x14ac:dyDescent="0.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</row>
    <row r="1448" spans="1:30" x14ac:dyDescent="0.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</row>
    <row r="1449" spans="1:30" x14ac:dyDescent="0.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</row>
    <row r="1450" spans="1:30" x14ac:dyDescent="0.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</row>
    <row r="1451" spans="1:30" x14ac:dyDescent="0.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</row>
    <row r="1452" spans="1:30" x14ac:dyDescent="0.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</row>
    <row r="1453" spans="1:30" x14ac:dyDescent="0.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</row>
    <row r="1454" spans="1:30" x14ac:dyDescent="0.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</row>
    <row r="1455" spans="1:30" x14ac:dyDescent="0.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</row>
    <row r="1456" spans="1:30" x14ac:dyDescent="0.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</row>
    <row r="1457" spans="1:30" x14ac:dyDescent="0.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</row>
    <row r="1458" spans="1:30" x14ac:dyDescent="0.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</row>
    <row r="1459" spans="1:30" x14ac:dyDescent="0.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</row>
    <row r="1460" spans="1:30" x14ac:dyDescent="0.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</row>
    <row r="1461" spans="1:30" x14ac:dyDescent="0.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</row>
    <row r="1462" spans="1:30" x14ac:dyDescent="0.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</row>
    <row r="1463" spans="1:30" x14ac:dyDescent="0.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</row>
    <row r="1464" spans="1:30" x14ac:dyDescent="0.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</row>
    <row r="1465" spans="1:30" x14ac:dyDescent="0.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</row>
    <row r="1466" spans="1:30" x14ac:dyDescent="0.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 spans="1:30" x14ac:dyDescent="0.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</row>
    <row r="1468" spans="1:30" x14ac:dyDescent="0.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</row>
    <row r="1469" spans="1:30" x14ac:dyDescent="0.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</row>
    <row r="1470" spans="1:30" x14ac:dyDescent="0.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</row>
    <row r="1471" spans="1:30" x14ac:dyDescent="0.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</row>
    <row r="1472" spans="1:30" x14ac:dyDescent="0.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</row>
    <row r="1473" spans="1:30" x14ac:dyDescent="0.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</row>
    <row r="1474" spans="1:30" x14ac:dyDescent="0.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</row>
    <row r="1475" spans="1:30" x14ac:dyDescent="0.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</row>
    <row r="1476" spans="1:30" x14ac:dyDescent="0.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</row>
    <row r="1477" spans="1:30" x14ac:dyDescent="0.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</row>
    <row r="1478" spans="1:30" x14ac:dyDescent="0.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</row>
    <row r="1479" spans="1:30" x14ac:dyDescent="0.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</row>
    <row r="1480" spans="1:30" x14ac:dyDescent="0.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</row>
    <row r="1481" spans="1:30" x14ac:dyDescent="0.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</row>
    <row r="1482" spans="1:30" x14ac:dyDescent="0.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</row>
    <row r="1483" spans="1:30" x14ac:dyDescent="0.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</row>
    <row r="1484" spans="1:30" x14ac:dyDescent="0.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</row>
    <row r="1485" spans="1:30" x14ac:dyDescent="0.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</row>
    <row r="1486" spans="1:30" x14ac:dyDescent="0.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</row>
    <row r="1487" spans="1:30" x14ac:dyDescent="0.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</row>
    <row r="1488" spans="1:30" x14ac:dyDescent="0.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</row>
    <row r="1489" spans="1:30" x14ac:dyDescent="0.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</row>
    <row r="1490" spans="1:30" x14ac:dyDescent="0.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</row>
    <row r="1491" spans="1:30" x14ac:dyDescent="0.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</row>
    <row r="1492" spans="1:30" x14ac:dyDescent="0.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</row>
    <row r="1493" spans="1:30" x14ac:dyDescent="0.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</row>
    <row r="1494" spans="1:30" x14ac:dyDescent="0.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</row>
    <row r="1495" spans="1:30" x14ac:dyDescent="0.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</row>
    <row r="1496" spans="1:30" x14ac:dyDescent="0.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</row>
    <row r="1497" spans="1:30" x14ac:dyDescent="0.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</row>
    <row r="1498" spans="1:30" x14ac:dyDescent="0.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</row>
    <row r="1499" spans="1:30" x14ac:dyDescent="0.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</row>
    <row r="1500" spans="1:30" x14ac:dyDescent="0.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</row>
    <row r="1501" spans="1:30" x14ac:dyDescent="0.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</row>
    <row r="1502" spans="1:30" x14ac:dyDescent="0.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</row>
    <row r="1503" spans="1:30" x14ac:dyDescent="0.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</row>
    <row r="1504" spans="1:30" x14ac:dyDescent="0.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</row>
    <row r="1505" spans="1:30" x14ac:dyDescent="0.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</row>
    <row r="1506" spans="1:30" x14ac:dyDescent="0.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</row>
    <row r="1507" spans="1:30" x14ac:dyDescent="0.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</row>
    <row r="1508" spans="1:30" x14ac:dyDescent="0.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</row>
    <row r="1509" spans="1:30" x14ac:dyDescent="0.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</row>
    <row r="1510" spans="1:30" x14ac:dyDescent="0.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</row>
    <row r="1511" spans="1:30" x14ac:dyDescent="0.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</row>
    <row r="1512" spans="1:30" x14ac:dyDescent="0.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</row>
    <row r="1513" spans="1:30" x14ac:dyDescent="0.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</row>
    <row r="1514" spans="1:30" x14ac:dyDescent="0.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</row>
    <row r="1515" spans="1:30" x14ac:dyDescent="0.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</row>
    <row r="1516" spans="1:30" x14ac:dyDescent="0.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</row>
    <row r="1517" spans="1:30" x14ac:dyDescent="0.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</row>
    <row r="1518" spans="1:30" x14ac:dyDescent="0.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</row>
    <row r="1519" spans="1:30" x14ac:dyDescent="0.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</row>
    <row r="1520" spans="1:30" x14ac:dyDescent="0.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</row>
    <row r="1521" spans="1:30" x14ac:dyDescent="0.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</row>
    <row r="1522" spans="1:30" x14ac:dyDescent="0.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</row>
    <row r="1523" spans="1:30" x14ac:dyDescent="0.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</row>
    <row r="1524" spans="1:30" x14ac:dyDescent="0.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</row>
  </sheetData>
  <autoFilter ref="A1:AD1524">
    <sortState ref="A2:AD2788">
      <sortCondition ref="C1"/>
    </sortState>
  </autoFilter>
  <pageMargins left="0.69999998807907104" right="0.69999998807907104" top="0.75" bottom="0.75" header="0.30000001192092896" footer="0.30000001192092896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"/>
  <sheetViews>
    <sheetView showGridLines="0" topLeftCell="A13" workbookViewId="0">
      <selection activeCell="E24" sqref="E24"/>
    </sheetView>
  </sheetViews>
  <sheetFormatPr defaultRowHeight="14.4" x14ac:dyDescent="0.3"/>
  <cols>
    <col min="1" max="1" width="4.44140625" customWidth="1"/>
    <col min="3" max="3" width="41.33203125" customWidth="1"/>
    <col min="6" max="6" width="41" customWidth="1"/>
  </cols>
  <sheetData>
    <row r="2" spans="2:6" x14ac:dyDescent="0.3">
      <c r="B2" t="s">
        <v>96</v>
      </c>
    </row>
    <row r="4" spans="2:6" x14ac:dyDescent="0.3">
      <c r="B4" s="4" t="s">
        <v>97</v>
      </c>
      <c r="E4" s="4" t="s">
        <v>98</v>
      </c>
    </row>
    <row r="5" spans="2:6" x14ac:dyDescent="0.3">
      <c r="B5" s="7" t="s">
        <v>0</v>
      </c>
      <c r="C5" s="8"/>
      <c r="E5" s="9" t="s">
        <v>0</v>
      </c>
      <c r="F5" s="10"/>
    </row>
    <row r="6" spans="2:6" x14ac:dyDescent="0.3">
      <c r="B6" s="11">
        <v>10</v>
      </c>
      <c r="C6" s="12" t="s">
        <v>110</v>
      </c>
      <c r="E6" s="11">
        <v>10</v>
      </c>
      <c r="F6" s="12" t="s">
        <v>99</v>
      </c>
    </row>
    <row r="7" spans="2:6" x14ac:dyDescent="0.3">
      <c r="B7" s="15">
        <v>-10</v>
      </c>
      <c r="C7" s="16" t="s">
        <v>111</v>
      </c>
      <c r="E7" s="13">
        <v>5</v>
      </c>
      <c r="F7" s="14" t="s">
        <v>100</v>
      </c>
    </row>
    <row r="8" spans="2:6" x14ac:dyDescent="0.3">
      <c r="E8" s="13">
        <v>3</v>
      </c>
      <c r="F8" s="14" t="s">
        <v>101</v>
      </c>
    </row>
    <row r="9" spans="2:6" x14ac:dyDescent="0.3">
      <c r="B9" s="7" t="s">
        <v>2</v>
      </c>
      <c r="C9" s="8"/>
      <c r="E9" s="13">
        <v>-5</v>
      </c>
      <c r="F9" s="14" t="s">
        <v>102</v>
      </c>
    </row>
    <row r="10" spans="2:6" x14ac:dyDescent="0.3">
      <c r="B10" s="11">
        <v>10</v>
      </c>
      <c r="C10" s="12" t="s">
        <v>99</v>
      </c>
      <c r="E10" s="15">
        <v>-10</v>
      </c>
      <c r="F10" s="16" t="s">
        <v>103</v>
      </c>
    </row>
    <row r="11" spans="2:6" x14ac:dyDescent="0.3">
      <c r="B11" s="13">
        <v>5</v>
      </c>
      <c r="C11" s="14" t="s">
        <v>100</v>
      </c>
    </row>
    <row r="12" spans="2:6" x14ac:dyDescent="0.3">
      <c r="B12" s="15">
        <v>-10</v>
      </c>
      <c r="C12" s="16" t="s">
        <v>94</v>
      </c>
      <c r="E12" s="9" t="s">
        <v>2</v>
      </c>
      <c r="F12" s="10"/>
    </row>
    <row r="13" spans="2:6" x14ac:dyDescent="0.3">
      <c r="E13" s="11">
        <v>10</v>
      </c>
      <c r="F13" s="12" t="s">
        <v>104</v>
      </c>
    </row>
    <row r="14" spans="2:6" x14ac:dyDescent="0.3">
      <c r="B14" s="7" t="s">
        <v>4</v>
      </c>
      <c r="C14" s="8"/>
      <c r="E14" s="13">
        <v>5</v>
      </c>
      <c r="F14" s="14" t="s">
        <v>99</v>
      </c>
    </row>
    <row r="15" spans="2:6" x14ac:dyDescent="0.3">
      <c r="B15" s="11">
        <v>10</v>
      </c>
      <c r="C15" s="12" t="s">
        <v>99</v>
      </c>
      <c r="E15" s="13">
        <v>3</v>
      </c>
      <c r="F15" s="14" t="s">
        <v>105</v>
      </c>
    </row>
    <row r="16" spans="2:6" x14ac:dyDescent="0.3">
      <c r="B16" s="13">
        <v>5</v>
      </c>
      <c r="C16" s="14" t="s">
        <v>105</v>
      </c>
      <c r="E16" s="13">
        <v>-5</v>
      </c>
      <c r="F16" s="14" t="s">
        <v>106</v>
      </c>
    </row>
    <row r="17" spans="2:6" x14ac:dyDescent="0.3">
      <c r="B17" s="15">
        <v>-10</v>
      </c>
      <c r="C17" s="16" t="s">
        <v>112</v>
      </c>
      <c r="E17" s="15">
        <v>-10</v>
      </c>
      <c r="F17" s="16" t="s">
        <v>107</v>
      </c>
    </row>
    <row r="19" spans="2:6" x14ac:dyDescent="0.3">
      <c r="E19" s="9" t="s">
        <v>4</v>
      </c>
      <c r="F19" s="10" t="s">
        <v>113</v>
      </c>
    </row>
    <row r="20" spans="2:6" x14ac:dyDescent="0.3">
      <c r="E20" s="11">
        <v>10</v>
      </c>
      <c r="F20" s="12" t="s">
        <v>108</v>
      </c>
    </row>
    <row r="21" spans="2:6" x14ac:dyDescent="0.3">
      <c r="E21" s="15">
        <v>-10</v>
      </c>
      <c r="F21" s="16" t="s">
        <v>109</v>
      </c>
    </row>
    <row r="23" spans="2:6" x14ac:dyDescent="0.3">
      <c r="E23" s="9" t="s">
        <v>6</v>
      </c>
      <c r="F23" s="10" t="s">
        <v>147</v>
      </c>
    </row>
    <row r="24" spans="2:6" x14ac:dyDescent="0.3">
      <c r="E24" s="11">
        <v>5</v>
      </c>
      <c r="F24" s="12" t="s">
        <v>65</v>
      </c>
    </row>
    <row r="25" spans="2:6" x14ac:dyDescent="0.3">
      <c r="E25" s="24">
        <v>3</v>
      </c>
      <c r="F25" s="25" t="s">
        <v>148</v>
      </c>
    </row>
    <row r="26" spans="2:6" x14ac:dyDescent="0.3">
      <c r="E26" s="15">
        <v>-5</v>
      </c>
      <c r="F26" s="16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F37"/>
  <sheetViews>
    <sheetView topLeftCell="A92" workbookViewId="0">
      <selection activeCell="D27" sqref="D27:D29"/>
    </sheetView>
  </sheetViews>
  <sheetFormatPr defaultRowHeight="14.4" x14ac:dyDescent="0.3"/>
  <cols>
    <col min="1" max="2" width="8.88671875" style="19"/>
    <col min="3" max="3" width="49.5546875" style="19" customWidth="1"/>
    <col min="4" max="4" width="8.88671875" style="19"/>
    <col min="5" max="5" width="11" style="19" bestFit="1" customWidth="1"/>
    <col min="6" max="31" width="8.88671875" style="19"/>
    <col min="32" max="32" width="255.6640625" style="19" bestFit="1" customWidth="1"/>
    <col min="33" max="16384" width="8.88671875" style="19"/>
  </cols>
  <sheetData>
    <row r="2" spans="3:5" x14ac:dyDescent="0.3">
      <c r="C2" s="20" t="s">
        <v>134</v>
      </c>
    </row>
    <row r="3" spans="3:5" x14ac:dyDescent="0.3">
      <c r="C3" s="20" t="s">
        <v>0</v>
      </c>
    </row>
    <row r="4" spans="3:5" x14ac:dyDescent="0.3">
      <c r="C4" s="20" t="s">
        <v>133</v>
      </c>
    </row>
    <row r="5" spans="3:5" x14ac:dyDescent="0.3">
      <c r="C5" s="19" t="s">
        <v>49</v>
      </c>
      <c r="D5" s="19">
        <v>10</v>
      </c>
      <c r="E5" s="19">
        <v>1100304603</v>
      </c>
    </row>
    <row r="6" spans="3:5" x14ac:dyDescent="0.3">
      <c r="C6" s="19" t="s">
        <v>75</v>
      </c>
      <c r="D6" s="19">
        <v>-10</v>
      </c>
      <c r="E6" s="19">
        <v>1100304602</v>
      </c>
    </row>
    <row r="7" spans="3:5" x14ac:dyDescent="0.3">
      <c r="C7" s="19" t="s">
        <v>142</v>
      </c>
      <c r="D7" s="19">
        <v>-10</v>
      </c>
      <c r="E7" s="19">
        <v>1100304601</v>
      </c>
    </row>
    <row r="9" spans="3:5" x14ac:dyDescent="0.3">
      <c r="C9" s="20" t="s">
        <v>2</v>
      </c>
    </row>
    <row r="10" spans="3:5" x14ac:dyDescent="0.3">
      <c r="C10" s="20" t="s">
        <v>132</v>
      </c>
    </row>
    <row r="11" spans="3:5" x14ac:dyDescent="0.3">
      <c r="C11" s="19" t="s">
        <v>131</v>
      </c>
      <c r="D11" s="19">
        <v>10</v>
      </c>
    </row>
    <row r="12" spans="3:5" x14ac:dyDescent="0.3">
      <c r="C12" s="19" t="s">
        <v>49</v>
      </c>
      <c r="D12" s="19">
        <v>5</v>
      </c>
      <c r="E12" s="19">
        <v>1100304601</v>
      </c>
    </row>
    <row r="13" spans="3:5" x14ac:dyDescent="0.3">
      <c r="C13" s="19" t="s">
        <v>130</v>
      </c>
      <c r="D13" s="19">
        <v>3</v>
      </c>
      <c r="E13" s="19">
        <v>1100304602</v>
      </c>
    </row>
    <row r="14" spans="3:5" x14ac:dyDescent="0.3">
      <c r="C14" s="19" t="s">
        <v>129</v>
      </c>
      <c r="D14" s="19">
        <v>-5</v>
      </c>
      <c r="E14" s="19">
        <v>1100304603</v>
      </c>
    </row>
    <row r="15" spans="3:5" x14ac:dyDescent="0.3">
      <c r="C15" s="19" t="s">
        <v>81</v>
      </c>
      <c r="D15" s="19">
        <v>-10</v>
      </c>
      <c r="E15" s="19">
        <v>1100304604</v>
      </c>
    </row>
    <row r="16" spans="3:5" x14ac:dyDescent="0.3">
      <c r="C16" s="19" t="s">
        <v>128</v>
      </c>
    </row>
    <row r="18" spans="3:5" x14ac:dyDescent="0.3">
      <c r="C18" s="20" t="s">
        <v>4</v>
      </c>
    </row>
    <row r="19" spans="3:5" x14ac:dyDescent="0.3">
      <c r="C19" s="20" t="s">
        <v>127</v>
      </c>
    </row>
    <row r="20" spans="3:5" x14ac:dyDescent="0.3">
      <c r="C20" s="19" t="s">
        <v>126</v>
      </c>
      <c r="D20" s="19">
        <v>10</v>
      </c>
    </row>
    <row r="21" spans="3:5" x14ac:dyDescent="0.3">
      <c r="C21" s="19" t="s">
        <v>125</v>
      </c>
      <c r="D21" s="19">
        <v>-10</v>
      </c>
      <c r="E21" s="19">
        <v>1100304601</v>
      </c>
    </row>
    <row r="22" spans="3:5" x14ac:dyDescent="0.3">
      <c r="C22" s="19" t="s">
        <v>124</v>
      </c>
      <c r="D22" s="19">
        <v>10</v>
      </c>
      <c r="E22" s="19">
        <v>1100304602</v>
      </c>
    </row>
    <row r="23" spans="3:5" x14ac:dyDescent="0.3">
      <c r="C23" s="19" t="s">
        <v>123</v>
      </c>
      <c r="D23" s="19">
        <v>10</v>
      </c>
      <c r="E23" s="19">
        <v>1100304603</v>
      </c>
    </row>
    <row r="25" spans="3:5" x14ac:dyDescent="0.3">
      <c r="C25" s="20" t="s">
        <v>6</v>
      </c>
    </row>
    <row r="26" spans="3:5" x14ac:dyDescent="0.3">
      <c r="C26" s="20" t="s">
        <v>122</v>
      </c>
    </row>
    <row r="27" spans="3:5" x14ac:dyDescent="0.3">
      <c r="C27" s="19" t="s">
        <v>65</v>
      </c>
      <c r="D27" s="19">
        <v>5</v>
      </c>
      <c r="E27" s="19">
        <v>1100304603</v>
      </c>
    </row>
    <row r="28" spans="3:5" x14ac:dyDescent="0.3">
      <c r="C28" s="19" t="s">
        <v>121</v>
      </c>
      <c r="D28" s="19">
        <v>3</v>
      </c>
      <c r="E28" s="19">
        <v>1100304601</v>
      </c>
    </row>
    <row r="29" spans="3:5" x14ac:dyDescent="0.3">
      <c r="C29" s="19" t="s">
        <v>120</v>
      </c>
      <c r="D29" s="19">
        <v>-5</v>
      </c>
      <c r="E29" s="19">
        <v>1100304602</v>
      </c>
    </row>
    <row r="32" spans="3:5" x14ac:dyDescent="0.3">
      <c r="C32" s="20" t="s">
        <v>119</v>
      </c>
    </row>
    <row r="33" spans="3:32" x14ac:dyDescent="0.3">
      <c r="C33" s="22" t="s">
        <v>13</v>
      </c>
      <c r="D33" s="22" t="s">
        <v>14</v>
      </c>
      <c r="E33" s="22" t="s">
        <v>15</v>
      </c>
      <c r="F33" s="22" t="s">
        <v>16</v>
      </c>
      <c r="G33" s="22" t="s">
        <v>17</v>
      </c>
      <c r="H33" s="22" t="s">
        <v>18</v>
      </c>
      <c r="I33" s="22" t="s">
        <v>19</v>
      </c>
      <c r="J33" s="22" t="s">
        <v>20</v>
      </c>
      <c r="K33" s="22" t="s">
        <v>21</v>
      </c>
      <c r="L33" s="22" t="s">
        <v>22</v>
      </c>
      <c r="M33" s="22" t="s">
        <v>23</v>
      </c>
      <c r="N33" s="22" t="s">
        <v>24</v>
      </c>
      <c r="O33" s="22" t="s">
        <v>25</v>
      </c>
      <c r="P33" s="22" t="s">
        <v>26</v>
      </c>
      <c r="Q33" s="22" t="s">
        <v>27</v>
      </c>
      <c r="R33" s="22" t="s">
        <v>28</v>
      </c>
      <c r="S33" s="22" t="s">
        <v>29</v>
      </c>
      <c r="T33" s="22" t="s">
        <v>30</v>
      </c>
      <c r="U33" s="22" t="s">
        <v>31</v>
      </c>
      <c r="V33" s="22" t="s">
        <v>32</v>
      </c>
      <c r="W33" s="22" t="s">
        <v>33</v>
      </c>
      <c r="X33" s="22" t="s">
        <v>34</v>
      </c>
      <c r="Y33" s="22" t="s">
        <v>35</v>
      </c>
      <c r="Z33" s="22" t="s">
        <v>36</v>
      </c>
      <c r="AA33" s="22" t="s">
        <v>37</v>
      </c>
      <c r="AB33" s="22" t="s">
        <v>38</v>
      </c>
      <c r="AC33" s="22" t="s">
        <v>39</v>
      </c>
      <c r="AD33" s="22" t="s">
        <v>40</v>
      </c>
      <c r="AE33" s="22" t="s">
        <v>41</v>
      </c>
      <c r="AF33" s="22" t="s">
        <v>42</v>
      </c>
    </row>
    <row r="34" spans="3:32" x14ac:dyDescent="0.3">
      <c r="C34" s="21">
        <v>133584</v>
      </c>
      <c r="D34" s="21" t="s">
        <v>43</v>
      </c>
      <c r="E34" s="21" t="s">
        <v>63</v>
      </c>
      <c r="F34" s="21" t="s">
        <v>54</v>
      </c>
      <c r="G34" s="21" t="s">
        <v>45</v>
      </c>
      <c r="H34" s="21" t="s">
        <v>45</v>
      </c>
      <c r="I34" s="21" t="s">
        <v>57</v>
      </c>
      <c r="J34" s="21" t="s">
        <v>46</v>
      </c>
      <c r="K34" s="21" t="s">
        <v>46</v>
      </c>
      <c r="L34" s="21" t="s">
        <v>46</v>
      </c>
      <c r="M34" s="21">
        <v>15</v>
      </c>
      <c r="N34" s="21" t="s">
        <v>75</v>
      </c>
      <c r="O34" s="21" t="s">
        <v>68</v>
      </c>
      <c r="P34" s="21" t="s">
        <v>64</v>
      </c>
      <c r="Q34" s="21" t="s">
        <v>65</v>
      </c>
      <c r="R34" s="21" t="s">
        <v>46</v>
      </c>
      <c r="S34" s="21" t="s">
        <v>46</v>
      </c>
      <c r="T34" s="21" t="s">
        <v>46</v>
      </c>
      <c r="U34" s="21" t="s">
        <v>46</v>
      </c>
      <c r="V34" s="21" t="s">
        <v>46</v>
      </c>
      <c r="W34" s="21" t="s">
        <v>46</v>
      </c>
      <c r="X34" s="21" t="s">
        <v>46</v>
      </c>
      <c r="Y34" s="21" t="s">
        <v>46</v>
      </c>
      <c r="Z34" s="21" t="s">
        <v>46</v>
      </c>
      <c r="AA34" s="21" t="s">
        <v>46</v>
      </c>
      <c r="AB34" s="21" t="s">
        <v>118</v>
      </c>
      <c r="AC34" s="21" t="s">
        <v>117</v>
      </c>
      <c r="AD34" s="21" t="s">
        <v>84</v>
      </c>
      <c r="AE34" s="21" t="s">
        <v>116</v>
      </c>
      <c r="AF34" s="21" t="s">
        <v>115</v>
      </c>
    </row>
    <row r="37" spans="3:32" x14ac:dyDescent="0.3">
      <c r="C37" s="20" t="s">
        <v>114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F25"/>
  <sheetViews>
    <sheetView topLeftCell="A21" workbookViewId="0">
      <selection activeCell="D27" sqref="D27:D29"/>
    </sheetView>
  </sheetViews>
  <sheetFormatPr defaultRowHeight="14.4" x14ac:dyDescent="0.3"/>
  <cols>
    <col min="1" max="2" width="8.88671875" style="19"/>
    <col min="3" max="3" width="39.5546875" style="19" customWidth="1"/>
    <col min="4" max="31" width="8.88671875" style="19"/>
    <col min="32" max="32" width="255.6640625" style="19" bestFit="1" customWidth="1"/>
    <col min="33" max="16384" width="8.88671875" style="19"/>
  </cols>
  <sheetData>
    <row r="2" spans="3:4" x14ac:dyDescent="0.3">
      <c r="C2" s="20" t="s">
        <v>134</v>
      </c>
    </row>
    <row r="3" spans="3:4" x14ac:dyDescent="0.3">
      <c r="C3" s="20" t="s">
        <v>0</v>
      </c>
    </row>
    <row r="4" spans="3:4" x14ac:dyDescent="0.3">
      <c r="C4" s="20" t="s">
        <v>141</v>
      </c>
    </row>
    <row r="5" spans="3:4" x14ac:dyDescent="0.3">
      <c r="C5" s="19" t="s">
        <v>47</v>
      </c>
      <c r="D5" s="19" t="s">
        <v>143</v>
      </c>
    </row>
    <row r="6" spans="3:4" x14ac:dyDescent="0.3">
      <c r="C6" s="19" t="s">
        <v>55</v>
      </c>
      <c r="D6" s="19" t="s">
        <v>146</v>
      </c>
    </row>
    <row r="8" spans="3:4" x14ac:dyDescent="0.3">
      <c r="C8" s="20" t="s">
        <v>2</v>
      </c>
    </row>
    <row r="9" spans="3:4" x14ac:dyDescent="0.3">
      <c r="C9" s="20" t="s">
        <v>140</v>
      </c>
    </row>
    <row r="10" spans="3:4" x14ac:dyDescent="0.3">
      <c r="C10" s="19" t="s">
        <v>48</v>
      </c>
      <c r="D10" s="19" t="s">
        <v>143</v>
      </c>
    </row>
    <row r="11" spans="3:4" x14ac:dyDescent="0.3">
      <c r="C11" s="19" t="s">
        <v>58</v>
      </c>
      <c r="D11" s="19" t="s">
        <v>144</v>
      </c>
    </row>
    <row r="12" spans="3:4" x14ac:dyDescent="0.3">
      <c r="C12" s="19" t="s">
        <v>137</v>
      </c>
      <c r="D12" s="19" t="s">
        <v>145</v>
      </c>
    </row>
    <row r="14" spans="3:4" x14ac:dyDescent="0.3">
      <c r="C14" s="20" t="s">
        <v>4</v>
      </c>
    </row>
    <row r="15" spans="3:4" x14ac:dyDescent="0.3">
      <c r="C15" s="20" t="s">
        <v>132</v>
      </c>
    </row>
    <row r="16" spans="3:4" x14ac:dyDescent="0.3">
      <c r="C16" s="19" t="s">
        <v>49</v>
      </c>
      <c r="D16" s="19" t="s">
        <v>143</v>
      </c>
    </row>
    <row r="17" spans="3:32" x14ac:dyDescent="0.3">
      <c r="C17" s="19" t="s">
        <v>139</v>
      </c>
      <c r="D17" s="19" t="s">
        <v>144</v>
      </c>
    </row>
    <row r="18" spans="3:32" x14ac:dyDescent="0.3">
      <c r="C18" s="19" t="s">
        <v>138</v>
      </c>
      <c r="D18" s="19" t="s">
        <v>145</v>
      </c>
    </row>
    <row r="20" spans="3:32" x14ac:dyDescent="0.3">
      <c r="C20" s="20" t="s">
        <v>119</v>
      </c>
    </row>
    <row r="21" spans="3:32" x14ac:dyDescent="0.3">
      <c r="C21" s="23" t="s">
        <v>13</v>
      </c>
      <c r="D21" s="23" t="s">
        <v>14</v>
      </c>
      <c r="E21" s="23" t="s">
        <v>15</v>
      </c>
      <c r="F21" s="23" t="s">
        <v>16</v>
      </c>
      <c r="G21" s="23" t="s">
        <v>17</v>
      </c>
      <c r="H21" s="23" t="s">
        <v>18</v>
      </c>
      <c r="I21" s="23" t="s">
        <v>19</v>
      </c>
      <c r="J21" s="23" t="s">
        <v>20</v>
      </c>
      <c r="K21" s="23" t="s">
        <v>21</v>
      </c>
      <c r="L21" s="23" t="s">
        <v>22</v>
      </c>
      <c r="M21" s="23" t="s">
        <v>23</v>
      </c>
      <c r="N21" s="23" t="s">
        <v>24</v>
      </c>
      <c r="O21" s="23" t="s">
        <v>25</v>
      </c>
      <c r="P21" s="23" t="s">
        <v>26</v>
      </c>
      <c r="Q21" s="23" t="s">
        <v>27</v>
      </c>
      <c r="R21" s="23" t="s">
        <v>28</v>
      </c>
      <c r="S21" s="23" t="s">
        <v>29</v>
      </c>
      <c r="T21" s="23" t="s">
        <v>30</v>
      </c>
      <c r="U21" s="23" t="s">
        <v>31</v>
      </c>
      <c r="V21" s="23" t="s">
        <v>32</v>
      </c>
      <c r="W21" s="23" t="s">
        <v>33</v>
      </c>
      <c r="X21" s="23" t="s">
        <v>34</v>
      </c>
      <c r="Y21" s="23" t="s">
        <v>35</v>
      </c>
      <c r="Z21" s="23" t="s">
        <v>36</v>
      </c>
      <c r="AA21" s="23" t="s">
        <v>37</v>
      </c>
      <c r="AB21" s="23" t="s">
        <v>38</v>
      </c>
      <c r="AC21" s="23" t="s">
        <v>39</v>
      </c>
      <c r="AD21" s="23" t="s">
        <v>40</v>
      </c>
      <c r="AE21" s="23" t="s">
        <v>41</v>
      </c>
      <c r="AF21" s="23" t="s">
        <v>42</v>
      </c>
    </row>
    <row r="22" spans="3:32" x14ac:dyDescent="0.3">
      <c r="C22" s="2">
        <v>133596</v>
      </c>
      <c r="D22" s="2" t="s">
        <v>43</v>
      </c>
      <c r="E22" s="2" t="s">
        <v>44</v>
      </c>
      <c r="F22" s="2" t="s">
        <v>54</v>
      </c>
      <c r="G22" s="2" t="s">
        <v>54</v>
      </c>
      <c r="H22" s="2" t="s">
        <v>54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-30</v>
      </c>
      <c r="N22" s="2" t="s">
        <v>55</v>
      </c>
      <c r="O22" s="2" t="s">
        <v>137</v>
      </c>
      <c r="P22" s="2" t="s">
        <v>137</v>
      </c>
      <c r="Q22" s="2" t="s">
        <v>46</v>
      </c>
      <c r="R22" s="2" t="s">
        <v>46</v>
      </c>
      <c r="S22" s="2" t="s">
        <v>46</v>
      </c>
      <c r="T22" s="2" t="s">
        <v>46</v>
      </c>
      <c r="U22" s="2" t="s">
        <v>46</v>
      </c>
      <c r="V22" s="2" t="s">
        <v>46</v>
      </c>
      <c r="W22" s="2" t="s">
        <v>46</v>
      </c>
      <c r="X22" s="2" t="s">
        <v>46</v>
      </c>
      <c r="Y22" s="2" t="s">
        <v>46</v>
      </c>
      <c r="Z22" s="2" t="s">
        <v>46</v>
      </c>
      <c r="AA22" s="2" t="s">
        <v>46</v>
      </c>
      <c r="AB22" s="2" t="s">
        <v>136</v>
      </c>
      <c r="AC22" s="2" t="s">
        <v>135</v>
      </c>
      <c r="AD22" s="2" t="s">
        <v>84</v>
      </c>
      <c r="AE22" s="2" t="s">
        <v>116</v>
      </c>
      <c r="AF22" s="2" t="s">
        <v>115</v>
      </c>
    </row>
    <row r="25" spans="3:32" x14ac:dyDescent="0.3">
      <c r="C25" s="20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Upload Format</vt:lpstr>
      <vt:lpstr>web survey</vt:lpstr>
      <vt:lpstr>ref</vt:lpstr>
      <vt:lpstr>Z1,Z2,ZY</vt:lpstr>
      <vt:lpstr>Z0</vt:lpstr>
      <vt:lpstr>'Upload Format'!Print_Area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Cuparsa Sastrawiguna</dc:creator>
  <cp:lastModifiedBy>Cuparsa Sastrawiguna</cp:lastModifiedBy>
  <cp:lastPrinted>2024-08-22T06:41:11Z</cp:lastPrinted>
  <dcterms:created xsi:type="dcterms:W3CDTF">2024-08-21T09:15:24Z</dcterms:created>
  <dcterms:modified xsi:type="dcterms:W3CDTF">2024-08-22T10:19:42Z</dcterms:modified>
</cp:coreProperties>
</file>