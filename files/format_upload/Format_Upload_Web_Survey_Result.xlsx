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70" windowHeight="9780"/>
  </bookViews>
  <sheets>
    <sheet name="Upload Format" sheetId="1" r:id="rId1"/>
    <sheet name="web survey" sheetId="2" r:id="rId2"/>
    <sheet name="ref" sheetId="3" state="hidden" r:id="rId3"/>
    <sheet name="Z1,Z2,ZY" sheetId="4" state="hidden" r:id="rId4"/>
    <sheet name="Z0" sheetId="5" state="hidden" r:id="rId5"/>
  </sheets>
  <definedNames>
    <definedName name="_xlnm._FilterDatabase" localSheetId="0" hidden="1">'Upload Format'!$A$3:$K$203</definedName>
    <definedName name="_xlnm._FilterDatabase" localSheetId="1" hidden="1">'web survey'!$A$1:$AD$1524</definedName>
    <definedName name="_xlnm.Print_Area" localSheetId="0">'Upload Format'!$A$3:$K$203</definedName>
  </definedNames>
  <calcPr calcId="144525"/>
</workbook>
</file>

<file path=xl/sharedStrings.xml><?xml version="1.0" encoding="utf-8"?>
<sst xmlns="http://schemas.openxmlformats.org/spreadsheetml/2006/main" count="14636" uniqueCount="1924">
  <si>
    <t>RANGKUMAN HASIL WEB SURVEY (CS SURVEY BY WEB)</t>
  </si>
  <si>
    <t>COPY PASTE VALUE HERE</t>
  </si>
  <si>
    <t>DATA ON THOSE COLUMN WILL BE UPLOADED</t>
  </si>
  <si>
    <t>No</t>
  </si>
  <si>
    <t>FU type</t>
  </si>
  <si>
    <t>Notif / Job Order</t>
  </si>
  <si>
    <t>Q1 point</t>
  </si>
  <si>
    <t>Q1 remark</t>
  </si>
  <si>
    <t>Q2 point</t>
  </si>
  <si>
    <t>Q2 remark</t>
  </si>
  <si>
    <t>Q3 point</t>
  </si>
  <si>
    <t>Q3 remark</t>
  </si>
  <si>
    <t>Q4 point</t>
  </si>
  <si>
    <t>Datetime submission</t>
  </si>
  <si>
    <t>FU-ACInstall</t>
  </si>
  <si>
    <t>TBS13A2600334</t>
  </si>
  <si>
    <t>Yes, There is installation (10)</t>
  </si>
  <si>
    <t/>
  </si>
  <si>
    <t>Good (10)</t>
  </si>
  <si>
    <t>-</t>
  </si>
  <si>
    <t>2026-06-14 00:29:00'</t>
  </si>
  <si>
    <t>TBS13A2600338</t>
  </si>
  <si>
    <t>2026-06-13 20:55:00'</t>
  </si>
  <si>
    <t>ASA10A2602584</t>
  </si>
  <si>
    <t>2026-06-12 19:54:00'</t>
  </si>
  <si>
    <t>MII13A2600682</t>
  </si>
  <si>
    <t>2026-06-12 09:52:00'</t>
  </si>
  <si>
    <t>FU-Z1-Eng</t>
  </si>
  <si>
    <t>1100356966</t>
  </si>
  <si>
    <t>Good (5)</t>
  </si>
  <si>
    <t>Appropriate with SAP / in Warranty (10)</t>
  </si>
  <si>
    <t>2026-06-15 21:10:00'</t>
  </si>
  <si>
    <t>204471226</t>
  </si>
  <si>
    <t>Not Good (-10)</t>
  </si>
  <si>
    <t>Jelas (5)</t>
  </si>
  <si>
    <t>2026-06-15 17:31:00'</t>
  </si>
  <si>
    <t>1703A2600164</t>
  </si>
  <si>
    <t>Very Good (10)</t>
  </si>
  <si>
    <t>2026-06-15 17:03:00'</t>
  </si>
  <si>
    <t>1100357146</t>
  </si>
  <si>
    <t>2026-06-15 15:24:00'</t>
  </si>
  <si>
    <t>204474761</t>
  </si>
  <si>
    <t>2026-06-15 15:04:00'</t>
  </si>
  <si>
    <t>4101A2600566</t>
  </si>
  <si>
    <t>2026-06-15 15:01:00'</t>
  </si>
  <si>
    <t>100987652</t>
  </si>
  <si>
    <t>2026-06-15 14:24:00'</t>
  </si>
  <si>
    <t>204474481</t>
  </si>
  <si>
    <t>2026-06-15 13:37:00'</t>
  </si>
  <si>
    <t>204471365</t>
  </si>
  <si>
    <t>Tidak ada penjelasan (-5)</t>
  </si>
  <si>
    <t>2026-06-15 12:42:00'</t>
  </si>
  <si>
    <t>204472876</t>
  </si>
  <si>
    <t>2026-06-15 09:58:00'</t>
  </si>
  <si>
    <t>204467113</t>
  </si>
  <si>
    <t>2026-06-15 06:56:00'</t>
  </si>
  <si>
    <t>204462496</t>
  </si>
  <si>
    <t>2026-06-14 21:24:00'</t>
  </si>
  <si>
    <t>204474549</t>
  </si>
  <si>
    <t>2026-06-14 20:56:00'</t>
  </si>
  <si>
    <t>204475658</t>
  </si>
  <si>
    <t>2026-06-14 20:31:00'</t>
  </si>
  <si>
    <t>100986986</t>
  </si>
  <si>
    <t>2026-06-14 20:03:00'</t>
  </si>
  <si>
    <t>204469290</t>
  </si>
  <si>
    <t>2026-06-14 18:34:00'</t>
  </si>
  <si>
    <t>204472872</t>
  </si>
  <si>
    <t>2026-06-14 18:09:00'</t>
  </si>
  <si>
    <t>204473377</t>
  </si>
  <si>
    <t>2026-06-14 17:43:00'</t>
  </si>
  <si>
    <t>204462975</t>
  </si>
  <si>
    <t>2026-06-14 17:39:00'</t>
  </si>
  <si>
    <t>204476230</t>
  </si>
  <si>
    <t>2026-06-14 17:37:00'</t>
  </si>
  <si>
    <t>1611A2600507</t>
  </si>
  <si>
    <t>2026-06-14 17:13:00'</t>
  </si>
  <si>
    <t>204469495</t>
  </si>
  <si>
    <t>2026-06-14 17:07:00'</t>
  </si>
  <si>
    <t>204471996</t>
  </si>
  <si>
    <t>2026-06-14 16:50:00'</t>
  </si>
  <si>
    <t>1119A2600302</t>
  </si>
  <si>
    <t>2026-06-14 16:36:00'</t>
  </si>
  <si>
    <t>204474356</t>
  </si>
  <si>
    <t>2026-06-14 16:29:00'</t>
  </si>
  <si>
    <t>204474225</t>
  </si>
  <si>
    <t>2026-06-14 16:13:00'</t>
  </si>
  <si>
    <t>1033A2601367</t>
  </si>
  <si>
    <t>Different with SAP (-10)</t>
  </si>
  <si>
    <t>2026-06-14 16:06:00'</t>
  </si>
  <si>
    <t>204469760</t>
  </si>
  <si>
    <t>204472219</t>
  </si>
  <si>
    <t>2026-06-14 15:57:00'</t>
  </si>
  <si>
    <t>1611A2600502</t>
  </si>
  <si>
    <t>2026-06-14 15:53:00'</t>
  </si>
  <si>
    <t>204473727</t>
  </si>
  <si>
    <t>2026-06-14 15:49:00'</t>
  </si>
  <si>
    <t>204465612</t>
  </si>
  <si>
    <t>2026-06-14 15:37:00'</t>
  </si>
  <si>
    <t>204472810</t>
  </si>
  <si>
    <t>2026-06-14 15:35:00'</t>
  </si>
  <si>
    <t>204475439</t>
  </si>
  <si>
    <t>2026-06-14 15:34:00'</t>
  </si>
  <si>
    <t>204470374</t>
  </si>
  <si>
    <t>2026-06-14 15:28:00'</t>
  </si>
  <si>
    <t>204474668</t>
  </si>
  <si>
    <t>204474296</t>
  </si>
  <si>
    <t>2026-06-14 15:27:00'</t>
  </si>
  <si>
    <t>204476057</t>
  </si>
  <si>
    <t>204474948</t>
  </si>
  <si>
    <t>2026-06-14 15:26:00'</t>
  </si>
  <si>
    <t>1105A2603413</t>
  </si>
  <si>
    <t>2026-06-14 15:25:00'</t>
  </si>
  <si>
    <t>100986808</t>
  </si>
  <si>
    <t>2026-06-14 15:24:00'</t>
  </si>
  <si>
    <t>204464398</t>
  </si>
  <si>
    <t>2026-06-14 15:16:00'</t>
  </si>
  <si>
    <t>204476281</t>
  </si>
  <si>
    <t>2026-06-14 15:15:00'</t>
  </si>
  <si>
    <t>1033A2601370</t>
  </si>
  <si>
    <t>2026-06-14 15:10:00'</t>
  </si>
  <si>
    <t>204474491</t>
  </si>
  <si>
    <t>2026-06-14 15:06:00'</t>
  </si>
  <si>
    <t>1105A2603415</t>
  </si>
  <si>
    <t>Bad (-10)</t>
  </si>
  <si>
    <t>Saya harusnya dpt garansi unit serta prion tapi pada saat unit di ganti preoin saya tidak di isi karena saya sdh beli sendiri namun tidak ada ganti dr pihak teknisi shap dgn alasan sdh saya isi .knp saya isi karena kelamaan menunggu umit garansi dr shapr nya</t>
  </si>
  <si>
    <t>204473783</t>
  </si>
  <si>
    <t>100988786</t>
  </si>
  <si>
    <t>2026-06-14 15:05:00'</t>
  </si>
  <si>
    <t>204474358</t>
  </si>
  <si>
    <t>2026-06-14 15:04:00'</t>
  </si>
  <si>
    <t>204474434</t>
  </si>
  <si>
    <t>2026-06-14 15:03:00'</t>
  </si>
  <si>
    <t>204460330</t>
  </si>
  <si>
    <t>2026-06-14 15:02:00'</t>
  </si>
  <si>
    <t>204474027</t>
  </si>
  <si>
    <t>100988612</t>
  </si>
  <si>
    <t>204474777</t>
  </si>
  <si>
    <t>2026-06-14 15:01:00'</t>
  </si>
  <si>
    <t>1014A2602110</t>
  </si>
  <si>
    <t>2026-06-14 12:04:00'</t>
  </si>
  <si>
    <t>204437031</t>
  </si>
  <si>
    <t>2026-06-14 11:18:00'</t>
  </si>
  <si>
    <t>1214A2603524</t>
  </si>
  <si>
    <t>2026-06-14 10:42:00'</t>
  </si>
  <si>
    <t>204459372</t>
  </si>
  <si>
    <t>2026-06-14 10:38:00'</t>
  </si>
  <si>
    <t>204459735</t>
  </si>
  <si>
    <t>2026-06-14 08:38:00'</t>
  </si>
  <si>
    <t>204467777</t>
  </si>
  <si>
    <t>2026-06-14 08:37:00'</t>
  </si>
  <si>
    <t>204475055</t>
  </si>
  <si>
    <t>2026-06-14 08:28:00'</t>
  </si>
  <si>
    <t>204473722</t>
  </si>
  <si>
    <t xml:space="preserve">Ac Indoor tiba-tiba tertutup (mati) dan lampu indikator berkedip, padahal remot AC tidak dimatikan. Itu terjadi ketika sedang tidur jadi tidak tau kapan AC nya mati. AC harus disetting kipasnya level 3 baru terasa dingin, itu pun dingin karena terkena kipasnya langsung dan bukan ruangannya yang dingin. AC Outdoor juga bunyinya kadang berisik, terus tiba-tiba anteng seperti mati sendiri. </t>
  </si>
  <si>
    <t>Kurang jelas (3)</t>
  </si>
  <si>
    <t>2026-06-14 05:23:00'</t>
  </si>
  <si>
    <t>1033A2601439</t>
  </si>
  <si>
    <t>2026-06-14 05:21:00'</t>
  </si>
  <si>
    <t>204475022</t>
  </si>
  <si>
    <t>2026-06-14 05:00:00'</t>
  </si>
  <si>
    <t>204469867</t>
  </si>
  <si>
    <t>2026-06-14 00:48:00'</t>
  </si>
  <si>
    <t>100988317</t>
  </si>
  <si>
    <t>2026-06-14 00:43:00'</t>
  </si>
  <si>
    <t>204473793</t>
  </si>
  <si>
    <t>2026-06-13 23:27:00'</t>
  </si>
  <si>
    <t>204475305</t>
  </si>
  <si>
    <t>2026-06-13 23:09:00'</t>
  </si>
  <si>
    <t>204475359</t>
  </si>
  <si>
    <t>2026-06-13 23:07:00'</t>
  </si>
  <si>
    <t>204472239</t>
  </si>
  <si>
    <t>2026-06-13 21:44:00'</t>
  </si>
  <si>
    <t>100984537</t>
  </si>
  <si>
    <t>2026-06-13 21:26:00'</t>
  </si>
  <si>
    <t>100986340</t>
  </si>
  <si>
    <t>2026-06-13 20:35:00'</t>
  </si>
  <si>
    <t>204471879</t>
  </si>
  <si>
    <t>2026-06-13 20:29:00'</t>
  </si>
  <si>
    <t>100987664</t>
  </si>
  <si>
    <t>2026-06-13 20:26:00'</t>
  </si>
  <si>
    <t>1105A2603066</t>
  </si>
  <si>
    <t>2026-06-13 19:54:00'</t>
  </si>
  <si>
    <t>204463046</t>
  </si>
  <si>
    <t>2026-06-13 19:44:00'</t>
  </si>
  <si>
    <t>1100356626</t>
  </si>
  <si>
    <t>2026-06-13 19:29:00'</t>
  </si>
  <si>
    <t>204475222</t>
  </si>
  <si>
    <t>2026-06-13 18:39:00'</t>
  </si>
  <si>
    <t>1033A2601216</t>
  </si>
  <si>
    <t>2026-06-13 18:27:00'</t>
  </si>
  <si>
    <t>100986677</t>
  </si>
  <si>
    <t>2026-06-13 18:06:00'</t>
  </si>
  <si>
    <t>100988450</t>
  </si>
  <si>
    <t>2026-06-13 17:47:00'</t>
  </si>
  <si>
    <t>204475058</t>
  </si>
  <si>
    <t>2026-06-13 17:43:00'</t>
  </si>
  <si>
    <t>204472325</t>
  </si>
  <si>
    <t>2026-06-13 17:39:00'</t>
  </si>
  <si>
    <t>204462872</t>
  </si>
  <si>
    <t>204472927</t>
  </si>
  <si>
    <t>2026-06-13 17:35:00'</t>
  </si>
  <si>
    <t>204457565</t>
  </si>
  <si>
    <t>2026-06-13 17:30:00'</t>
  </si>
  <si>
    <t>100987836</t>
  </si>
  <si>
    <t>Average (3)</t>
  </si>
  <si>
    <t>2026-06-13 17:28:00'</t>
  </si>
  <si>
    <t>204475413</t>
  </si>
  <si>
    <t>2026-06-13 17:15:00'</t>
  </si>
  <si>
    <t>204475285</t>
  </si>
  <si>
    <t>2026-06-13 17:06:00'</t>
  </si>
  <si>
    <t>204472614</t>
  </si>
  <si>
    <t>2026-06-13 16:42:00'</t>
  </si>
  <si>
    <t>204475184</t>
  </si>
  <si>
    <t>2026-06-13 16:35:00'</t>
  </si>
  <si>
    <t>100986807</t>
  </si>
  <si>
    <t>2026-06-13 16:34:00'</t>
  </si>
  <si>
    <t>1100357418</t>
  </si>
  <si>
    <t>2026-06-13 16:30:00'</t>
  </si>
  <si>
    <t>204462237</t>
  </si>
  <si>
    <t>2026-06-13 16:19:00'</t>
  </si>
  <si>
    <t>204472607</t>
  </si>
  <si>
    <t>2026-06-13 16:12:00'</t>
  </si>
  <si>
    <t>204379917</t>
  </si>
  <si>
    <t>1100356792</t>
  </si>
  <si>
    <t>2026-06-13 16:11:00'</t>
  </si>
  <si>
    <t>204473089</t>
  </si>
  <si>
    <t>2026-06-13 16:08:00'</t>
  </si>
  <si>
    <t>100976378</t>
  </si>
  <si>
    <t>2026-06-13 15:57:00'</t>
  </si>
  <si>
    <t>204317707</t>
  </si>
  <si>
    <t>2026-06-13 15:56:00'</t>
  </si>
  <si>
    <t>1214A2603380</t>
  </si>
  <si>
    <t>204472811</t>
  </si>
  <si>
    <t>2026-06-13 15:55:00'</t>
  </si>
  <si>
    <t>204472813</t>
  </si>
  <si>
    <t>204473330</t>
  </si>
  <si>
    <t>2026-06-13 15:44:00'</t>
  </si>
  <si>
    <t>1105A2603376</t>
  </si>
  <si>
    <t>2026-06-13 15:41:00'</t>
  </si>
  <si>
    <t>204470085</t>
  </si>
  <si>
    <t>2026-06-13 15:37:00'</t>
  </si>
  <si>
    <t>204473327</t>
  </si>
  <si>
    <t>204472517</t>
  </si>
  <si>
    <t>2026-06-13 15:35:00'</t>
  </si>
  <si>
    <t>204473498</t>
  </si>
  <si>
    <t>2026-06-13 15:32:00'</t>
  </si>
  <si>
    <t>1214A2603541</t>
  </si>
  <si>
    <t>2026-06-13 15:30:00'</t>
  </si>
  <si>
    <t>1033A2601343</t>
  </si>
  <si>
    <t>204475155</t>
  </si>
  <si>
    <t>204472265</t>
  </si>
  <si>
    <t>2026-06-13 15:28:00'</t>
  </si>
  <si>
    <t>204462367</t>
  </si>
  <si>
    <t>2026-06-13 15:26:00'</t>
  </si>
  <si>
    <t>204462384</t>
  </si>
  <si>
    <t>204466097</t>
  </si>
  <si>
    <t>ada seperti beberapa putih-putih pada panel tv</t>
  </si>
  <si>
    <t>2026-06-13 15:22:00'</t>
  </si>
  <si>
    <t>100987300</t>
  </si>
  <si>
    <t>2026-06-13 15:20:00'</t>
  </si>
  <si>
    <t>204469391</t>
  </si>
  <si>
    <t>2026-06-13 15:19:00'</t>
  </si>
  <si>
    <t>100988201</t>
  </si>
  <si>
    <t>2026-06-13 15:18:00'</t>
  </si>
  <si>
    <t>204472025</t>
  </si>
  <si>
    <t>2026-06-13 15:16:00'</t>
  </si>
  <si>
    <t>204472181</t>
  </si>
  <si>
    <t>204464225</t>
  </si>
  <si>
    <t>204474994</t>
  </si>
  <si>
    <t>2026-06-13 15:15:00'</t>
  </si>
  <si>
    <t>204473075</t>
  </si>
  <si>
    <t>3309A2600202</t>
  </si>
  <si>
    <t>2026-06-13 15:13:00'</t>
  </si>
  <si>
    <t>204473699</t>
  </si>
  <si>
    <t>2026-06-13 15:12:00'</t>
  </si>
  <si>
    <t>4102A2600664</t>
  </si>
  <si>
    <t>204460620</t>
  </si>
  <si>
    <t>2026-06-13 15:11:00'</t>
  </si>
  <si>
    <t>204468244</t>
  </si>
  <si>
    <t>1214A2603325</t>
  </si>
  <si>
    <t>2026-06-13 15:10:00'</t>
  </si>
  <si>
    <t>1100357019</t>
  </si>
  <si>
    <t>2026-06-13 15:09:00'</t>
  </si>
  <si>
    <t>204473230</t>
  </si>
  <si>
    <t>204464029</t>
  </si>
  <si>
    <t>3309A2600252</t>
  </si>
  <si>
    <t>2026-06-13 15:08:00'</t>
  </si>
  <si>
    <t>204473360</t>
  </si>
  <si>
    <t>204474069</t>
  </si>
  <si>
    <t>2026-06-13 15:07:00'</t>
  </si>
  <si>
    <t>1100357352</t>
  </si>
  <si>
    <t>1033A2601422</t>
  </si>
  <si>
    <t>100987598</t>
  </si>
  <si>
    <t>1506A2600033</t>
  </si>
  <si>
    <t>204463327</t>
  </si>
  <si>
    <t>2026-06-13 15:06:00'</t>
  </si>
  <si>
    <t>1100357052</t>
  </si>
  <si>
    <t>204474811</t>
  </si>
  <si>
    <t>2026-06-13 15:05:00'</t>
  </si>
  <si>
    <t>1100357017</t>
  </si>
  <si>
    <t>204474806</t>
  </si>
  <si>
    <t>2026-06-13 15:04:00'</t>
  </si>
  <si>
    <t>204452788</t>
  </si>
  <si>
    <t>204462119</t>
  </si>
  <si>
    <t>1214A2603425</t>
  </si>
  <si>
    <t>204474117</t>
  </si>
  <si>
    <t>2026-06-13 15:03:00'</t>
  </si>
  <si>
    <t>204472972</t>
  </si>
  <si>
    <t>2026-06-13 15:02:00'</t>
  </si>
  <si>
    <t>204466251</t>
  </si>
  <si>
    <t>204473739</t>
  </si>
  <si>
    <t>2026-06-13 15:01:00'</t>
  </si>
  <si>
    <t>204475674</t>
  </si>
  <si>
    <t>100986773</t>
  </si>
  <si>
    <t>2026-06-13 12:47:00'</t>
  </si>
  <si>
    <t>1100355531</t>
  </si>
  <si>
    <t>2026-06-13 12:07:00'</t>
  </si>
  <si>
    <t>204463919</t>
  </si>
  <si>
    <t>2026-06-13 10:02:00'</t>
  </si>
  <si>
    <t>204450527</t>
  </si>
  <si>
    <t>2026-06-13 10:00:00'</t>
  </si>
  <si>
    <t>204459116</t>
  </si>
  <si>
    <t>2026-06-13 07:46:00'</t>
  </si>
  <si>
    <t>1916A2600305</t>
  </si>
  <si>
    <t>2026-06-13 07:44:00'</t>
  </si>
  <si>
    <t>100984938</t>
  </si>
  <si>
    <t>2026-06-13 04:49:00'</t>
  </si>
  <si>
    <t>204474054</t>
  </si>
  <si>
    <t>2026-06-13 03:54:00'</t>
  </si>
  <si>
    <t>204461014</t>
  </si>
  <si>
    <t>2026-06-13 00:56:00'</t>
  </si>
  <si>
    <t>1100356542</t>
  </si>
  <si>
    <t>2026-06-13 00:53:00'</t>
  </si>
  <si>
    <t>204445343</t>
  </si>
  <si>
    <t>2026-06-13 00:29:00'</t>
  </si>
  <si>
    <t>204471067</t>
  </si>
  <si>
    <t>2026-06-12 21:46:00'</t>
  </si>
  <si>
    <t>1100355028</t>
  </si>
  <si>
    <t>2026-06-12 21:27:00'</t>
  </si>
  <si>
    <t>202687440</t>
  </si>
  <si>
    <t>2026-06-12 21:24:00'</t>
  </si>
  <si>
    <t>204472280</t>
  </si>
  <si>
    <t>2026-06-12 20:30:00'</t>
  </si>
  <si>
    <t>100988472</t>
  </si>
  <si>
    <t>2026-06-12 20:23:00'</t>
  </si>
  <si>
    <t>204463953</t>
  </si>
  <si>
    <t>2026-06-12 20:18:00'</t>
  </si>
  <si>
    <t>204467459</t>
  </si>
  <si>
    <t>2026-06-12 19:37:00'</t>
  </si>
  <si>
    <t>204473041</t>
  </si>
  <si>
    <t>2026-06-12 18:55:00'</t>
  </si>
  <si>
    <t>204468273</t>
  </si>
  <si>
    <t>2026-06-12 18:54:00'</t>
  </si>
  <si>
    <t>204471283</t>
  </si>
  <si>
    <t>204474807</t>
  </si>
  <si>
    <t>2026-06-12 18:29:00'</t>
  </si>
  <si>
    <t>1100356674</t>
  </si>
  <si>
    <t>204442865</t>
  </si>
  <si>
    <t>2026-06-12 17:58:00'</t>
  </si>
  <si>
    <t>204446566</t>
  </si>
  <si>
    <t>2026-06-12 17:57:00'</t>
  </si>
  <si>
    <t>204468631</t>
  </si>
  <si>
    <t>1105A2603203</t>
  </si>
  <si>
    <t>2026-06-12 17:53:00'</t>
  </si>
  <si>
    <t>204472996</t>
  </si>
  <si>
    <t>2026-06-12 17:24:00'</t>
  </si>
  <si>
    <t>2026-06-12 17:09:00'</t>
  </si>
  <si>
    <t>204472438</t>
  </si>
  <si>
    <t>2026-06-12 17:06:00'</t>
  </si>
  <si>
    <t>2026-06-12 16:41:00'</t>
  </si>
  <si>
    <t>204468974</t>
  </si>
  <si>
    <t>204472182</t>
  </si>
  <si>
    <t>2026-06-12 16:38:00'</t>
  </si>
  <si>
    <t>1047A2601551</t>
  </si>
  <si>
    <t>204466495</t>
  </si>
  <si>
    <t>2026-06-12 16:37:00'</t>
  </si>
  <si>
    <t>204468756</t>
  </si>
  <si>
    <t>2026-06-12 16:28:00'</t>
  </si>
  <si>
    <t>204472009</t>
  </si>
  <si>
    <t>2026-06-12 16:26:00'</t>
  </si>
  <si>
    <t>1105A2603030</t>
  </si>
  <si>
    <t>2026-06-12 16:18:00'</t>
  </si>
  <si>
    <t>100987710</t>
  </si>
  <si>
    <t>2026-06-12 16:12:00'</t>
  </si>
  <si>
    <t>204473235</t>
  </si>
  <si>
    <t>2026-06-12 16:05:00'</t>
  </si>
  <si>
    <t>1014A2602355</t>
  </si>
  <si>
    <t>1100356897</t>
  </si>
  <si>
    <t>2026-06-12 16:02:00'</t>
  </si>
  <si>
    <t>204464342</t>
  </si>
  <si>
    <t>2026-06-12 15:54:00'</t>
  </si>
  <si>
    <t>204457459</t>
  </si>
  <si>
    <t>100988440</t>
  </si>
  <si>
    <t>2026-06-12 15:53:00'</t>
  </si>
  <si>
    <t>204471530</t>
  </si>
  <si>
    <t>204473971</t>
  </si>
  <si>
    <t>2026-06-12 15:50:00'</t>
  </si>
  <si>
    <t>1105A2603352</t>
  </si>
  <si>
    <t>2026-06-12 15:45:00'</t>
  </si>
  <si>
    <t>204472566</t>
  </si>
  <si>
    <t>2026-06-12 15:40:00'</t>
  </si>
  <si>
    <t>204473048</t>
  </si>
  <si>
    <t>2026-06-12 15:38:00'</t>
  </si>
  <si>
    <t>204474056</t>
  </si>
  <si>
    <t>2026-06-12 15:35:00'</t>
  </si>
  <si>
    <t>100986880</t>
  </si>
  <si>
    <t>2026-06-12 15:34:00'</t>
  </si>
  <si>
    <t>204469797</t>
  </si>
  <si>
    <t>2026-06-12 15:33:00'</t>
  </si>
  <si>
    <t>204474538</t>
  </si>
  <si>
    <t>2026-06-12 15:30:00'</t>
  </si>
  <si>
    <t>204472257</t>
  </si>
  <si>
    <t>2026-06-12 15:29:00'</t>
  </si>
  <si>
    <t>204473120</t>
  </si>
  <si>
    <t>2026-06-12 15:28:00'</t>
  </si>
  <si>
    <t>100988118</t>
  </si>
  <si>
    <t>2026-06-12 15:27:00'</t>
  </si>
  <si>
    <t>2604A2600235</t>
  </si>
  <si>
    <t>2026-06-12 15:26:00'</t>
  </si>
  <si>
    <t>204472276</t>
  </si>
  <si>
    <t>2026-06-12 15:24:00'</t>
  </si>
  <si>
    <t>204472838</t>
  </si>
  <si>
    <t>2026-06-12 15:23:00'</t>
  </si>
  <si>
    <t>204472359</t>
  </si>
  <si>
    <t>1516A2600132</t>
  </si>
  <si>
    <t>2026-06-12 15:20:00'</t>
  </si>
  <si>
    <t>204469505</t>
  </si>
  <si>
    <t>2026-06-12 15:19:00'</t>
  </si>
  <si>
    <t>204467696</t>
  </si>
  <si>
    <t>2026-06-12 15:17:00'</t>
  </si>
  <si>
    <t>100987817</t>
  </si>
  <si>
    <t>2026-06-12 15:16:00'</t>
  </si>
  <si>
    <t>100988457</t>
  </si>
  <si>
    <t>2026-06-12 15:15:00'</t>
  </si>
  <si>
    <t>1105A2602778</t>
  </si>
  <si>
    <t>2026-06-12 15:14:00'</t>
  </si>
  <si>
    <t>1714A2600144</t>
  </si>
  <si>
    <t>2026-06-12 15:13:00'</t>
  </si>
  <si>
    <t>1105A2603128</t>
  </si>
  <si>
    <t>2026-06-12 15:12:00'</t>
  </si>
  <si>
    <t>204472823</t>
  </si>
  <si>
    <t>2026-06-12 15:10:00'</t>
  </si>
  <si>
    <t>1047A2601676</t>
  </si>
  <si>
    <t>1214A2603343</t>
  </si>
  <si>
    <t>2026-06-12 15:08:00'</t>
  </si>
  <si>
    <t>1047A2601666</t>
  </si>
  <si>
    <t>4102A2600651</t>
  </si>
  <si>
    <t>204473617</t>
  </si>
  <si>
    <t>2026-06-12 15:07:00'</t>
  </si>
  <si>
    <t>204471071</t>
  </si>
  <si>
    <t>2026-06-12 15:06:00'</t>
  </si>
  <si>
    <t>204473775</t>
  </si>
  <si>
    <t>204471504</t>
  </si>
  <si>
    <t>204469140</t>
  </si>
  <si>
    <t>204471260</t>
  </si>
  <si>
    <t>204474339</t>
  </si>
  <si>
    <t>2026-06-12 15:05:00'</t>
  </si>
  <si>
    <t>204469964</t>
  </si>
  <si>
    <t>204472082</t>
  </si>
  <si>
    <t>204472803</t>
  </si>
  <si>
    <t>1516A2600114</t>
  </si>
  <si>
    <t>1047A2601562</t>
  </si>
  <si>
    <t>1100356723</t>
  </si>
  <si>
    <t>100987520</t>
  </si>
  <si>
    <t>100986225</t>
  </si>
  <si>
    <t>2026-06-12 15:04:00'</t>
  </si>
  <si>
    <t>204469751</t>
  </si>
  <si>
    <t>204471423</t>
  </si>
  <si>
    <t>204441186</t>
  </si>
  <si>
    <t>100987521</t>
  </si>
  <si>
    <t>2026-06-12 15:03:00'</t>
  </si>
  <si>
    <t>204425803</t>
  </si>
  <si>
    <t>204471875</t>
  </si>
  <si>
    <t>2604A2600228</t>
  </si>
  <si>
    <t>2026-06-12 15:02:00'</t>
  </si>
  <si>
    <t>204472582</t>
  </si>
  <si>
    <t>204470132</t>
  </si>
  <si>
    <t>204473717</t>
  </si>
  <si>
    <t>2026-06-12 15:01:00'</t>
  </si>
  <si>
    <t>204474161</t>
  </si>
  <si>
    <t>204472954</t>
  </si>
  <si>
    <t>204472958</t>
  </si>
  <si>
    <t>1100357056</t>
  </si>
  <si>
    <t>2026-06-12 14:24:00'</t>
  </si>
  <si>
    <t>204465992</t>
  </si>
  <si>
    <t>2026-06-12 14:10:00'</t>
  </si>
  <si>
    <t>100987914</t>
  </si>
  <si>
    <t>2026-06-12 13:49:00'</t>
  </si>
  <si>
    <t>100986597</t>
  </si>
  <si>
    <t>2026-06-12 13:48:00'</t>
  </si>
  <si>
    <t>204466972</t>
  </si>
  <si>
    <t>2026-06-12 13:41:00'</t>
  </si>
  <si>
    <t>204465283</t>
  </si>
  <si>
    <t>2026-06-12 11:36:00'</t>
  </si>
  <si>
    <t>204458187</t>
  </si>
  <si>
    <t>2026-06-12 11:00:00'</t>
  </si>
  <si>
    <t>204470445</t>
  </si>
  <si>
    <t>2026-06-12 10:13:00'</t>
  </si>
  <si>
    <t>204456887</t>
  </si>
  <si>
    <t>2026-06-12 08:31:00'</t>
  </si>
  <si>
    <t>204471489</t>
  </si>
  <si>
    <t>2026-06-12 08:11:00'</t>
  </si>
  <si>
    <t>204471636</t>
  </si>
  <si>
    <t>2026-06-12 08:08:00'</t>
  </si>
  <si>
    <t>100980199</t>
  </si>
  <si>
    <t>2026-06-12 07:56:00'</t>
  </si>
  <si>
    <t>204466216</t>
  </si>
  <si>
    <t>2026-06-12 07:11:00'</t>
  </si>
  <si>
    <t>1100355206</t>
  </si>
  <si>
    <t>2026-06-12 05:54:00'</t>
  </si>
  <si>
    <t>204468147</t>
  </si>
  <si>
    <t>2026-06-12 05:26:00'</t>
  </si>
  <si>
    <t>2026-06-12 02:22:00'</t>
  </si>
  <si>
    <t>204462366</t>
  </si>
  <si>
    <t>2026-06-11 23:00:00'</t>
  </si>
  <si>
    <t>1100356891</t>
  </si>
  <si>
    <t>2026-06-11 22:57:00'</t>
  </si>
  <si>
    <t>204473355</t>
  </si>
  <si>
    <t>2026-06-11 22:49:00'</t>
  </si>
  <si>
    <t>204452007</t>
  </si>
  <si>
    <t>2026-06-11 21:03:00'</t>
  </si>
  <si>
    <t>204466712</t>
  </si>
  <si>
    <t>2026-06-11 20:51:00'</t>
  </si>
  <si>
    <t>204469693</t>
  </si>
  <si>
    <t>2026-06-11 20:29:00'</t>
  </si>
  <si>
    <t>204448706</t>
  </si>
  <si>
    <t>2026-06-11 19:50:00'</t>
  </si>
  <si>
    <t>204470342</t>
  </si>
  <si>
    <t>2026-06-11 19:29:00'</t>
  </si>
  <si>
    <t>1014A2601926</t>
  </si>
  <si>
    <t>2026-06-11 19:20:00'</t>
  </si>
  <si>
    <t>204458782</t>
  </si>
  <si>
    <t>2026-06-11 18:49:00'</t>
  </si>
  <si>
    <t>204467315</t>
  </si>
  <si>
    <t>2026-06-11 18:47:00'</t>
  </si>
  <si>
    <t>204461164</t>
  </si>
  <si>
    <t>2026-06-11 18:38:00'</t>
  </si>
  <si>
    <t>1214A2603470</t>
  </si>
  <si>
    <t>2026-06-11 18:34:00'</t>
  </si>
  <si>
    <t>204470737</t>
  </si>
  <si>
    <t>2026-06-11 18:32:00'</t>
  </si>
  <si>
    <t>204458332</t>
  </si>
  <si>
    <t>2026-06-11 18:06:00'</t>
  </si>
  <si>
    <t>204470949</t>
  </si>
  <si>
    <t>2026-06-11 17:59:00'</t>
  </si>
  <si>
    <t>204469736</t>
  </si>
  <si>
    <t>2026-06-11 17:45:00'</t>
  </si>
  <si>
    <t>204465534</t>
  </si>
  <si>
    <t>2026-06-11 17:43:00'</t>
  </si>
  <si>
    <t>204472700</t>
  </si>
  <si>
    <t>2026-06-11 17:34:00'</t>
  </si>
  <si>
    <t>204470721</t>
  </si>
  <si>
    <t>2026-06-11 17:25:00'</t>
  </si>
  <si>
    <t>100984098</t>
  </si>
  <si>
    <t>Modol wifi nya belum datang/ sedang dipesan.,jadi masih sabungan kabel ke wifi.</t>
  </si>
  <si>
    <t>2026-06-11 17:10:00'</t>
  </si>
  <si>
    <t>204470722</t>
  </si>
  <si>
    <t>2026-06-11 17:04:00'</t>
  </si>
  <si>
    <t>204469122</t>
  </si>
  <si>
    <t>100984012</t>
  </si>
  <si>
    <t>2026-06-11 17:01:00'</t>
  </si>
  <si>
    <t>204470403</t>
  </si>
  <si>
    <t>2026-06-11 16:58:00'</t>
  </si>
  <si>
    <t>100986620</t>
  </si>
  <si>
    <t>2026-06-11 16:51:00'</t>
  </si>
  <si>
    <t>100986950</t>
  </si>
  <si>
    <t>2026-06-11 16:43:00'</t>
  </si>
  <si>
    <t>204472584</t>
  </si>
  <si>
    <t>2026-06-11 16:40:00'</t>
  </si>
  <si>
    <t>204469056</t>
  </si>
  <si>
    <t>2026-06-11 16:23:00'</t>
  </si>
  <si>
    <t>204466541</t>
  </si>
  <si>
    <t>Masih rusak tambah parah tidak dingin dan  tidak  beku sama sekali</t>
  </si>
  <si>
    <t>2026-06-11 16:16:00'</t>
  </si>
  <si>
    <t>1014A2602374</t>
  </si>
  <si>
    <t>2026-06-11 16:09:00'</t>
  </si>
  <si>
    <t>204469598</t>
  </si>
  <si>
    <t>2026-06-11 16:08:00'</t>
  </si>
  <si>
    <t>100981045</t>
  </si>
  <si>
    <t>2026-06-11 15:59:00'</t>
  </si>
  <si>
    <t>204471682</t>
  </si>
  <si>
    <t>2026-06-11 15:53:00'</t>
  </si>
  <si>
    <t>100983772</t>
  </si>
  <si>
    <t>2026-06-11 15:50:00'</t>
  </si>
  <si>
    <t>100987504</t>
  </si>
  <si>
    <t>2026-06-11 15:49:00'</t>
  </si>
  <si>
    <t>204473373</t>
  </si>
  <si>
    <t>2026-06-11 15:46:00'</t>
  </si>
  <si>
    <t>100988093</t>
  </si>
  <si>
    <t>2026-06-11 15:44:00'</t>
  </si>
  <si>
    <t>204470281</t>
  </si>
  <si>
    <t>2026-06-11 15:42:00'</t>
  </si>
  <si>
    <t>1100356687</t>
  </si>
  <si>
    <t>2026-06-11 15:41:00'</t>
  </si>
  <si>
    <t>204469914</t>
  </si>
  <si>
    <t>204472833</t>
  </si>
  <si>
    <t>2026-06-11 15:39:00'</t>
  </si>
  <si>
    <t>204471216</t>
  </si>
  <si>
    <t>2026-06-11 15:38:00'</t>
  </si>
  <si>
    <t>100988232</t>
  </si>
  <si>
    <t>204470692</t>
  </si>
  <si>
    <t>2026-06-11 15:37:00'</t>
  </si>
  <si>
    <t>204467483</t>
  </si>
  <si>
    <t>2026-06-11 15:36:00'</t>
  </si>
  <si>
    <t>204469472</t>
  </si>
  <si>
    <t>204466334</t>
  </si>
  <si>
    <t>2026-06-11 15:35:00'</t>
  </si>
  <si>
    <t>204471772</t>
  </si>
  <si>
    <t>2026-06-11 15:34:00'</t>
  </si>
  <si>
    <t>204471896</t>
  </si>
  <si>
    <t>2026-06-11 15:33:00'</t>
  </si>
  <si>
    <t>204464841</t>
  </si>
  <si>
    <t>2026-06-11 15:32:00'</t>
  </si>
  <si>
    <t>204469299</t>
  </si>
  <si>
    <t>2026-06-11 15:30:00'</t>
  </si>
  <si>
    <t>204471796</t>
  </si>
  <si>
    <t>2026-06-11 15:28:00'</t>
  </si>
  <si>
    <t>204455412</t>
  </si>
  <si>
    <t>2026-06-11 15:26:00'</t>
  </si>
  <si>
    <t>1100355085</t>
  </si>
  <si>
    <t>2026-06-11 15:25:00'</t>
  </si>
  <si>
    <t>204455413</t>
  </si>
  <si>
    <t>204471646</t>
  </si>
  <si>
    <t>204455426</t>
  </si>
  <si>
    <t>204455428</t>
  </si>
  <si>
    <t>1100355996</t>
  </si>
  <si>
    <t>2026-06-11 15:24:00'</t>
  </si>
  <si>
    <t>204469662</t>
  </si>
  <si>
    <t>204455403</t>
  </si>
  <si>
    <t>204469383</t>
  </si>
  <si>
    <t>2026-06-11 15:23:00'</t>
  </si>
  <si>
    <t>204460505</t>
  </si>
  <si>
    <t>2026-06-11 15:20:00'</t>
  </si>
  <si>
    <t>204469987</t>
  </si>
  <si>
    <t>204466039</t>
  </si>
  <si>
    <t>2026-06-11 15:16:00'</t>
  </si>
  <si>
    <t>204444639</t>
  </si>
  <si>
    <t>204465611</t>
  </si>
  <si>
    <t>2026-06-11 15:14:00'</t>
  </si>
  <si>
    <t>204470145</t>
  </si>
  <si>
    <t>2026-06-11 15:13:00'</t>
  </si>
  <si>
    <t>1214A2603444</t>
  </si>
  <si>
    <t>204468369</t>
  </si>
  <si>
    <t>100988298</t>
  </si>
  <si>
    <t>2026-06-11 15:12:00'</t>
  </si>
  <si>
    <t>100987965</t>
  </si>
  <si>
    <t>2026-06-11 15:11:00'</t>
  </si>
  <si>
    <t>204441032</t>
  </si>
  <si>
    <t>2026-06-11 15:10:00'</t>
  </si>
  <si>
    <t>204471770</t>
  </si>
  <si>
    <t>2026-06-11 15:09:00'</t>
  </si>
  <si>
    <t>204473494</t>
  </si>
  <si>
    <t>2026-06-11 15:08:00'</t>
  </si>
  <si>
    <t>204470428</t>
  </si>
  <si>
    <t>204467983</t>
  </si>
  <si>
    <t>2026-06-11 15:07:00'</t>
  </si>
  <si>
    <t>204471019</t>
  </si>
  <si>
    <t>2026-06-11 15:06:00'</t>
  </si>
  <si>
    <t>204472836</t>
  </si>
  <si>
    <t>204472579</t>
  </si>
  <si>
    <t>204470255</t>
  </si>
  <si>
    <t>2026-06-11 15:05:00'</t>
  </si>
  <si>
    <t>204471673</t>
  </si>
  <si>
    <t>204465269</t>
  </si>
  <si>
    <t>204471945</t>
  </si>
  <si>
    <t>204430307</t>
  </si>
  <si>
    <t>2026-06-11 15:04:00'</t>
  </si>
  <si>
    <t>1014A2602133</t>
  </si>
  <si>
    <t>1100355784</t>
  </si>
  <si>
    <t>2026-06-11 15:03:00'</t>
  </si>
  <si>
    <t>204469324</t>
  </si>
  <si>
    <t>2026-06-11 15:02:00'</t>
  </si>
  <si>
    <t>204470667</t>
  </si>
  <si>
    <t>204471175</t>
  </si>
  <si>
    <t>204471265</t>
  </si>
  <si>
    <t>2521A2600738</t>
  </si>
  <si>
    <t>2026-06-11 15:01:00'</t>
  </si>
  <si>
    <t>204464438</t>
  </si>
  <si>
    <t>204470849</t>
  </si>
  <si>
    <t>204441327</t>
  </si>
  <si>
    <t>2026-06-11 14:58:00'</t>
  </si>
  <si>
    <t>204457484</t>
  </si>
  <si>
    <t>2026-06-11 14:44:00'</t>
  </si>
  <si>
    <t>204470206</t>
  </si>
  <si>
    <t>2026-06-11 14:39:00'</t>
  </si>
  <si>
    <t>204456774</t>
  </si>
  <si>
    <t>2026-06-11 14:09:00'</t>
  </si>
  <si>
    <t>1214A2603153</t>
  </si>
  <si>
    <t>2026-06-11 14:08:00'</t>
  </si>
  <si>
    <t>204451589</t>
  </si>
  <si>
    <t>2026-06-11 14:01:00'</t>
  </si>
  <si>
    <t>204467230</t>
  </si>
  <si>
    <t>2026-06-11 13:59:00'</t>
  </si>
  <si>
    <t>204455179</t>
  </si>
  <si>
    <t>2026-06-11 13:52:00'</t>
  </si>
  <si>
    <t>1900-01-00 00:00:00'</t>
  </si>
  <si>
    <t>id</t>
  </si>
  <si>
    <t>uid</t>
  </si>
  <si>
    <t>pid</t>
  </si>
  <si>
    <t>q1 value</t>
  </si>
  <si>
    <t>q2 value</t>
  </si>
  <si>
    <t>q3 value</t>
  </si>
  <si>
    <t>q4 value</t>
  </si>
  <si>
    <t>q5 value</t>
  </si>
  <si>
    <t>q6 value</t>
  </si>
  <si>
    <t>q7 value</t>
  </si>
  <si>
    <t>Total</t>
  </si>
  <si>
    <t>q1 text</t>
  </si>
  <si>
    <t>q2 text</t>
  </si>
  <si>
    <t>q3 text</t>
  </si>
  <si>
    <t>q4 text</t>
  </si>
  <si>
    <t>q5 text</t>
  </si>
  <si>
    <t>q6 text</t>
  </si>
  <si>
    <t>q7text</t>
  </si>
  <si>
    <t>q1 answer</t>
  </si>
  <si>
    <t>q2 answer</t>
  </si>
  <si>
    <t>q3 answer</t>
  </si>
  <si>
    <t>q4 answer</t>
  </si>
  <si>
    <t>q5 answer</t>
  </si>
  <si>
    <t>q6 answer</t>
  </si>
  <si>
    <t>q7 answer</t>
  </si>
  <si>
    <t>date</t>
  </si>
  <si>
    <t>ref</t>
  </si>
  <si>
    <t>browser1</t>
  </si>
  <si>
    <t>ipaddress</t>
  </si>
  <si>
    <t>ipaddress_country</t>
  </si>
  <si>
    <t>M</t>
  </si>
  <si>
    <t>10</t>
  </si>
  <si>
    <t>Ya</t>
  </si>
  <si>
    <t>Baik / Dingin</t>
  </si>
  <si>
    <t>Baik</t>
  </si>
  <si>
    <t>14 Jun 2026 00:29</t>
  </si>
  <si>
    <t>Mozilla/5.0 (Linux; U; Android 12; in-id; CPH2471 Build/SP1A.210812.016) AppleWebKit/537.36 (KHTML, like Gecko) Chrome/115.0.5970.168 Mobile Safari/537.36 HeyTapBrowser/45.14.3.1</t>
  </si>
  <si>
    <t>114.122.72.48</t>
  </si>
  <si>
    <t>{"status":"success","country":"Indonesia","countryCode":"ID","region":"JB","regionName":"West Java","city":"Bandung","zip":"40287","lat":-6.9202,"lon":107.6084,"timezone":"Asia/Jakarta","isp":"PT Telekomunikasi Selular Indonesia","org":"","as":"AS23693 PT. Telekomunikasi Selular","query":"114.122.72.48"}</t>
  </si>
  <si>
    <t>13 Jun 2026 20:55</t>
  </si>
  <si>
    <t>Mozilla/5.0 (iPhone; CPU iPhone OS 16_7_16 like Mac OS X) AppleWebKit/605.1.15 (KHTML, like Gecko) Version/16.7.16 Mobile/15E148 Safari/604.1 [WAiOS/2.26.19]</t>
  </si>
  <si>
    <t>114.122.104.141</t>
  </si>
  <si>
    <t>{"status":"success","country":"Indonesia","countryCode":"ID","region":"JB","regionName":"West Java","city":"Bandung","zip":"40173","lat":-6.9564,"lon":107.6181,"timezone":"Asia/Jakarta","isp":"PT Telekomunikasi Selular Indonesia","org":"","as":"AS23693 PT. Telekomunikasi Selular","query":"114.122.104.141"}</t>
  </si>
  <si>
    <t>12 Jun 2026 19:54</t>
  </si>
  <si>
    <t>Mozilla/5.0 (Linux; Android 10; K) AppleWebKit/537.36 (KHTML, like Gecko) Chrome/149.0.0.0 Mobile Safari/537.36</t>
  </si>
  <si>
    <t>110.136.15.82</t>
  </si>
  <si>
    <t>{"status":"success","country":"Indonesia","countryCode":"ID","region":"JK","regionName":"Jakarta","city":"North Jakarta","zip":"14260","lat":-6.1272,"lon":106.9198,"timezone":"Asia/Jakarta","isp":"PT. TELKOM INDONESIA","org":"","as":"AS7713 PT Telekomunikasi Indonesia","query":"110.136.15.82"}</t>
  </si>
  <si>
    <t>12 Jun 2026 09:52</t>
  </si>
  <si>
    <t>Mozilla/5.0 (Linux; Android 10; K) AppleWebKit/537.36 (KHTML, like Gecko) Chrome/139.0.0.0 Mobile Safari/537.36</t>
  </si>
  <si>
    <t>157.85.209.47</t>
  </si>
  <si>
    <t>{"status":"success","country":"Indonesia","countryCode":"ID","region":"JB","regionName":"West Java","city":"Bekasi","zip":"17413","lat":-6.286,"lon":106.9313,"timezone":"Asia/Jakarta","isp":"XLNET","org":"","as":"AS139994 PT XL Axiata Tbk","query":"157.85.209.47"}</t>
  </si>
  <si>
    <t>5</t>
  </si>
  <si>
    <t>Bergaransi dan Tidak dikenakan biaya</t>
  </si>
  <si>
    <t>15 Jun 2026 21:10</t>
  </si>
  <si>
    <t>182.3.167.225</t>
  </si>
  <si>
    <t>{"status":"success","country":"Indonesia","countryCode":"ID","region":"PA","regionName":"Papua","city":"Jayapura","zip":"99562","lat":-2.5375,"lon":140.7193,"timezone":"Asia/Jayapura","isp":"PT Telekomunikasi Selular Indonesia","org":"","as":"AS23693 PT. Telekomunikasi Selular","query":"182.3.167.225"}</t>
  </si>
  <si>
    <t>-10</t>
  </si>
  <si>
    <t>Masih rusak (kerusakan sama)</t>
  </si>
  <si>
    <t>Jelas</t>
  </si>
  <si>
    <t>15 Jun 2026 17:31</t>
  </si>
  <si>
    <t>182.9.33.71</t>
  </si>
  <si>
    <t>{"status":"success","country":"Indonesia","countryCode":"ID","region":"SU","regionName":"North Sumatra","city":"Medan","zip":"20152","lat":3.5756,"lon":98.678,"timezone":"Asia/Jakarta","isp":"PT Telekomunikasi Selular Indonesia","org":"","as":"AS23693 PT. Telekomunikasi Selular","query":"182.9.33.71"}</t>
  </si>
  <si>
    <t xml:space="preserve">Sangat Baik	</t>
  </si>
  <si>
    <t>15 Jun 2026 17:03</t>
  </si>
  <si>
    <t>Mozilla/5.0 (Linux; Android 10; K) AppleWebKit/537.36 (KHTML, like Gecko) Chrome/145.0.0.0 Mobile Safari/537.36</t>
  </si>
  <si>
    <t>140.213.166.179</t>
  </si>
  <si>
    <t>{"status":"success","country":"Indonesia","countryCode":"ID","region":"YO","regionName":"Yogyakarta","city":"Yogyakarta","zip":"55261","lat":-7.8017,"lon":110.3544,"timezone":"Asia/Jakarta","isp":"PT Excelcomindo Pratama","org":"","as":"AS24203 PT XL Axiata","query":"140.213.166.179"}</t>
  </si>
  <si>
    <t>15 Jun 2026 15:24</t>
  </si>
  <si>
    <t>180.242.198.130</t>
  </si>
  <si>
    <t>{"status":"success","country":"Indonesia","countryCode":"ID","region":"KR","regionName":"Riau Islands","city":"Kota Batam","zip":"29432","lat":1.0265,"lon":103.9259,"timezone":"Asia/Jakarta","isp":"PT. TELKOM INDONESIA","org":"","as":"AS7713 PT Telekomunikasi Indonesia","query":"180.242.198.130"}</t>
  </si>
  <si>
    <t>15 Jun 2026 15:04</t>
  </si>
  <si>
    <t>Mozilla/5.0 (Linux; Android 10; K) AppleWebKit/537.36 (KHTML, like Gecko) SamsungBrowser/24.0 Chrome/117.0.0.0 Mobile Safari/537.36</t>
  </si>
  <si>
    <t>111.94.91.215</t>
  </si>
  <si>
    <t>{"status":"success","country":"Indonesia","countryCode":"ID","region":"JK","regionName":"Jakarta","city":"East Jakarta","zip":"13450","lat":-6.2298,"lon":106.9134,"timezone":"Asia/Jakarta","isp":"Linknet-Fastnet ASN","org":"FastNet","as":"AS23700 Linknet-Fastnet ASN","query":"111.94.91.215"}</t>
  </si>
  <si>
    <t>15 Jun 2026 15:01</t>
  </si>
  <si>
    <t>180.252.135.236</t>
  </si>
  <si>
    <t>{"status":"success","country":"Indonesia","countryCode":"ID","region":"JB","regionName":"West Java","city":"Karawang","zip":"41374","lat":-6.2519,"lon":107.3543,"timezone":"Asia/Jakarta","isp":"PT. TELKOM INDONESIA","org":"","as":"AS7713 PT Telekomunikasi Indonesia","query":"180.252.135.236"}</t>
  </si>
  <si>
    <t>15 Jun 2026 14:24</t>
  </si>
  <si>
    <t>Mozilla/5.0 (Linux; Android 10; K) AppleWebKit/537.36 (KHTML, like Gecko) SamsungBrowser/30.0 Chrome/143.0.0.0 Mobile Safari/537.36</t>
  </si>
  <si>
    <t>114.10.64.233</t>
  </si>
  <si>
    <t>{"status":"success","country":"Indonesia","countryCode":"ID","region":"JB","regionName":"West Java","city":"Depok","zip":"16452","lat":-6.3966,"lon":106.8164,"timezone":"Asia/Jakarta","isp":"PT. INDOSAT Tbk","org":"IOH B2B","as":"AS4761 INDOSAT Internet Network Provider","query":"114.10.64.233"}</t>
  </si>
  <si>
    <t>15 Jun 2026 13:37</t>
  </si>
  <si>
    <t>103.174.63.4</t>
  </si>
  <si>
    <t>{"status":"success","country":"Indonesia","countryCode":"ID","region":"KR","regionName":"Riau Islands","city":"Tanjung Pinang","zip":"","lat":0.91667,"lon":104.458,"timezone":"Asia/Jakarta","isp":"PT Angkasa Bintan Cemerlang","org":"PT Angkasa Bintan Cemerlang","as":"AS147095 PT Angkasa Bintan Cemerlang","query":"103.174.63.4"}</t>
  </si>
  <si>
    <t>-5</t>
  </si>
  <si>
    <t>Tidak ada penjelasan</t>
  </si>
  <si>
    <t>15 Jun 2026 12:42</t>
  </si>
  <si>
    <t>114.10.113.34</t>
  </si>
  <si>
    <t>{"status":"success","country":"Indonesia","countryCode":"ID","region":"JK","regionName":"Jakarta","city":"West Jakarta","zip":"11470","lat":-6.1677,"lon":106.7809,"timezone":"Asia/Jakarta","isp":"PT. INDOSAT Tbk","org":"IOH B2B","as":"AS4761 INDOSAT Internet Network Provider","query":"114.10.113.34"}</t>
  </si>
  <si>
    <t>15 Jun 2026 09:58</t>
  </si>
  <si>
    <t>Mozilla/5.0 (Linux; U; Android 13; in-id; CPH2333 Build/TP1A.220905.001) AppleWebKit/537.36 (KHTML, like Gecko) Chrome/115.0.5970.168 Mobile Safari/537.36 HeyTapBrowser/45.14.3.1</t>
  </si>
  <si>
    <t>103.213.116.114</t>
  </si>
  <si>
    <t>{"status":"success","country":"Indonesia","countryCode":"ID","region":"JK","regionName":"Jakarta","city":"Jakarta","zip":"","lat":-6.15992,"lon":106.815,"timezone":"Asia/Jakarta","isp":"Telemedia Dinamika Sarana, PT","org":"TDS Dedicated Jambi","as":"AS38750 Telemedia Dinamika Sarana, PT","query":"103.213.116.114"}</t>
  </si>
  <si>
    <t>15 Jun 2026 06:56</t>
  </si>
  <si>
    <t>180.242.131.74</t>
  </si>
  <si>
    <t>{"status":"success","country":"Indonesia","countryCode":"ID","region":"JK","regionName":"Jakarta","city":"West Jakarta","zip":"11720","lat":-6.1369,"lon":106.752,"timezone":"Asia/Jakarta","isp":"PT. TELKOM INDONESIA","org":"","as":"AS7713 PT Telekomunikasi Indonesia","query":"180.242.131.74"}</t>
  </si>
  <si>
    <t>14 Jun 2026 21:24</t>
  </si>
  <si>
    <t>103.121.101.97</t>
  </si>
  <si>
    <t>{"status":"success","country":"Indonesia","countryCode":"ID","region":"BT","regionName":"Banten","city":"South Tangerang","zip":"15411","lat":-6.3334,"lon":106.7441,"timezone":"Asia/Jakarta","isp":"PT. Cyberindo Aditama","org":"CBN","as":"AS135478 PT. Cyberindo Aditama","query":"103.121.101.97"}</t>
  </si>
  <si>
    <t>14 Jun 2026 20:56</t>
  </si>
  <si>
    <t>Mozilla/5.0 (Linux; Android 10; K) AppleWebKit/537.36 (KHTML, like Gecko) Chrome/148.0.0.0 Mobile Safari/537.36</t>
  </si>
  <si>
    <t>103.157.78.85</t>
  </si>
  <si>
    <t>{"status":"success","country":"Indonesia","countryCode":"ID","region":"JK","regionName":"Jakarta","city":"Jakarta","zip":"16426","lat":-6.3792,"lon":106.8201,"timezone":"Asia/Jakarta","isp":"PT Super Media Indonesia","org":"Sminet","as":"AS141114 PT Super Media Indonesia","query":"103.157.78.85"}</t>
  </si>
  <si>
    <t>14 Jun 2026 20:31</t>
  </si>
  <si>
    <t>103.174.62.26</t>
  </si>
  <si>
    <t>{"status":"success","country":"Indonesia","countryCode":"ID","region":"KR","regionName":"Riau Islands","city":"Tanjung Pinang","zip":"","lat":0.91667,"lon":104.458,"timezone":"Asia/Jakarta","isp":"PT Angkasa Bintan Cemerlang","org":"PT Angkasa Bintan Cemerlang","as":"AS147095 PT Angkasa Bintan Cemerlang","query":"103.174.62.26"}</t>
  </si>
  <si>
    <t>14 Jun 2026 20:03</t>
  </si>
  <si>
    <t>Mozilla/5.0 (Linux; U; Android 10; in-id; CPH2179 Build/QP1A.190711.020) AppleWebKit/537.36 (KHTML, like Gecko) Chrome/115.0.5970.168 Mobile Safari/537.36 HeyTapBrowser/45.14.2.1</t>
  </si>
  <si>
    <t>114.10.65.59</t>
  </si>
  <si>
    <t>{"status":"success","country":"Indonesia","countryCode":"ID","region":"JB","regionName":"West Java","city":"Depok","zip":"16452","lat":-6.3966,"lon":106.8164,"timezone":"Asia/Jakarta","isp":"PT. INDOSAT Tbk","org":"IOH B2B","as":"AS4761 INDOSAT Internet Network Provider","query":"114.10.65.59"}</t>
  </si>
  <si>
    <t>14 Jun 2026 18:34</t>
  </si>
  <si>
    <t>Mozilla/5.0 (Linux; Android 13; V2050) AppleWebKit/537.36 (KHTML, like Gecko) Chrome/107.0.0.0 Mobile Safari/537.36</t>
  </si>
  <si>
    <t>103.25.192.98</t>
  </si>
  <si>
    <t>{"status":"success","country":"Indonesia","countryCode":"ID","region":"JB","regionName":"West Java","city":"Karawang","zip":"41383","lat":-6.2939,"lon":107.51,"timezone":"Asia/Jakarta","isp":"UNINA","org":"","as":"AS132652 PT. Cahaya Buana Raksa","query":"103.25.192.98"}</t>
  </si>
  <si>
    <t>14 Jun 2026 18:09</t>
  </si>
  <si>
    <t>Mozilla/5.0 (Linux; Android 10; K) AppleWebKit/537.36 (KHTML, like Gecko) SamsungBrowser/28.0 Chrome/130.0.0.0 Mobile Safari/537.36</t>
  </si>
  <si>
    <t>203.78.120.199</t>
  </si>
  <si>
    <t>{"status":"success","country":"Indonesia","countryCode":"ID","region":"SS","regionName":"South Sumatra","city":"Palembang","zip":"30961","lat":-2.9146,"lon":104.7535,"timezone":"Asia/Jakarta","isp":"XL-AXIATA Tbk GSM","org":"","as":"AS24203 PT XL Axiata","query":"203.78.120.199"}</t>
  </si>
  <si>
    <t>14 Jun 2026 17:43</t>
  </si>
  <si>
    <t>Mozilla/5.0 (Linux; Android 15; Redmi Note 13 Build/AQ3A.240829.003) AppleWebKit/537.36 (KHTML, like Gecko) Chrome/135.0.7049.79 Mobile Safari/537.36 XiaoMi/MiuiBrowser/14.56.0-gn</t>
  </si>
  <si>
    <t>118.136.185.72</t>
  </si>
  <si>
    <t>{"status":"success","country":"Indonesia","countryCode":"ID","region":"JB","regionName":"West Java","city":"Bekasi","zip":"17135","lat":-6.2244,"lon":106.9726,"timezone":"Asia/Jakarta","isp":"Linknet-Fastnet ASN","org":"FastNet384","as":"AS23700 Linknet-Fastnet ASN","query":"118.136.185.72"}</t>
  </si>
  <si>
    <t>14 Jun 2026 17:39</t>
  </si>
  <si>
    <t>182.0.235.89</t>
  </si>
  <si>
    <t>{"status":"success","country":"Indonesia","countryCode":"ID","region":"JK","regionName":"Jakarta","city":"West Jakarta","zip":"11470","lat":-6.1677,"lon":106.7809,"timezone":"Asia/Jakarta","isp":"PT Telekomunikasi Selular Indonesia","org":"","as":"AS23693 PT. Telekomunikasi Selular","query":"182.0.235.89"}</t>
  </si>
  <si>
    <t>14 Jun 2026 17:37</t>
  </si>
  <si>
    <t>180.253.184.67</t>
  </si>
  <si>
    <t>{"status":"success","country":"Indonesia","countryCode":"ID","region":"MA","regionName":"Maluku","city":"Ambon City","zip":"97128","lat":-3.6646,"lon":128.2021,"timezone":"Asia/Jayapura","isp":"PT. TELKOM INDONESIA","org":"","as":"AS7713 PT Telekomunikasi Indonesia","query":"180.253.184.67"}</t>
  </si>
  <si>
    <t>14 Jun 2026 17:13</t>
  </si>
  <si>
    <t>182.8.225.54</t>
  </si>
  <si>
    <t>{"status":"success","country":"Indonesia","countryCode":"ID","region":"YO","regionName":"Yogyakarta","city":"Yogyakarta","zip":"55162","lat":-7.8202,"lon":110.3761,"timezone":"Asia/Jakarta","isp":"PT Telekomunikasi Selular Indonesia","org":"","as":"AS23693 PT. Telekomunikasi Selular","query":"182.8.225.54"}</t>
  </si>
  <si>
    <t>14 Jun 2026 17:07</t>
  </si>
  <si>
    <t>180.242.71.214</t>
  </si>
  <si>
    <t>{"status":"success","country":"Indonesia","countryCode":"ID","region":"JK","regionName":"Jakarta","city":"West Jakarta","zip":"14450","lat":-6.1396,"lon":106.7758,"timezone":"Asia/Jakarta","isp":"PT. TELKOM INDONESIA","org":"","as":"AS7713 PT Telekomunikasi Indonesia","query":"180.242.71.214"}</t>
  </si>
  <si>
    <t>14 Jun 2026 16:50</t>
  </si>
  <si>
    <t>182.10.229.81</t>
  </si>
  <si>
    <t>{"status":"success","country":"Indonesia","countryCode":"ID","region":"AC","regionName":"Aceh","city":"Banda Aceh","zip":"23245","lat":5.5418,"lon":95.3413,"timezone":"Asia/Jakarta","isp":"PT Telekomunikasi Selular Indonesia","org":"","as":"AS23693 PT. Telekomunikasi Selular","query":"182.10.229.81"}</t>
  </si>
  <si>
    <t>14 Jun 2026 16:36</t>
  </si>
  <si>
    <t>Mozilla/5.0 (Linux; Android 10; K) AppleWebKit/537.36 (KHTML, like Gecko) Chrome/144.0.0.0 Mobile Safari/537.36</t>
  </si>
  <si>
    <t>180.243.8.70</t>
  </si>
  <si>
    <t>{"status":"success","country":"Indonesia","countryCode":"ID","region":"JK","regionName":"Jakarta","city":"West Jakarta","zip":"11520","lat":-6.1765,"lon":106.7498,"timezone":"Asia/Jakarta","isp":"PT. TELKOM INDONESIA","org":"","as":"AS7713 PT Telekomunikasi Indonesia","query":"180.243.8.70"}</t>
  </si>
  <si>
    <t>14 Jun 2026 16:29</t>
  </si>
  <si>
    <t>112.215.45.132</t>
  </si>
  <si>
    <t>{"status":"success","country":"Indonesia","countryCode":"ID","region":"JK","regionName":"Jakarta","city":"Central Jakarta","zip":"12910","lat":-6.2121,"lon":106.8319,"timezone":"Asia/Jakarta","isp":"XL-AXIATA Tbk GSM","org":"","as":"AS24203 PT XL Axiata","query":"112.215.45.132"}</t>
  </si>
  <si>
    <t>14 Jun 2026 16:13</t>
  </si>
  <si>
    <t>103.169.238.21</t>
  </si>
  <si>
    <t>{"status":"success","country":"Indonesia","countryCode":"ID","region":"LA","regionName":"Lampung","city":"Kotabumi","zip":"","lat":-4.82505,"lon":104.882,"timezone":"Asia/Jakarta","isp":"PT INDONESIA TRANS NETWORK","org":"PT Fiber Indonesia Transnet","as":"AS138881 PT INDONESIA TRANS NETWORK","query":"103.169.238.21"}</t>
  </si>
  <si>
    <t>Bergaransi dan dikenakan biaya</t>
  </si>
  <si>
    <t>14 Jun 2026 16:06</t>
  </si>
  <si>
    <t>114.10.66.86</t>
  </si>
  <si>
    <t>{"status":"success","country":"Indonesia","countryCode":"ID","region":"JB","regionName":"West Java","city":"Depok","zip":"16452","lat":-6.3966,"lon":106.8164,"timezone":"Asia/Jakarta","isp":"PT. INDOSAT Tbk","org":"PT. INDOSAT Tbk","as":"AS4761 INDOSAT Internet Network Provider","query":"114.10.66.86"}</t>
  </si>
  <si>
    <t>Mozilla/5.0 (Linux; Android 5.1.1; A37f) AppleWebKit/537.36 (KHTML, like Gecko) Chrome/95.0.4638.74 Mobile Safari/537.36</t>
  </si>
  <si>
    <t>36.75.15.75</t>
  </si>
  <si>
    <t>{"status":"success","country":"Indonesia","countryCode":"ID","region":"SU","regionName":"North Sumatra","city":"Medan","zip":"20118","lat":3.5972,"lon":98.6515,"timezone":"Asia/Jakarta","isp":"PT. TELKOM INDONESIA","org":"","as":"AS7713 PT Telekomunikasi Indonesia","query":"36.75.15.75"}</t>
  </si>
  <si>
    <t>14 Jun 2026 15:57</t>
  </si>
  <si>
    <t>Mozilla/5.0 (iPhone; CPU iPhone OS 26_3_1 like Mac OS X) AppleWebKit/605.1.15 (KHTML, like Gecko) Version/26.3.1 Mobile/15E148 Safari/604.1 [WAiOS/2.26.22]</t>
  </si>
  <si>
    <t>114.10.40.174</t>
  </si>
  <si>
    <t>{"status":"success","country":"Indonesia","countryCode":"ID","region":"SU","regionName":"North Sumatra","city":"Medan","zip":"20132","lat":3.3796,"lon":98.9537,"timezone":"Asia/Jakarta","isp":"PT. INDOSAT Tbk","org":"IOH B2B","as":"AS4761 INDOSAT Internet Network Provider","query":"114.10.40.174"}</t>
  </si>
  <si>
    <t>14 Jun 2026 15:53</t>
  </si>
  <si>
    <t>103.3.220.187</t>
  </si>
  <si>
    <t>{"status":"success","country":"Indonesia","countryCode":"ID","region":"BT","regionName":"Banten","city":"Tangerang","zip":"15151","lat":-6.1716,"lon":106.5265,"timezone":"Asia/Jakarta","isp":"PT XL Axiata Tbk","org":"","as":"AS139994 PT XL Axiata Tbk","query":"103.3.220.187"}</t>
  </si>
  <si>
    <t>14 Jun 2026 15:49</t>
  </si>
  <si>
    <t>103.174.63.146</t>
  </si>
  <si>
    <t>{"status":"success","country":"Indonesia","countryCode":"ID","region":"KR","regionName":"Riau Islands","city":"Pancur Biru Lestari II","zip":"","lat":1.03072,"lon":104.055,"timezone":"Asia/Jakarta","isp":"PT Angkasa Bintan Cemerlang","org":"PT Angkasa Bintan Cemerlang","as":"AS147095 PT Angkasa Bintan Cemerlang","query":"103.174.63.146"}</t>
  </si>
  <si>
    <t>14 Jun 2026 15:37</t>
  </si>
  <si>
    <t>182.2.181.89</t>
  </si>
  <si>
    <t>{"status":"success","country":"Indonesia","countryCode":"ID","region":"BT","regionName":"Banten","city":"South Tangerang","zip":"15415","lat":-6.2876,"lon":106.722,"timezone":"Asia/Jakarta","isp":"PT Telekomunikasi Selular Indonesia","org":"","as":"AS23693 PT. Telekomunikasi Selular","query":"182.2.181.89"}</t>
  </si>
  <si>
    <t>14 Jun 2026 15:35</t>
  </si>
  <si>
    <t>Mozilla/5.0 (Linux; U; Android 13; in-id; CPH2365 Build/TP1A.220905.001) AppleWebKit/537.36 (KHTML, like Gecko) Chrome/115.0.5970.168 Mobile Safari/537.36 HeyTapBrowser/45.14.3.1</t>
  </si>
  <si>
    <t>114.10.134.144</t>
  </si>
  <si>
    <t>{"status":"success","country":"Indonesia","countryCode":"ID","region":"ST","regionName":"Central Sulawesi","city":"Kolonodale","zip":"","lat":-1.9825,"lon":121.336,"timezone":"Asia/Makassar","isp":"PT. INDOSAT Tbk","org":"IOH B2B","as":"AS4761 INDOSAT Internet Network Provider","query":"114.10.134.144"}</t>
  </si>
  <si>
    <t>14 Jun 2026 15:34</t>
  </si>
  <si>
    <t>Mozilla/5.0 (Windows NT 10.0; Win64; x64) AppleWebKit/537.36 (KHTML, like Gecko) Chrome/127.0.0.0 Safari/537.36</t>
  </si>
  <si>
    <t>103.189.200.107</t>
  </si>
  <si>
    <t>{"status":"success","country":"Indonesia","countryCode":"ID","region":"JI","regionName":"East Java","city":"Sidoarjo","zip":"61224","lat":-7.4372,"lon":112.6855,"timezone":"Asia/Jakarta","isp":"PT INDONESIA COMNETS PLUS","org":"","as":"AS9341 PT INDONESIA COMNETS PLUS","query":"103.189.200.107"}</t>
  </si>
  <si>
    <t>14 Jun 2026 15:28</t>
  </si>
  <si>
    <t>182.5.247.134</t>
  </si>
  <si>
    <t>{"status":"success","country":"Indonesia","countryCode":"ID","region":"JI","regionName":"East Java","city":"Surabaya","zip":"60115","lat":-7.2594,"lon":112.786,"timezone":"Asia/Jakarta","isp":"PT Telekomunikasi Selular Indonesia","org":"","as":"AS23693 PT. Telekomunikasi Selular","query":"182.5.247.134"}</t>
  </si>
  <si>
    <t>182.4.71.180</t>
  </si>
  <si>
    <t>{"status":"success","country":"Indonesia","countryCode":"ID","region":"SB","regionName":"West Sumatra","city":"Padang","zip":"25126","lat":-0.8958,"lon":100.4354,"timezone":"Asia/Jakarta","isp":"PT Telekomunikasi Selular Indonesia","org":"","as":"AS23693 PT. Telekomunikasi Selular","query":"182.4.71.180"}</t>
  </si>
  <si>
    <t>14 Jun 2026 15:27</t>
  </si>
  <si>
    <t>103.121.246.247</t>
  </si>
  <si>
    <t>{"status":"success","country":"Indonesia","countryCode":"ID","region":"BT","regionName":"Banten","city":"Tangerang","zip":"15810","lat":-6.177,"lon":106.6284,"timezone":"Asia/Jakarta","isp":"PT. Cyberindo Aditama","org":"CBN","as":"AS135478 PT. Cyberindo Aditama","query":"103.121.246.247"}</t>
  </si>
  <si>
    <t>Mozilla/5.0 (iPhone; CPU iPhone OS 26_5 like Mac OS X) AppleWebKit/605.1.15 (KHTML, like Gecko) Version/26.5 Mobile/15E148 Safari/604.1 [WAiOS/2.26.21]</t>
  </si>
  <si>
    <t>182.3.101.196</t>
  </si>
  <si>
    <t>{"status":"success","country":"Indonesia","countryCode":"ID","region":"LA","regionName":"Lampung","city":"Bandar Lampung","zip":"35148","lat":-5.3906,"lon":105.2569,"timezone":"Asia/Jakarta","isp":"PT Telekomunikasi Selular Indonesia","org":"","as":"AS23693 PT. Telekomunikasi Selular","query":"182.3.101.196"}</t>
  </si>
  <si>
    <t>14 Jun 2026 15:26</t>
  </si>
  <si>
    <t>114.10.151.168</t>
  </si>
  <si>
    <t>{"status":"success","country":"Indonesia","countryCode":"ID","region":"JT","regionName":"Central Java","city":"Surakarta","zip":"57127","lat":-7.5533,"lon":110.831,"timezone":"Asia/Jakarta","isp":"PT. INDOSAT Tbk","org":"IOH B2B","as":"AS4761 INDOSAT Internet Network Provider","query":"114.10.151.168"}</t>
  </si>
  <si>
    <t>14 Jun 2026 15:25</t>
  </si>
  <si>
    <t>182.2.177.200</t>
  </si>
  <si>
    <t>{"status":"success","country":"Indonesia","countryCode":"ID","region":"BT","regionName":"Banten","city":"South Tangerang","zip":"15310","lat":-6.264,"lon":106.7324,"timezone":"Asia/Jakarta","isp":"PT Telekomunikasi Selular Indonesia","org":"","as":"AS23693 PT. Telekomunikasi Selular","query":"182.2.177.200"}</t>
  </si>
  <si>
    <t>14 Jun 2026 15:24</t>
  </si>
  <si>
    <t>Mozilla/5.0 (iPhone; CPU iPhone OS 16_7_16 like Mac OS X) AppleWebKit/605.1.15 (KHTML, like Gecko) Version/16.7.16 Mobile/15E148 Safari/604.1 [WAiOS/2.26.22]</t>
  </si>
  <si>
    <t>103.155.193.92</t>
  </si>
  <si>
    <t>{"status":"success","country":"Indonesia","countryCode":"ID","region":"JA","regionName":"Jambi","city":"Jambi City","zip":"36122","lat":-1.5985,"lon":103.6196,"timezone":"Asia/Jakarta","isp":"PT BATANGHARI BAIK","org":"","as":"AS141069 PT Batanghari Baik Net","query":"103.155.193.92"}</t>
  </si>
  <si>
    <t>14 Jun 2026 15:16</t>
  </si>
  <si>
    <t>182.2.186.197</t>
  </si>
  <si>
    <t>{"status":"success","country":"Indonesia","countryCode":"ID","region":"BT","regionName":"Banten","city":"South Tangerang","zip":"15310","lat":-6.264,"lon":106.7324,"timezone":"Asia/Jakarta","isp":"PT Telekomunikasi Selular Indonesia","org":"","as":"AS23693 PT. Telekomunikasi Selular","query":"182.2.186.197"}</t>
  </si>
  <si>
    <t>14 Jun 2026 15:15</t>
  </si>
  <si>
    <t>114.122.230.151</t>
  </si>
  <si>
    <t>{"status":"success","country":"Indonesia","countryCode":"ID","region":"KI","regionName":"East Kalimantan","city":"Balikpapan","zip":"76114","lat":-1.2509,"lon":116.8845,"timezone":"Asia/Makassar","isp":"PT Telekomunikasi Selular Indonesia","org":"","as":"AS23693 PT. Telekomunikasi Selular","query":"114.122.230.151"}</t>
  </si>
  <si>
    <t>14 Jun 2026 15:10</t>
  </si>
  <si>
    <t>114.8.208.243</t>
  </si>
  <si>
    <t>{"status":"success","country":"Indonesia","countryCode":"ID","region":"JK","regionName":"Jakarta","city":"West Jakarta","zip":"11470","lat":-6.1677,"lon":106.7809,"timezone":"Asia/Jakarta","isp":"PT. INDOSAT Tbk","org":"PT. INDOSAT Tbk","as":"AS4761 INDOSAT Internet Network Provider","query":"114.8.208.243"}</t>
  </si>
  <si>
    <t>14 Jun 2026 15:06</t>
  </si>
  <si>
    <t>114.122.13.247</t>
  </si>
  <si>
    <t>{"status":"success","country":"Indonesia","countryCode":"ID","region":"SU","regionName":"North Sumatra","city":"Medan","zip":"20122","lat":3.6178,"lon":98.6665,"timezone":"Asia/Jakarta","isp":"PT Telekomunikasi Selular Indonesia","org":"","as":"AS23693 PT. Telekomunikasi Selular","query":"114.122.13.247"}</t>
  </si>
  <si>
    <t>Tidak Baik</t>
  </si>
  <si>
    <t>Mozilla/5.0 (Linux; Android 9; SM-J415F Build/PPR1.180610.011; ) AppleWebKit/537.36 (KHTML, like Gecko) Version/4.0 Chrome/138.0.7204.179 Mobile Safari/537.36 WA4A/2.26.14.74</t>
  </si>
  <si>
    <t>103.47.134.115</t>
  </si>
  <si>
    <t>{"status":"success","country":"Indonesia","countryCode":"ID","region":"JK","regionName":"Jakarta","city":"East Jakarta","zip":"13210","lat":-6.1951,"lon":106.8939,"timezone":"Asia/Jakarta","isp":"PT. Eka Mas Republik","org":"","as":"AS63859 PT. Eka Mas Republik","query":"103.47.134.115"}</t>
  </si>
  <si>
    <t>Mozilla/5.0 (iPhone; CPU iPhone OS 26_5 like Mac OS X) AppleWebKit/605.1.15 (KHTML, like Gecko) Version/26.5 Mobile/15E148 Safari/604.1 [WAiOS/2.26.22]</t>
  </si>
  <si>
    <t>36.68.83.160</t>
  </si>
  <si>
    <t>{"status":"success","country":"Indonesia","countryCode":"ID","region":"JB","regionName":"West Java","city":"Bekasi","zip":"17135","lat":-6.2244,"lon":106.9726,"timezone":"Asia/Jakarta","isp":"Telkom 7713","org":"","as":"AS7713 PT Telekomunikasi Indonesia","query":"36.68.83.160"}</t>
  </si>
  <si>
    <t>14 Jun 2026 15:05</t>
  </si>
  <si>
    <t>Mozilla/5.0 (Linux; Android 10; K) AppleWebKit/537.36 (KHTML, like Gecko) Chrome/126.0.0.0 Mobile Safari/537.36</t>
  </si>
  <si>
    <t>114.122.73.234</t>
  </si>
  <si>
    <t>{"status":"success","country":"Indonesia","countryCode":"ID","region":"JB","regionName":"West Java","city":"Bandung","zip":"40287","lat":-6.9202,"lon":107.6084,"timezone":"Asia/Jakarta","isp":"PT Telekomunikasi Selular Indonesia","org":"","as":"AS23693 PT. Telekomunikasi Selular","query":"114.122.73.234"}</t>
  </si>
  <si>
    <t>14 Jun 2026 15:04</t>
  </si>
  <si>
    <t>118.99.107.59</t>
  </si>
  <si>
    <t>{"status":"success","country":"Indonesia","countryCode":"ID","region":"JK","regionName":"Jakarta","city":"North Jakarta","zip":"14320","lat":-6.1474,"lon":106.8711,"timezone":"Asia/Jakarta","isp":"Biznet Home","org":"","as":"AS17451 BIZNET NETWORKS","query":"118.99.107.59"}</t>
  </si>
  <si>
    <t>14 Jun 2026 15:03</t>
  </si>
  <si>
    <t>Mozilla/5.0 (Linux; Android 10; K) AppleWebKit/537.36 (KHTML, like Gecko) Chrome/141.0.0.0 Mobile Safari/537.36</t>
  </si>
  <si>
    <t>182.2.184.159</t>
  </si>
  <si>
    <t>{"status":"success","country":"Indonesia","countryCode":"ID","region":"BT","regionName":"Banten","city":"South Tangerang","zip":"15310","lat":-6.264,"lon":106.7324,"timezone":"Asia/Jakarta","isp":"PT Telekomunikasi Selular Indonesia","org":"","as":"AS23693 PT. Telekomunikasi Selular","query":"182.2.184.159"}</t>
  </si>
  <si>
    <t>14 Jun 2026 15:02</t>
  </si>
  <si>
    <t>182.3.46.253</t>
  </si>
  <si>
    <t>{"status":"success","country":"Indonesia","countryCode":"ID","region":"JK","regionName":"Jakarta","city":"East Jakarta","zip":"13630","lat":-6.2495,"lon":106.864,"timezone":"Asia/Jakarta","isp":"PT Telekomunikasi Selular Indonesia","org":"","as":"AS23693 PT. Telekomunikasi Selular","query":"182.3.46.253"}</t>
  </si>
  <si>
    <t>Mozilla/5.0 (Linux; U; Android 13; in-id; RMX3430 Build/SP1A.210812.016) AppleWebKit/537.36 (KHTML, like Gecko) Chrome/115.0.5970.168 Mobile Safari/537.36 HeyTapBrowser/45.14.3.1</t>
  </si>
  <si>
    <t>36.68.8.198</t>
  </si>
  <si>
    <t>{"status":"success","country":"Indonesia","countryCode":"ID","region":"JI","regionName":"East Java","city":"Bojonegoro","zip":"62113","lat":-7.1461,"lon":111.8815,"timezone":"Asia/Jakarta","isp":"Telekomunikasi Indonesia","org":"","as":"AS7713 PT Telekomunikasi Indonesia","query":"36.68.8.198"}</t>
  </si>
  <si>
    <t>180.252.172.21</t>
  </si>
  <si>
    <t>{"status":"success","country":"Indonesia","countryCode":"ID","region":"JB","regionName":"West Java","city":"Cibinong","zip":"","lat":-6.48167,"lon":106.854,"timezone":"Asia/Jakarta","isp":"PT. TELKOM INDONESIA","org":"","as":"AS7713 PT Telekomunikasi Indonesia","query":"180.252.172.21"}</t>
  </si>
  <si>
    <t>14 Jun 2026 15:01</t>
  </si>
  <si>
    <t>Mozilla/5.0 (Linux; U; Android 14; in-id; RMX3472 Build/UKQ1.230924.001) AppleWebKit/537.36 (KHTML, like Gecko) Chrome/115.0.5970.168 Mobile Safari/537.36 HeyTapBrowser/45.14.3.1</t>
  </si>
  <si>
    <t>103.129.69.156</t>
  </si>
  <si>
    <t>{"status":"success","country":"Indonesia","countryCode":"ID","region":"JI","regionName":"East Java","city":"Surabaya","zip":"60133","lat":-7.2523,"lon":112.7572,"timezone":"Asia/Jakarta","isp":"PT. Cyberindo Aditama","org":"CBN","as":"AS135478 PT. Cyberindo Aditama","query":"103.129.69.156"}</t>
  </si>
  <si>
    <t>14 Jun 2026 12:04</t>
  </si>
  <si>
    <t>182.3.45.218</t>
  </si>
  <si>
    <t>{"status":"success","country":"Indonesia","countryCode":"ID","region":"JK","regionName":"Jakarta","city":"East Jakarta","zip":"13630","lat":-6.2495,"lon":106.864,"timezone":"Asia/Jakarta","isp":"PT Telekomunikasi Selular Indonesia","org":"","as":"AS23693 PT. Telekomunikasi Selular","query":"182.3.45.218"}</t>
  </si>
  <si>
    <t>14 Jun 2026 11:18</t>
  </si>
  <si>
    <t>182.9.200.80</t>
  </si>
  <si>
    <t>{"status":"success","country":"Indonesia","countryCode":"ID","region":"SB","regionName":"West Sumatra","city":"Padang","zip":"25154","lat":-0.9497,"lon":100.3505,"timezone":"Asia/Jakarta","isp":"PT Telekomunikasi Selular Indonesia","org":"","as":"AS23693 PT. Telekomunikasi Selular","query":"182.9.200.80"}</t>
  </si>
  <si>
    <t>14 Jun 2026 10:42</t>
  </si>
  <si>
    <t>202.51.197.83</t>
  </si>
  <si>
    <t>{"status":"success","country":"Indonesia","countryCode":"ID","region":"JB","regionName":"West Java","city":"Bogor","zip":"16810","lat":-6.708,"lon":106.8304,"timezone":"Asia/Jakarta","isp":"PT. Sejahtera Globalindo","org":"","as":"AS55685 PT Jala Lintas Media","query":"202.51.197.83"}</t>
  </si>
  <si>
    <t>14 Jun 2026 10:38</t>
  </si>
  <si>
    <t>110.139.30.246</t>
  </si>
  <si>
    <t>{"status":"success","country":"Indonesia","countryCode":"ID","region":"JK","regionName":"Jakarta","city":"Jakarta","zip":"13120","lat":-6.2052,"lon":106.8694,"timezone":"Asia/Jakarta","isp":"PT. TELKOM INDONESIA","org":"","as":"AS7713 PT Telekomunikasi Indonesia","query":"110.139.30.246"}</t>
  </si>
  <si>
    <t>14 Jun 2026 08:38</t>
  </si>
  <si>
    <t>182.253.42.213</t>
  </si>
  <si>
    <t>{"status":"success","country":"Indonesia","countryCode":"ID","region":"JK","regionName":"Jakarta","city":"West Jakarta","zip":"11520","lat":-6.1765,"lon":106.7498,"timezone":"Asia/Jakarta","isp":"BIZNET","org":"","as":"AS17451 BIZNET NETWORKS","query":"182.253.42.213"}</t>
  </si>
  <si>
    <t>14 Jun 2026 08:37</t>
  </si>
  <si>
    <t>140.213.250.207</t>
  </si>
  <si>
    <t>{"status":"success","country":"Indonesia","countryCode":"ID","region":"JB","regionName":"West Java","city":"Pamulang","zip":"","lat":-6.34278,"lon":106.738,"timezone":"Asia/Jakarta","isp":"PT Excelcomindo Pratama","org":"","as":"AS24203 PT XL Axiata","query":"140.213.250.207"}</t>
  </si>
  <si>
    <t>14 Jun 2026 08:28</t>
  </si>
  <si>
    <t>182.8.227.203</t>
  </si>
  <si>
    <t>{"status":"success","country":"Indonesia","countryCode":"ID","region":"YO","regionName":"Yogyakarta","city":"Yogyakarta","zip":"55162","lat":-7.8202,"lon":110.3761,"timezone":"Asia/Jakarta","isp":"PT Telekomunikasi Selular Indonesia","org":"","as":"AS23693 PT. Telekomunikasi Selular","query":"182.8.227.203"}</t>
  </si>
  <si>
    <t>3</t>
  </si>
  <si>
    <t>Masih rusak (kerusakan lain)</t>
  </si>
  <si>
    <t>Kurang Jelas</t>
  </si>
  <si>
    <t>14 Jun 2026 05:23</t>
  </si>
  <si>
    <t>Mozilla/5.0 (Linux; Android 10; K) AppleWebKit/537.36 (KHTML, like Gecko) Chrome/147.0.0.0 Mobile Safari/537.36</t>
  </si>
  <si>
    <t>157.85.210.40</t>
  </si>
  <si>
    <t>{"status":"success","country":"Indonesia","countryCode":"ID","region":"JB","regionName":"West Java","city":"Bekasi","zip":"17413","lat":-6.286,"lon":106.9313,"timezone":"Asia/Jakarta","isp":"PT XLSMART Telecom Sejahtera Tbk","org":"","as":"AS139994 PT XL Axiata Tbk","query":"157.85.210.40"}</t>
  </si>
  <si>
    <t>14 Jun 2026 05:21</t>
  </si>
  <si>
    <t>202.10.61.65</t>
  </si>
  <si>
    <t>{"status":"success","country":"Indonesia","countryCode":"ID","region":"JK","regionName":"Jakarta","city":"Central Jakarta","zip":"10130","lat":-6.1596,"lon":106.8108,"timezone":"Asia/Jakarta","isp":"BALIFIBERNET","org":"","as":"AS136119 PT Bali Towerindo Sentra, Tbk","query":"202.10.61.65"}</t>
  </si>
  <si>
    <t>Tidak bergaransi dan dikenakan biaya</t>
  </si>
  <si>
    <t>14 Jun 2026 05:00</t>
  </si>
  <si>
    <t>36.74.213.84</t>
  </si>
  <si>
    <t>{"status":"success","country":"Indonesia","countryCode":"ID","region":"JI","regionName":"East Java","city":"Bondowoso","zip":"68211","lat":-7.9189,"lon":113.8255,"timezone":"Asia/Jakarta","isp":"PT. TELKOM INDONESIA","org":"","as":"AS7713 PT Telekomunikasi Indonesia","query":"36.74.213.84"}</t>
  </si>
  <si>
    <t>14 Jun 2026 00:48</t>
  </si>
  <si>
    <t>Mozilla/5.0 (Windows NT 10.0; Win64; x64) AppleWebKit/537.36 (KHTML, like Gecko) Chrome/149.0.0.0 Safari/537.36 Edg/149.0.0.0</t>
  </si>
  <si>
    <t>103.58.161.94</t>
  </si>
  <si>
    <t>{"status":"success","country":"Indonesia","countryCode":"ID","region":"JB","regionName":"West Java","city":"Bogor","zip":"","lat":-6.59444,"lon":106.789,"timezone":"Asia/Jakarta","isp":"PT. Jaringan VNT Indonesia","org":"","as":"AS59278 PT Jaringan VNT Indonesia","query":"103.58.161.94"}</t>
  </si>
  <si>
    <t>14 Jun 2026 00:43</t>
  </si>
  <si>
    <t>Mozilla/5.0 (Linux; Android 10; K) AppleWebKit/537.36 (KHTML, like Gecko) Chrome/143.0.0.0 Mobile Safari/537.36</t>
  </si>
  <si>
    <t>103.175.222.220</t>
  </si>
  <si>
    <t>{"status":"success","country":"Indonesia","countryCode":"ID","region":"SN","regionName":"South Sulawesi","city":"Makassar","zip":"90222","lat":-5.1691,"lon":119.4537,"timezone":"Asia/Makassar","isp":"PT. Eka Mas Republik","org":"Myrepublic","as":"AS63859 PT. Eka Mas Republik","query":"103.175.222.220"}</t>
  </si>
  <si>
    <t>13 Jun 2026 23:27</t>
  </si>
  <si>
    <t>Mozilla/5.0 (Linux; Android 10; K) AppleWebKit/537.36 (KHTML, like Gecko) Chrome/149.0.0.0 Safari/537.36</t>
  </si>
  <si>
    <t>157.10.184.19</t>
  </si>
  <si>
    <t>{"status":"success","country":"Indonesia","countryCode":"ID","region":"JB","regionName":"West Java","city":"Bekasi","zip":"17530","lat":-6.2808,"lon":106.9835,"timezone":"Asia/Jakarta","isp":"PT Internet Tjepat Indonesia","org":"PT Internet Tjepat Indonesia","as":"AS152348 PT Internet Tjepat Indonesia","query":"157.10.184.19"}</t>
  </si>
  <si>
    <t>13 Jun 2026 23:09</t>
  </si>
  <si>
    <t>Mozilla/5.0 (Linux; Android 10; K) AppleWebKit/537.36 (KHTML, like Gecko) Chrome/130.0.0.0 Mobile Safari/537.36</t>
  </si>
  <si>
    <t>114.122.40.31</t>
  </si>
  <si>
    <t>{"status":"success","country":"Indonesia","countryCode":"ID","region":"SU","regionName":"North Sumatra","city":"Medan","zip":"20122","lat":3.6178,"lon":98.6665,"timezone":"Asia/Jakarta","isp":"PT Telekomunikasi Selular Indonesia","org":"","as":"AS23693 PT. Telekomunikasi Selular","query":"114.122.40.31"}</t>
  </si>
  <si>
    <t>13 Jun 2026 23:07</t>
  </si>
  <si>
    <t>13 Jun 2026 21:44</t>
  </si>
  <si>
    <t>103.129.24.96</t>
  </si>
  <si>
    <t>{"status":"success","country":"Indonesia","countryCode":"ID","region":"SU","regionName":"North Sumatra","city":"Medan","zip":"20212","lat":3.586,"lon":98.6923,"timezone":"Asia/Jakarta","isp":"PT. Cyberindo Aditama","org":"CBN","as":"AS135478 PT. Cyberindo Aditama","query":"103.129.24.96"}</t>
  </si>
  <si>
    <t>13 Jun 2026 21:26</t>
  </si>
  <si>
    <t>182.2.4.63</t>
  </si>
  <si>
    <t>{"status":"success","country":"Indonesia","countryCode":"ID","region":"KR","regionName":"Riau Islands","city":"Kota Batam","zip":"29432","lat":1.0265,"lon":103.9259,"timezone":"Asia/Jakarta","isp":"PT Telekomunikasi Selular Indonesia","org":"","as":"AS23693 PT. Telekomunikasi Selular","query":"182.2.4.63"}</t>
  </si>
  <si>
    <t>13 Jun 2026 20:35</t>
  </si>
  <si>
    <t>112.215.224.239</t>
  </si>
  <si>
    <t>{"status":"success","country":"Indonesia","countryCode":"ID","region":"JB","regionName":"West Java","city":"Bekasi","zip":"17141","lat":-6.2808,"lon":106.9835,"timezone":"Asia/Jakarta","isp":"XL-AXIATA Tbk GSM","org":"","as":"AS24203 PT XL Axiata","query":"112.215.224.239"}</t>
  </si>
  <si>
    <t>13 Jun 2026 20:29</t>
  </si>
  <si>
    <t>114.4.213.86</t>
  </si>
  <si>
    <t>{"status":"success","country":"Indonesia","countryCode":"ID","region":"JK","regionName":"Jakarta","city":"West Jakarta","zip":"11530","lat":-6.1998,"lon":106.7631,"timezone":"Asia/Jakarta","isp":"PT. INDOSAT Tbk","org":"PT. INDOSAT Tbk","as":"AS4761 INDOSAT Internet Network Provider","query":"114.4.213.86"}</t>
  </si>
  <si>
    <t>13 Jun 2026 20:26</t>
  </si>
  <si>
    <t>45.249.225.221</t>
  </si>
  <si>
    <t>{"status":"success","country":"Indonesia","countryCode":"ID","region":"JI","regionName":"East Java","city":"Mangli","zip":"","lat":-8.191,"lon":113.652,"timezone":"Asia/Jakarta","isp":"Bconn","org":"PT Joyo Kabul Grup","as":"AS152027 Bconn","query":"45.249.225.221"}</t>
  </si>
  <si>
    <t>13 Jun 2026 19:54</t>
  </si>
  <si>
    <t>140.213.11.240</t>
  </si>
  <si>
    <t>{"status":"success","country":"Indonesia","countryCode":"ID","region":"JK","regionName":"Jakarta","city":"North Jakarta","zip":"14350","lat":-6.1474,"lon":106.8711,"timezone":"Asia/Jakarta","isp":"PT Excelcomindo Pratama","org":"","as":"AS24203 PT XL Axiata","query":"140.213.11.240"}</t>
  </si>
  <si>
    <t>13 Jun 2026 19:44</t>
  </si>
  <si>
    <t>114.10.135.92</t>
  </si>
  <si>
    <t>{"status":"success","country":"Indonesia","countryCode":"ID","region":"SN","regionName":"South Sulawesi","city":"Sungguminasa","zip":"","lat":-5.1971,"lon":119.451,"timezone":"Asia/Makassar","isp":"PT. INDOSAT Tbk","org":"IOH B2B","as":"AS4761 INDOSAT Internet Network Provider","query":"114.10.135.92"}</t>
  </si>
  <si>
    <t>13 Jun 2026 19:29</t>
  </si>
  <si>
    <t>114.122.23.51</t>
  </si>
  <si>
    <t>{"status":"success","country":"Indonesia","countryCode":"ID","region":"SU","regionName":"North Sumatra","city":"Medan","zip":"20122","lat":3.6178,"lon":98.6665,"timezone":"Asia/Jakarta","isp":"PT Telekomunikasi Selular Indonesia","org":"","as":"AS23693 PT. Telekomunikasi Selular","query":"114.122.23.51"}</t>
  </si>
  <si>
    <t>13 Jun 2026 18:39</t>
  </si>
  <si>
    <t>203.78.123.188</t>
  </si>
  <si>
    <t>{"status":"success","country":"Indonesia","countryCode":"ID","region":"JI","regionName":"East Java","city":"Buduran","zip":"","lat":-7.4281,"lon":112.723,"timezone":"Asia/Jakarta","isp":"PT XL Axiata","org":"Xlnet","as":"AS24203 PT XL Axiata","query":"203.78.123.188"}</t>
  </si>
  <si>
    <t>13 Jun 2026 18:27</t>
  </si>
  <si>
    <t>114.10.76.132</t>
  </si>
  <si>
    <t>{"status":"success","country":"Indonesia","countryCode":"ID","region":"JB","regionName":"West Java","city":"Depok","zip":"16452","lat":-6.3966,"lon":106.8164,"timezone":"Asia/Jakarta","isp":"PT. INDOSAT Tbk","org":"IOH B2B","as":"AS4761 INDOSAT Internet Network Provider","query":"114.10.76.132"}</t>
  </si>
  <si>
    <t>13 Jun 2026 18:06</t>
  </si>
  <si>
    <t>158.140.173.2</t>
  </si>
  <si>
    <t>{"status":"success","country":"Indonesia","countryCode":"ID","region":"JI","regionName":"East Java","city":"Malang","zip":"65163","lat":-7.9826,"lon":112.6308,"timezone":"Asia/Jakarta","isp":"MYREPUBLIC","org":"","as":"AS63859 PT. Eka Mas Republik","query":"158.140.173.2"}</t>
  </si>
  <si>
    <t>13 Jun 2026 17:47</t>
  </si>
  <si>
    <t>Mozilla/5.0 (iPhone; CPU iPhone OS 26_3 like Mac OS X) AppleWebKit/605.1.15 (KHTML, like Gecko) Version/26.3 Mobile/15E148 Safari/604.1 [WAiOS/2.26.21]</t>
  </si>
  <si>
    <t>36.72.22.41</t>
  </si>
  <si>
    <t>{"status":"success","country":"Indonesia","countryCode":"ID","region":"JB","regionName":"West Java","city":"Bekasi","zip":"17530","lat":-6.2808,"lon":106.9835,"timezone":"Asia/Jakarta","isp":"PT. TELKOM INDONESIA","org":"","as":"AS7713 PT Telekomunikasi Indonesia","query":"36.72.22.41"}</t>
  </si>
  <si>
    <t>13 Jun 2026 17:43</t>
  </si>
  <si>
    <t>182.8.226.252</t>
  </si>
  <si>
    <t>{"status":"success","country":"Indonesia","countryCode":"ID","region":"YO","regionName":"Yogyakarta","city":"Yogyakarta","zip":"55162","lat":-7.8202,"lon":110.3761,"timezone":"Asia/Jakarta","isp":"PT Telekomunikasi Selular Indonesia","org":"","as":"AS23693 PT. Telekomunikasi Selular","query":"182.8.226.252"}</t>
  </si>
  <si>
    <t>13 Jun 2026 17:39</t>
  </si>
  <si>
    <t>180.247.63.54</t>
  </si>
  <si>
    <t>{"status":"success","country":"Indonesia","countryCode":"ID","region":"JB","regionName":"West Java","city":"Bekasi","zip":"17115","lat":-6.265,"lon":107.0122,"timezone":"Asia/Jakarta","isp":"Telekomunikasi Indonesia","org":"","as":"AS7713 PT Telekomunikasi Indonesia","query":"180.247.63.54"}</t>
  </si>
  <si>
    <t>Mozilla/5.0 (iPhone; CPU iPhone OS 18_6_2 like Mac OS X) AppleWebKit/605.1.15 (KHTML, like Gecko) Version/18.6.2 Mobile/15E148 Safari/604.1 [WAiOS/2.26.22]</t>
  </si>
  <si>
    <t>103.154.109.142</t>
  </si>
  <si>
    <t>{"status":"success","country":"Indonesia","countryCode":"ID","region":"JB","regionName":"West Java","city":"Bekasi","zip":"17134","lat":-6.2354,"lon":106.9618,"timezone":"Asia/Jakarta","isp":"MORATELINDONAP","org":"","as":"AS131111 PT Mora Telematika Indonesia","query":"103.154.109.142"}</t>
  </si>
  <si>
    <t>13 Jun 2026 17:35</t>
  </si>
  <si>
    <t>Mozilla/5.0 (X11; Linux x86_64) AppleWebKit/537.36 (KHTML, like Gecko) Chrome/148.0.7778.215 Safari/537.36 HiBrowser/v3.00.02.01</t>
  </si>
  <si>
    <t>114.8.234.185</t>
  </si>
  <si>
    <t>{"status":"success","country":"Indonesia","countryCode":"ID","region":"JK","regionName":"Jakarta","city":"Central Jakarta","zip":"10710","lat":-6.1584,"lon":106.8369,"timezone":"Asia/Jakarta","isp":"PT. INDOSAT Tbk","org":"PT. INDOSAT Tbk","as":"AS4761 INDOSAT Internet Network Provider","query":"114.8.234.185"}</t>
  </si>
  <si>
    <t>13 Jun 2026 17:30</t>
  </si>
  <si>
    <t>Mozilla/5.0 (Linux; Android 10; K) AppleWebKit/537.36 (KHTML, like Gecko) Chrome/138.0.0.0 Mobile Safari/537.36</t>
  </si>
  <si>
    <t>110.136.58.216</t>
  </si>
  <si>
    <t>{"status":"success","country":"Indonesia","countryCode":"ID","region":"JK","regionName":"Jakarta","city":"Jakarta","zip":"12850","lat":-6.2208,"lon":106.8403,"timezone":"Asia/Jakarta","isp":"PT. TELKOM INDONESIA","org":"","as":"AS7713 PT Telekomunikasi Indonesia","query":"110.136.58.216"}</t>
  </si>
  <si>
    <t>Cukup Baik</t>
  </si>
  <si>
    <t>13 Jun 2026 17:28</t>
  </si>
  <si>
    <t>158.140.173.14</t>
  </si>
  <si>
    <t>{"status":"success","country":"Indonesia","countryCode":"ID","region":"JI","regionName":"East Java","city":"Malang","zip":"65163","lat":-7.9826,"lon":112.6308,"timezone":"Asia/Jakarta","isp":"MYREPUBLIC","org":"","as":"AS63859 PT. Eka Mas Republik","query":"158.140.173.14"}</t>
  </si>
  <si>
    <t>13 Jun 2026 17:15</t>
  </si>
  <si>
    <t>182.3.141.215</t>
  </si>
  <si>
    <t>{"status":"success","country":"Indonesia","countryCode":"ID","region":"KI","regionName":"East Kalimantan","city":"Samarinda","zip":"75117","lat":-0.5007,"lon":117.1787,"timezone":"Asia/Makassar","isp":"PT Telekomunikasi Selular Indonesia","org":"","as":"AS23693 PT. Telekomunikasi Selular","query":"182.3.141.215"}</t>
  </si>
  <si>
    <t>13 Jun 2026 17:06</t>
  </si>
  <si>
    <t>114.122.38.131</t>
  </si>
  <si>
    <t>{"status":"success","country":"Indonesia","countryCode":"ID","region":"SU","regionName":"North Sumatra","city":"Medan","zip":"20217","lat":3.5672,"lon":98.6989,"timezone":"Asia/Jakarta","isp":"PT Telekomunikasi Selular Indonesia","org":"","as":"AS23693 PT. Telekomunikasi Selular","query":"114.122.38.131"}</t>
  </si>
  <si>
    <t>13 Jun 2026 16:42</t>
  </si>
  <si>
    <t>182.3.47.254</t>
  </si>
  <si>
    <t>{"status":"success","country":"Indonesia","countryCode":"ID","region":"JK","regionName":"Jakarta","city":"East Jakarta","zip":"13630","lat":-6.2495,"lon":106.864,"timezone":"Asia/Jakarta","isp":"PT Telekomunikasi Selular Indonesia","org":"","as":"AS23693 PT. Telekomunikasi Selular","query":"182.3.47.254"}</t>
  </si>
  <si>
    <t>13 Jun 2026 16:35</t>
  </si>
  <si>
    <t>Mozilla/5.0 (Linux; Android 11; V2022) AppleWebKit/537.36 (KHTML, like Gecko) Version/4.0 Chrome/123.0.6312.118 Mobile Safari/537.36 VivoBrowser/15.0.2.5</t>
  </si>
  <si>
    <t>140.213.67.236</t>
  </si>
  <si>
    <t>{"status":"success","country":"Indonesia","countryCode":"ID","region":"KS","regionName":"South Kalimantan","city":"Banjarmasin","zip":"70231","lat":-3.3236,"lon":114.589,"timezone":"Asia/Makassar","isp":"PT Excelcomindo Pratama","org":"","as":"AS24203 PT XL Axiata","query":"140.213.67.236"}</t>
  </si>
  <si>
    <t>13 Jun 2026 16:34</t>
  </si>
  <si>
    <t>Mozilla/5.0 (Linux; Android 10; K) AppleWebKit/537.36 (KHTML, like Gecko) Chrome/148.0.0.0 Mobile Safari/537.36 OPR/99.0.0.0</t>
  </si>
  <si>
    <t>182.8.68.171</t>
  </si>
  <si>
    <t>{"status":"success","country":"Indonesia","countryCode":"ID","region":"JI","regionName":"East Java","city":"Surabaya","zip":"60142","lat":-7.2523,"lon":112.7572,"timezone":"Asia/Jakarta","isp":"PT Telekomunikasi Selular Indonesia","org":"","as":"AS23693 PT. Telekomunikasi Selular","query":"182.8.68.171"}</t>
  </si>
  <si>
    <t>13 Jun 2026 16:30</t>
  </si>
  <si>
    <t>103.158.121.46</t>
  </si>
  <si>
    <t>{"status":"success","country":"Indonesia","countryCode":"ID","region":"JB","regionName":"West Java","city":"Indramayu","zip":"","lat":-6.32639,"lon":108.32,"timezone":"Asia/Jakarta","isp":"CDN","org":"","as":"AS141127 PT Anugerah Cimanuk Raya","query":"103.158.121.46"}</t>
  </si>
  <si>
    <t>13 Jun 2026 16:19</t>
  </si>
  <si>
    <t>182.3.45.151</t>
  </si>
  <si>
    <t>{"status":"success","country":"Indonesia","countryCode":"ID","region":"JK","regionName":"Jakarta","city":"East Jakarta","zip":"13630","lat":-6.2495,"lon":106.864,"timezone":"Asia/Jakarta","isp":"PT Telekomunikasi Selular Indonesia","org":"","as":"AS23693 PT. Telekomunikasi Selular","query":"182.3.45.151"}</t>
  </si>
  <si>
    <t>13 Jun 2026 16:12</t>
  </si>
  <si>
    <t>182.253.48.182</t>
  </si>
  <si>
    <t>{"status":"success","country":"Indonesia","countryCode":"ID","region":"JK","regionName":"Jakarta","city":"West Jakarta","zip":"11510","lat":-6.181,"lon":106.7739,"timezone":"Asia/Jakarta","isp":"BIZNET","org":"","as":"AS17451 BIZNET NETWORKS","query":"182.253.48.182"}</t>
  </si>
  <si>
    <t>114.10.113.106</t>
  </si>
  <si>
    <t>{"status":"success","country":"Indonesia","countryCode":"ID","region":"JK","regionName":"Jakarta","city":"West Jakarta","zip":"11470","lat":-6.1677,"lon":106.7809,"timezone":"Asia/Jakarta","isp":"PT. INDOSAT Tbk","org":"IOH B2B","as":"AS4761 INDOSAT Internet Network Provider","query":"114.10.113.106"}</t>
  </si>
  <si>
    <t>13 Jun 2026 16:11</t>
  </si>
  <si>
    <t>114.79.22.112</t>
  </si>
  <si>
    <t>{"status":"success","country":"Indonesia","countryCode":"ID","region":"JI","regionName":"East Java","city":"Surabaya","zip":"60141","lat":-7.244,"lon":112.7425,"timezone":"Asia/Jakarta","isp":"SMART-TELECOM","org":"","as":"AS18004 PT WIRELESS INDONESIA ( WIN )","query":"114.79.22.112"}</t>
  </si>
  <si>
    <t>13 Jun 2026 16:08</t>
  </si>
  <si>
    <t>Mozilla/5.0 (Linux; Android 13; Redmi Note 10S Build/TP1A.220624.014) AppleWebKit/537.36 (KHTML, like Gecko) Chrome/135.0.7049.79 Mobile Safari/537.36 XiaoMi/MiuiBrowser/14.54.0-gn</t>
  </si>
  <si>
    <t>140.213.36.108</t>
  </si>
  <si>
    <t>{"status":"success","country":"Indonesia","countryCode":"ID","region":"JK","regionName":"Jakarta","city":"Central Jakarta","zip":"10310","lat":-6.2056,"lon":106.8376,"timezone":"Asia/Jakarta","isp":"Indonesia Network Information Center","org":"","as":"AS24203 PT XL Axiata","query":"140.213.36.108"}</t>
  </si>
  <si>
    <t>13 Jun 2026 15:57</t>
  </si>
  <si>
    <t>140.213.98.231</t>
  </si>
  <si>
    <t>{"status":"success","country":"Indonesia","countryCode":"ID","region":"JB","regionName":"West Java","city":"Bandung","zip":"","lat":-6.92222,"lon":107.607,"timezone":"Asia/Jakarta","isp":"PT XL Axiata Tbk","org":"","as":"AS24203 PT XL Axiata","query":"140.213.98.231"}</t>
  </si>
  <si>
    <t>13 Jun 2026 15:56</t>
  </si>
  <si>
    <t>182.6.8.217</t>
  </si>
  <si>
    <t>{"status":"success","country":"Indonesia","countryCode":"ID","region":"BT","regionName":"Banten","city":"South Tangerang","zip":"15323","lat":-6.2817,"lon":106.6478,"timezone":"Asia/Jakarta","isp":"PT Telekomunikasi Selular Indonesia","org":"","as":"AS23693 PT. Telekomunikasi Selular","query":"182.6.8.217"}</t>
  </si>
  <si>
    <t>13 Jun 2026 15:55</t>
  </si>
  <si>
    <t>140.213.99.180</t>
  </si>
  <si>
    <t>{"status":"success","country":"Indonesia","countryCode":"ID","region":"JB","regionName":"West Java","city":"Bandung","zip":"","lat":-6.92222,"lon":107.607,"timezone":"Asia/Jakarta","isp":"PT Excelcomindo Pratama","org":"","as":"AS24203 PT XL Axiata","query":"140.213.99.180"}</t>
  </si>
  <si>
    <t>13 Jun 2026 15:44</t>
  </si>
  <si>
    <t>180.242.70.176</t>
  </si>
  <si>
    <t>{"status":"success","country":"Indonesia","countryCode":"ID","region":"JK","regionName":"Jakarta","city":"West Jakarta","zip":"14450","lat":-6.1396,"lon":106.7758,"timezone":"Asia/Jakarta","isp":"PT. TELKOM INDONESIA","org":"","as":"AS7713 PT Telekomunikasi Indonesia","query":"180.242.70.176"}</t>
  </si>
  <si>
    <t>13 Jun 2026 15:41</t>
  </si>
  <si>
    <t>103.136.56.83</t>
  </si>
  <si>
    <t>{"status":"success","country":"Indonesia","countryCode":"ID","region":"JK","regionName":"Jakarta","city":"North Jakarta","zip":"14350","lat":-6.1474,"lon":106.8711,"timezone":"Asia/Jakarta","isp":"MORATELINDONAP","org":"","as":"AS131111 PT Mora Telematika Indonesia","query":"103.136.56.83"}</t>
  </si>
  <si>
    <t>13 Jun 2026 15:37</t>
  </si>
  <si>
    <t>114.10.135.8</t>
  </si>
  <si>
    <t>{"status":"success","country":"Indonesia","countryCode":"ID","region":"ST","regionName":"Central Sulawesi","city":"Palu","zip":"","lat":-0.90833,"lon":119.871,"timezone":"Asia/Makassar","isp":"PT. INDOSAT Tbk","org":"IOH B2B","as":"AS4761 INDOSAT Internet Network Provider","query":"114.10.135.8"}</t>
  </si>
  <si>
    <t>114.10.77.75</t>
  </si>
  <si>
    <t>{"status":"success","country":"Indonesia","countryCode":"ID","region":"JB","regionName":"West Java","city":"Depok","zip":"16452","lat":-6.3966,"lon":106.8164,"timezone":"Asia/Jakarta","isp":"PT. INDOSAT Tbk","org":"IOH B2B","as":"AS4761 INDOSAT Internet Network Provider","query":"114.10.77.75"}</t>
  </si>
  <si>
    <t>13 Jun 2026 15:35</t>
  </si>
  <si>
    <t>Mozilla/5.0 (Linux; Android 10; K) AppleWebKit/537.36 (KHTML, like Gecko) Chrome/140.0.0.0 Mobile Safari/537.36</t>
  </si>
  <si>
    <t>114.10.85.184</t>
  </si>
  <si>
    <t>{"status":"success","country":"Indonesia","countryCode":"ID","region":"SU","regionName":"North Sumatra","city":"Medan","zip":"20132","lat":3.3796,"lon":98.9537,"timezone":"Asia/Jakarta","isp":"PT. INDOSAT Tbk","org":"IOH B2B","as":"AS4761 INDOSAT Internet Network Provider","query":"114.10.85.184"}</t>
  </si>
  <si>
    <t>13 Jun 2026 15:32</t>
  </si>
  <si>
    <t>Mozilla/5.0 (X11; Linux x86_64) AppleWebKit/534.24 (KHTML, like Gecko) Chrome/61.0.3163.128 Safari/534.24 Lite Browser/4.7</t>
  </si>
  <si>
    <t>114.10.42.90</t>
  </si>
  <si>
    <t>{"status":"success","country":"Indonesia","countryCode":"ID","region":"JK","regionName":"Jakarta","city":"West Jakarta","zip":"11510","lat":-6.181,"lon":106.7739,"timezone":"Asia/Jakarta","isp":"PT. INDOSAT Tbk","org":"IOH B2B","as":"AS4761 INDOSAT Internet Network Provider","query":"114.10.42.90"}</t>
  </si>
  <si>
    <t>13 Jun 2026 15:30</t>
  </si>
  <si>
    <t>180.252.175.104</t>
  </si>
  <si>
    <t>{"status":"success","country":"Indonesia","countryCode":"ID","region":"BT","regionName":"Banten","city":"South Tangerang","zip":"","lat":-6.28862,"lon":106.718,"timezone":"Asia/Jakarta","isp":"PT. TELKOM INDONESIA","org":"","as":"AS7713 PT Telekomunikasi Indonesia","query":"180.252.175.104"}</t>
  </si>
  <si>
    <t>Mozilla/5.0 (Linux; Android 13; itel A666LN Build/TP1A.220624.014) AppleWebKit/537.36 (KHTML, like Gecko) Version/4.0 Chrome/148.0.7778.179 Mobile Safari/537.36 XShare/370001</t>
  </si>
  <si>
    <t>103.154.150.80</t>
  </si>
  <si>
    <t>{"status":"success","country":"Indonesia","countryCode":"ID","region":"JK","regionName":"Jakarta","city":"East Jakarta","zip":"13610","lat":-6.2599,"lon":106.8767,"timezone":"Asia/Jakarta","isp":"MORATELINDONAP","org":"","as":"AS131111 PT Mora Telematika Indonesia","query":"103.154.150.80"}</t>
  </si>
  <si>
    <t>110.137.80.170</t>
  </si>
  <si>
    <t>{"status":"success","country":"Indonesia","countryCode":"ID","region":"SB","regionName":"West Sumatra","city":"Payakumbuh","zip":"26225","lat":-0.217,"lon":100.6173,"timezone":"Asia/Jakarta","isp":"PT. TELKOM INDONESIA","org":"","as":"AS7713 PT Telekomunikasi Indonesia","query":"110.137.80.170"}</t>
  </si>
  <si>
    <t>13 Jun 2026 15:28</t>
  </si>
  <si>
    <t>Mozilla/5.0 (iPhone; CPU iPhone OS 26_4_1 like Mac OS X) AppleWebKit/605.1.15 (KHTML, like Gecko) Version/26.4.1 Mobile/15E148 Safari/604.1 [WAiOS/2.26.21]</t>
  </si>
  <si>
    <t>114.122.20.175</t>
  </si>
  <si>
    <t>{"status":"success","country":"Indonesia","countryCode":"ID","region":"SU","regionName":"North Sumatra","city":"Medan","zip":"20122","lat":3.6178,"lon":98.6665,"timezone":"Asia/Jakarta","isp":"PT Telekomunikasi Selular Indonesia","org":"","as":"AS23693 PT. Telekomunikasi Selular","query":"114.122.20.175"}</t>
  </si>
  <si>
    <t>13 Jun 2026 15:26</t>
  </si>
  <si>
    <t>182.253.123.26</t>
  </si>
  <si>
    <t>{"status":"success","country":"Indonesia","countryCode":"ID","region":"JB","regionName":"West Java","city":"Bandung","zip":"40261","lat":-6.905,"lon":107.5669,"timezone":"Asia/Jakarta","isp":"BIZNET","org":"","as":"AS17451 BIZNET NETWORKS","query":"182.253.123.26"}</t>
  </si>
  <si>
    <t>13 Jun 2026 15:22</t>
  </si>
  <si>
    <t>114.79.44.75</t>
  </si>
  <si>
    <t>{"status":"success","country":"Indonesia","countryCode":"ID","region":"KS","regionName":"South Kalimantan","city":"Martapura","zip":"","lat":-3.4109,"lon":114.864,"timezone":"Asia/Makassar","isp":"SMART-TELECOM","org":"","as":"AS18004 PT WIRELESS INDONESIA ( WIN )","query":"114.79.44.75"}</t>
  </si>
  <si>
    <t>13 Jun 2026 15:20</t>
  </si>
  <si>
    <t>114.10.155.211</t>
  </si>
  <si>
    <t>{"status":"success","country":"Indonesia","countryCode":"ID","region":"JI","regionName":"East Java","city":"Malang","zip":"65111","lat":-7.9592,"lon":112.6292,"timezone":"Asia/Jakarta","isp":"PT. INDOSAT Tbk","org":"","as":"AS4761 INDOSAT Internet Network Provider","query":"114.10.155.211"}</t>
  </si>
  <si>
    <t>13 Jun 2026 15:19</t>
  </si>
  <si>
    <t>180.243.191.208</t>
  </si>
  <si>
    <t>{"status":"success","country":"Indonesia","countryCode":"ID","region":"JB","regionName":"West Java","city":"Tasikmalaya","zip":"46181","lat":-7.4967,"lon":108.1413,"timezone":"Asia/Jakarta","isp":"Telekomunikasi Indonesia","org":"","as":"AS7713 PT Telekomunikasi Indonesia","query":"180.243.191.208"}</t>
  </si>
  <si>
    <t>13 Jun 2026 15:18</t>
  </si>
  <si>
    <t>36.70.56.137</t>
  </si>
  <si>
    <t>{"status":"success","country":"Indonesia","countryCode":"ID","region":"SS","regionName":"South Sumatra","city":"Palembang","zip":"30961","lat":-3.1346,"lon":104.6112,"timezone":"Asia/Jakarta","isp":"PT. TELKOM INDONESIA","org":"","as":"AS7713 PT Telekomunikasi Indonesia","query":"36.70.56.137"}</t>
  </si>
  <si>
    <t>13 Jun 2026 15:16</t>
  </si>
  <si>
    <t>114.10.76.162</t>
  </si>
  <si>
    <t>{"status":"success","country":"Indonesia","countryCode":"ID","region":"JB","regionName":"West Java","city":"Depok","zip":"16452","lat":-6.3966,"lon":106.8164,"timezone":"Asia/Jakarta","isp":"PT. INDOSAT Tbk","org":"IOH B2B","as":"AS4761 INDOSAT Internet Network Provider","query":"114.10.76.162"}</t>
  </si>
  <si>
    <t>Mozilla/5.0 (Linux; Android 10; K) AppleWebKit/537.36 (KHTML, like Gecko) SamsungBrowser/29.0 Chrome/136.0.0.0 Mobile Safari/537.36</t>
  </si>
  <si>
    <t>103.46.186.19</t>
  </si>
  <si>
    <t>{"status":"success","country":"Indonesia","countryCode":"ID","region":"JB","regionName":"West Java","city":"Bekasi","zip":"","lat":-6.2349,"lon":106.99,"timezone":"Asia/Jakarta","isp":"PT Air Lintas Komunikasi","org":"PT Air Lintas Komunikasi","as":"AS150462 PT Air Lintas Komunikasi","query":"103.46.186.19"}</t>
  </si>
  <si>
    <t>103.177.11.7</t>
  </si>
  <si>
    <t>{"status":"success","country":"Indonesia","countryCode":"ID","region":"JI","regionName":"East Java","city":"Temenggungan","zip":"","lat":-8.0015,"lon":111.983,"timezone":"Asia/Jakarta","isp":"PT Nalendra Gigantara Media","org":"PT Nalendra Gigantara Media","as":"AS147164 PT Nalendra Gigantara Media","query":"103.177.11.7"}</t>
  </si>
  <si>
    <t>13 Jun 2026 15:15</t>
  </si>
  <si>
    <t>182.8.195.210</t>
  </si>
  <si>
    <t>{"status":"success","country":"Indonesia","countryCode":"ID","region":"JT","regionName":"Central Java","city":"Semarang","zip":"50232","lat":-7.2722,"lon":110.4753,"timezone":"Asia/Jakarta","isp":"PT Telekomunikasi Selular Indonesia","org":"","as":"AS23693 PT. Telekomunikasi Selular","query":"182.8.195.210"}</t>
  </si>
  <si>
    <t>114.10.98.24</t>
  </si>
  <si>
    <t>{"status":"success","country":"Indonesia","countryCode":"ID","region":"SS","regionName":"South Sumatra","city":"Palembang","zip":"30153","lat":-2.9146,"lon":104.7535,"timezone":"Asia/Jakarta","isp":"PT. INDOSAT Tbk","org":"IOH B2B","as":"AS4761 INDOSAT Internet Network Provider","query":"114.10.98.24"}</t>
  </si>
  <si>
    <t>13 Jun 2026 15:13</t>
  </si>
  <si>
    <t>182.3.68.175</t>
  </si>
  <si>
    <t>{"status":"success","country":"Indonesia","countryCode":"ID","region":"JA","regionName":"Jambi","city":"Kota Jambi","zip":"36139","lat":-1.6277,"lon":103.6384,"timezone":"Asia/Jakarta","isp":"PT Telekomunikasi Selular Indonesia","org":"","as":"AS23693 PT. Telekomunikasi Selular","query":"182.3.68.175"}</t>
  </si>
  <si>
    <t>13 Jun 2026 15:12</t>
  </si>
  <si>
    <t>182.0.240.246</t>
  </si>
  <si>
    <t>{"status":"success","country":"Indonesia","countryCode":"ID","region":"JK","regionName":"Jakarta","city":"North Jakarta","zip":"14240","lat":-6.1804,"lon":106.9038,"timezone":"Asia/Jakarta","isp":"PT Telekomunikasi Selular Indonesia","org":"","as":"AS23693 PT. Telekomunikasi Selular","query":"182.0.240.246"}</t>
  </si>
  <si>
    <t>Mozilla/5.0 (Linux; U; Android 12; in-id; CPH2209 Build/SP1A.210812.016) AppleWebKit/537.36 (KHTML, like Gecko) Chrome/115.0.5970.168 Mobile Safari/537.36 HeyTapBrowser/45.14.3.1</t>
  </si>
  <si>
    <t>182.6.42.190</t>
  </si>
  <si>
    <t>{"status":"success","country":"Indonesia","countryCode":"ID","region":"BT","regionName":"Banten","city":"South Tangerang","zip":"15313","lat":-6.3018,"lon":106.7074,"timezone":"Asia/Jakarta","isp":"PT Telekomunikasi Selular Indonesia","org":"","as":"AS23693 PT. Telekomunikasi Selular","query":"182.6.42.190"}</t>
  </si>
  <si>
    <t>13 Jun 2026 15:11</t>
  </si>
  <si>
    <t>203.78.120.2</t>
  </si>
  <si>
    <t>{"status":"success","country":"Indonesia","countryCode":"ID","region":"SS","regionName":"South Sumatra","city":"Palembang","zip":"30961","lat":-2.9146,"lon":104.7535,"timezone":"Asia/Jakarta","isp":"XL-AXIATA Tbk GSM","org":"","as":"AS24203 PT XL Axiata","query":"203.78.120.2"}</t>
  </si>
  <si>
    <t>36.70.51.240</t>
  </si>
  <si>
    <t>{"status":"success","country":"Indonesia","countryCode":"ID","region":"SS","regionName":"South Sumatra","city":"Palembang","zip":"30961","lat":-3.1346,"lon":104.6112,"timezone":"Asia/Jakarta","isp":"PT. TELKOM INDONESIA","org":"","as":"AS7713 PT Telekomunikasi Indonesia","query":"36.70.51.240"}</t>
  </si>
  <si>
    <t>13 Jun 2026 15:10</t>
  </si>
  <si>
    <t>Mozilla/5.0 (iPhone; CPU iPhone OS 17_7 like Mac OS X) AppleWebKit/605.1.15 (KHTML, like Gecko) Version/17.7 Mobile/15E148 Safari/604.1 [WAiOS/2.26.22]</t>
  </si>
  <si>
    <t>140.213.95.151</t>
  </si>
  <si>
    <t>{"status":"success","country":"Indonesia","countryCode":"ID","region":"JB","regionName":"West Java","city":"Cibitung","zip":"17520","lat":-6.2715,"lon":107.1072,"timezone":"Asia/Jakarta","isp":"Indonesia Network Information Center","org":"","as":"AS139994 PT XL Axiata Tbk","query":"140.213.95.151"}</t>
  </si>
  <si>
    <t>13 Jun 2026 15:09</t>
  </si>
  <si>
    <t>103.203.234.15</t>
  </si>
  <si>
    <t>{"status":"success","country":"Indonesia","countryCode":"ID","region":"JT","regionName":"Central Java","city":"Banyumas","zip":"","lat":-7.51417,"lon":109.294,"timezone":"Asia/Jakarta","isp":"PT Nesta Indo Media","org":"PT Nesta Indo Media","as":"AS151006 PT Nesta Indo Media","query":"103.203.234.15"}</t>
  </si>
  <si>
    <t>160.22.90.18</t>
  </si>
  <si>
    <t>{"status":"success","country":"Indonesia","countryCode":"ID","region":"JB","regionName":"West Java","city":"Cirebon","zip":"45186","lat":-6.8698,"lon":108.6414,"timezone":"Asia/Jakarta","isp":"PT Lintas Data Kita","org":"PT Lintas Data Kita","as":"AS152815 PT Lintas Data Kita","query":"160.22.90.18"}</t>
  </si>
  <si>
    <t>114.125.51.98</t>
  </si>
  <si>
    <t>{"status":"success","country":"Indonesia","countryCode":"ID","region":"RI","regionName":"Riau","city":"Pekanbaru","zip":"28292","lat":0.5488,"lon":101.4155,"timezone":"Asia/Jakarta","isp":"PT Telekomunikasi Selular Indonesia","org":"","as":"AS23693 PT. Telekomunikasi Selular","query":"114.125.51.98"}</t>
  </si>
  <si>
    <t>13 Jun 2026 15:08</t>
  </si>
  <si>
    <t>Mozilla/5.0 (iPhone; CPU iPhone OS 16_3 like Mac OS X) AppleWebKit/605.1.15 (KHTML, like Gecko) Version/16.3 Mobile/15E148 Safari/604.1 [WAiOS/2.26.22]</t>
  </si>
  <si>
    <t>182.3.70.248</t>
  </si>
  <si>
    <t>{"status":"success","country":"Indonesia","countryCode":"ID","region":"JA","regionName":"Jambi","city":"Kota Jambi","zip":"36139","lat":-1.6277,"lon":103.6384,"timezone":"Asia/Jakarta","isp":"PT Telekomunikasi Selular Indonesia","org":"","as":"AS23693 PT. Telekomunikasi Selular","query":"182.3.70.248"}</t>
  </si>
  <si>
    <t>Tidak tahu / lupa</t>
  </si>
  <si>
    <t>180.243.3.189</t>
  </si>
  <si>
    <t>{"status":"success","country":"Indonesia","countryCode":"ID","region":"JK","regionName":"Jakarta","city":"West Jakarta","zip":"11610","lat":-6.2188,"lon":106.748,"timezone":"Asia/Jakarta","isp":"PT. TELKOM INDONESIA","org":"","as":"AS7713 PT Telekomunikasi Indonesia","query":"180.243.3.189"}</t>
  </si>
  <si>
    <t>13 Jun 2026 15:07</t>
  </si>
  <si>
    <t>103.180.123.15</t>
  </si>
  <si>
    <t>{"status":"success","country":"Indonesia","countryCode":"ID","region":"JK","regionName":"Jakarta","city":"South Jakarta","zip":"12760","lat":-6.2574,"lon":106.8453,"timezone":"Asia/Jakarta","isp":"PT Indo Telemedia Solusi","org":"PT Indo Telemedia Solusi","as":"AS149360 PT Indo Telemedia Solusi","query":"103.180.123.15"}</t>
  </si>
  <si>
    <t>114.8.229.88</t>
  </si>
  <si>
    <t>{"status":"success","country":"Indonesia","countryCode":"ID","region":"JI","regionName":"East Java","city":"Surabaya","zip":"60271","lat":-7.2484,"lon":112.7419,"timezone":"Asia/Jakarta","isp":"PT. INDOSAT Tbk","org":"PT. INDOSAT Tbk","as":"AS4761 INDOSAT Internet Network Provider","query":"114.8.229.88"}</t>
  </si>
  <si>
    <t>140.213.26.119</t>
  </si>
  <si>
    <t>{"status":"success","country":"Indonesia","countryCode":"ID","region":"JB","regionName":"West Java","city":"Bogor","zip":"16113","lat":-6.4795,"lon":106.8508,"timezone":"Asia/Jakarta","isp":"PT Excelcomindo Pratama","org":"","as":"AS24203 PT XL Axiata","query":"140.213.26.119"}</t>
  </si>
  <si>
    <t>182.4.73.218</t>
  </si>
  <si>
    <t>{"status":"success","country":"Indonesia","countryCode":"ID","region":"SB","regionName":"West Sumatra","city":"Padang","zip":"25173","lat":-0.8958,"lon":100.4354,"timezone":"Asia/Jakarta","isp":"PT Telekomunikasi Selular Indonesia","org":"","as":"AS23693 PT. Telekomunikasi Selular","query":"182.4.73.218"}</t>
  </si>
  <si>
    <t>140.213.169.51</t>
  </si>
  <si>
    <t>{"status":"success","country":"Indonesia","countryCode":"ID","region":"JT","regionName":"Central Java","city":"Semarang","zip":"50249","lat":-7.2722,"lon":110.4753,"timezone":"Asia/Jakarta","isp":"PT XL Axiata Tbk","org":"","as":"AS24203 PT XL Axiata","query":"140.213.169.51"}</t>
  </si>
  <si>
    <t>13 Jun 2026 15:06</t>
  </si>
  <si>
    <t>36.75.2.59</t>
  </si>
  <si>
    <t>{"status":"success","country":"Indonesia","countryCode":"ID","region":"BT","regionName":"Banten","city":"Tangerang","zip":"15710","lat":-6.177,"lon":106.6284,"timezone":"Asia/Jakarta","isp":"PT. TELKOM INDONESIA","org":"","as":"AS7713 PT Telekomunikasi Indonesia","query":"36.75.2.59"}</t>
  </si>
  <si>
    <t>Mozilla/5.0 (Windows NT 10.0; Win64; x64) AppleWebKit/537.36 (KHTML, like Gecko) Chrome/149.0.0.0 Safari/537.36</t>
  </si>
  <si>
    <t>103.157.48.43</t>
  </si>
  <si>
    <t>{"status":"success","country":"Indonesia","countryCode":"ID","region":"JB","regionName":"West Java","city":"West Bandung Regency","zip":"40553","lat":-6.8836,"lon":107.5075,"timezone":"Asia/Jakarta","isp":"PT. Eka Mas Republik","org":"Myrepublic","as":"AS63859 PT. Eka Mas Republik","query":"103.157.48.43"}</t>
  </si>
  <si>
    <t>13 Jun 2026 15:05</t>
  </si>
  <si>
    <t>157.10.8.219</t>
  </si>
  <si>
    <t>{"status":"success","country":"Indonesia","countryCode":"ID","region":"JT","regionName":"Central Java","city":"Semarang","zip":"50177","lat":-6.9971,"lon":110.4207,"timezone":"Asia/Jakarta","isp":"PT Parsaoran Global Datatrans","org":"PT. SOLUSINDO DISTRIBUTOR ACCECORIES","as":"AS58495 PT Parsaoran Global Datatrans","query":"157.10.8.219"}</t>
  </si>
  <si>
    <t>Mozilla/5.0 (Linux; Android 12; vivo 1938) AppleWebKit/537.36 (KHTML, like Gecko) Version/4.0 Chrome/131.0.6778.200 Mobile Safari/537.36 VivoBrowser/15.0.5.8</t>
  </si>
  <si>
    <t>114.79.16.246</t>
  </si>
  <si>
    <t>{"status":"success","country":"Indonesia","countryCode":"ID","region":"JI","regionName":"East Java","city":"Surabaya","zip":"60271","lat":-7.2484,"lon":112.7419,"timezone":"Asia/Jakarta","isp":"SMART-TELECOM","org":"","as":"AS18004 PT WIRELESS INDONESIA ( WIN )","query":"114.79.16.246"}</t>
  </si>
  <si>
    <t>13 Jun 2026 15:04</t>
  </si>
  <si>
    <t>103.157.78.214</t>
  </si>
  <si>
    <t>{"status":"success","country":"Indonesia","countryCode":"ID","region":"JK","regionName":"Jakarta","city":"Jakarta","zip":"16426","lat":-6.3792,"lon":106.8201,"timezone":"Asia/Jakarta","isp":"PT Super Media Indonesia","org":"Sminet","as":"AS141114 PT Super Media Indonesia","query":"103.157.78.214"}</t>
  </si>
  <si>
    <t>103.18.34.243</t>
  </si>
  <si>
    <t>{"status":"success","country":"Indonesia","countryCode":"ID","region":"JB","regionName":"West Java","city":"Depok","zip":"16431","lat":-6.3966,"lon":106.8164,"timezone":"Asia/Jakarta","isp":"PT. Indonesia Comnet Plus","org":"","as":"AS9341 PT INDONESIA COMNETS PLUS","query":"103.18.34.243"}</t>
  </si>
  <si>
    <t>182.2.43.152</t>
  </si>
  <si>
    <t>{"status":"success","country":"Indonesia","countryCode":"ID","region":"JT","regionName":"Central Java","city":"Semarang","zip":"50232","lat":-7.2722,"lon":110.4753,"timezone":"Asia/Jakarta","isp":"PT Telekomunikasi Selular Indonesia","org":"","as":"AS23693 PT. Telekomunikasi Selular","query":"182.2.43.152"}</t>
  </si>
  <si>
    <t>182.2.188.99</t>
  </si>
  <si>
    <t>{"status":"success","country":"Indonesia","countryCode":"ID","region":"BT","regionName":"Banten","city":"South Tangerang","zip":"15313","lat":-6.3018,"lon":106.7074,"timezone":"Asia/Jakarta","isp":"PT Telekomunikasi Selular Indonesia","org":"","as":"AS23693 PT. Telekomunikasi Selular","query":"182.2.188.99"}</t>
  </si>
  <si>
    <t>13 Jun 2026 15:03</t>
  </si>
  <si>
    <t>Mozilla/5.0 (iPhone; CPU iPhone OS 26_5_1 like Mac OS X) AppleWebKit/605.1.15 (KHTML, like Gecko) Version/26.5.1 Mobile/15E148 Safari/604.1 [WAiOS/2.26.22]</t>
  </si>
  <si>
    <t>180.242.199.211</t>
  </si>
  <si>
    <t>{"status":"success","country":"Indonesia","countryCode":"ID","region":"KR","regionName":"Riau Islands","city":"Kota Batam","zip":"29432","lat":1.0265,"lon":103.9259,"timezone":"Asia/Jakarta","isp":"PT. TELKOM INDONESIA","org":"","as":"AS7713 PT Telekomunikasi Indonesia","query":"180.242.199.211"}</t>
  </si>
  <si>
    <t>13 Jun 2026 15:02</t>
  </si>
  <si>
    <t>180.252.81.203</t>
  </si>
  <si>
    <t>{"status":"success","country":"Indonesia","countryCode":"ID","region":"JB","regionName":"West Java","city":"Bogor","zip":"16157","lat":-6.5541,"lon":106.7595,"timezone":"Asia/Jakarta","isp":"PT. TELKOM INDONESIA","org":"","as":"AS7713 PT Telekomunikasi Indonesia","query":"180.252.81.203"}</t>
  </si>
  <si>
    <t>182.3.52.123</t>
  </si>
  <si>
    <t>{"status":"success","country":"Indonesia","countryCode":"ID","region":"JK","regionName":"Jakarta","city":"East Jakarta","zip":"13470","lat":-6.2141,"lon":106.9002,"timezone":"Asia/Jakarta","isp":"PT Telekomunikasi Selular Indonesia","org":"","as":"AS23693 PT. Telekomunikasi Selular","query":"182.3.52.123"}</t>
  </si>
  <si>
    <t>13 Jun 2026 15:01</t>
  </si>
  <si>
    <t>180.247.61.224</t>
  </si>
  <si>
    <t>{"status":"success","country":"Indonesia","countryCode":"ID","region":"JB","regionName":"West Java","city":"Bekasi","zip":"17115","lat":-6.265,"lon":107.0122,"timezone":"Asia/Jakarta","isp":"Telekomunikasi Indonesia","org":"","as":"AS7713 PT Telekomunikasi Indonesia","query":"180.247.61.224"}</t>
  </si>
  <si>
    <t>182.5.236.148</t>
  </si>
  <si>
    <t>{"status":"success","country":"Indonesia","countryCode":"ID","region":"JI","regionName":"East Java","city":"Surabaya","zip":"60115","lat":-7.2594,"lon":112.786,"timezone":"Asia/Jakarta","isp":"PT Telekomunikasi Selular Indonesia","org":"","as":"AS23693 PT. Telekomunikasi Selular","query":"182.5.236.148"}</t>
  </si>
  <si>
    <t>13 Jun 2026 12:47</t>
  </si>
  <si>
    <t>180.243.13.13</t>
  </si>
  <si>
    <t>{"status":"success","country":"Indonesia","countryCode":"ID","region":"JK","regionName":"Jakarta","city":"West Jakarta","zip":"11460","lat":-6.1624,"lon":106.7857,"timezone":"Asia/Jakarta","isp":"PT. TELKOM INDONESIA","org":"","as":"AS7713 PT Telekomunikasi Indonesia","query":"180.243.13.13"}</t>
  </si>
  <si>
    <t>13 Jun 2026 12:07</t>
  </si>
  <si>
    <t>110.138.208.216</t>
  </si>
  <si>
    <t>{"status":"success","country":"Indonesia","countryCode":"ID","region":"JI","regionName":"East Java","city":"Surabaya","zip":"60273","lat":-7.2523,"lon":112.7572,"timezone":"Asia/Jakarta","isp":"PT. TELKOM INDONESIA","org":"","as":"AS7713 PT Telekomunikasi Indonesia","query":"110.138.208.216"}</t>
  </si>
  <si>
    <t>13 Jun 2026 10:02</t>
  </si>
  <si>
    <t>112.215.171.206</t>
  </si>
  <si>
    <t>{"status":"success","country":"Indonesia","countryCode":"ID","region":"JB","regionName":"West Java","city":"Bekasi","zip":"17131","lat":-6.2354,"lon":106.9618,"timezone":"Asia/Jakarta","isp":"XL-AXIATA Tbk GSM","org":"","as":"AS24203 PT XL Axiata","query":"112.215.171.206"}</t>
  </si>
  <si>
    <t>13 Jun 2026 10:00</t>
  </si>
  <si>
    <t>114.122.209.185</t>
  </si>
  <si>
    <t>{"status":"success","country":"Indonesia","countryCode":"ID","region":"KS","regionName":"South Kalimantan","city":"Banjarmasin","zip":"70249","lat":-3.3466,"lon":114.5662,"timezone":"Asia/Makassar","isp":"PT Telekomunikasi Selular Indonesia","org":"","as":"AS23693 PT. Telekomunikasi Selular","query":"114.122.209.185"}</t>
  </si>
  <si>
    <t>13 Jun 2026 07:46</t>
  </si>
  <si>
    <t>Mozilla/5.0 (iPhone; CPU iPhone OS 18_5 like Mac OS X) AppleWebKit/605.1.15 (KHTML, like Gecko) Version/18.5 Mobile/15E148 Safari/604.1 [WAiOS/2.26.22]</t>
  </si>
  <si>
    <t>125.165.190.67</t>
  </si>
  <si>
    <t>{"status":"success","country":"Indonesia","countryCode":"ID","region":"BT","regionName":"Banten","city":"South Tangerang","zip":"15415","lat":-6.2876,"lon":106.722,"timezone":"Asia/Jakarta","isp":"PT. TELKOM INDONESIA","org":"","as":"AS7713 PT Telekomunikasi Indonesia","query":"125.165.190.67"}</t>
  </si>
  <si>
    <t>13 Jun 2026 07:44</t>
  </si>
  <si>
    <t>165.101.42.25</t>
  </si>
  <si>
    <t>{"status":"success","country":"Indonesia","countryCode":"ID","region":"JI","regionName":"East Java","city":"Jetis","zip":"","lat":-7.1204,"lon":112.42,"timezone":"Asia/Jakarta","isp":"PT Lintas Jaringan Nusantara","org":"Indonesia Network Information Center","as":"AS58821 PT Lintas Jaringan Nusantara","query":"165.101.42.25"}</t>
  </si>
  <si>
    <t>13 Jun 2026 04:49</t>
  </si>
  <si>
    <t>182.8.161.16</t>
  </si>
  <si>
    <t>{"status":"success","country":"Indonesia","countryCode":"ID","region":"KI","regionName":"East Kalimantan","city":"Balikpapan","zip":"76114","lat":-1.2509,"lon":116.8845,"timezone":"Asia/Makassar","isp":"PT Telekomunikasi Selular Indonesia","org":"","as":"AS23693 PT. Telekomunikasi Selular","query":"182.8.161.16"}</t>
  </si>
  <si>
    <t>13 Jun 2026 03:54</t>
  </si>
  <si>
    <t>Mozilla/5.0 (Linux; Android 10; vivo 1929) AppleWebKit/537.36 (KHTML, like Gecko) Version/4.0 Chrome/123.0.6312.118 Mobile Safari/537.36 VivoBrowser/15.1.0.3</t>
  </si>
  <si>
    <t>182.4.101.197</t>
  </si>
  <si>
    <t>{"status":"success","country":"Indonesia","countryCode":"ID","region":"YO","regionName":"Yogyakarta","city":"Yogyakarta","zip":"55261","lat":-7.8017,"lon":110.3544,"timezone":"Asia/Jakarta","isp":"PT Telekomunikasi Selular Indonesia","org":"","as":"AS23693 PT. Telekomunikasi Selular","query":"182.4.101.197"}</t>
  </si>
  <si>
    <t>13 Jun 2026 00:56</t>
  </si>
  <si>
    <t>103.136.59.100</t>
  </si>
  <si>
    <t>{"status":"success","country":"Indonesia","countryCode":"ID","region":"BT","regionName":"Banten","city":"Tangerang","zip":"15339","lat":-6.1716,"lon":106.5265,"timezone":"Asia/Jakarta","isp":"MORATELINDONAP","org":"","as":"AS131111 PT Mora Telematika Indonesia","query":"103.136.59.100"}</t>
  </si>
  <si>
    <t>13 Jun 2026 00:53</t>
  </si>
  <si>
    <t>165.99.195.3</t>
  </si>
  <si>
    <t>{"status":"success","country":"Indonesia","countryCode":"ID","region":"JT","regionName":"Central Java","city":"Krajan Kajar","zip":"","lat":-6.67055,"lon":111.073,"timezone":"Asia/Jakarta","isp":"PT Network Bumi Saridin","org":"PT Network Bumi Saridin","as":"AS153986 PT Network Bumi Saridin","query":"165.99.195.3"}</t>
  </si>
  <si>
    <t>13 Jun 2026 00:29</t>
  </si>
  <si>
    <t>210.87.92.243</t>
  </si>
  <si>
    <t>{"status":"success","country":"Indonesia","countryCode":"ID","region":"JI","regionName":"East Java","city":"Bangil","zip":"","lat":-7.59939,"lon":112.819,"timezone":"Asia/Jakarta","isp":"PT Indo Telemedia Solusi","org":"PT. INDONET DATA BERSAMA","as":"AS149360 PT Indo Telemedia Solusi","query":"210.87.92.243"}</t>
  </si>
  <si>
    <t>12 Jun 2026 21:46</t>
  </si>
  <si>
    <t>182.8.179.25</t>
  </si>
  <si>
    <t>{"status":"success","country":"Indonesia","countryCode":"ID","region":"KI","regionName":"East Kalimantan","city":"Samarinda","zip":"75117","lat":-0.5007,"lon":117.1787,"timezone":"Asia/Makassar","isp":"PT Telekomunikasi Selular Indonesia","org":"","as":"AS23693 PT. Telekomunikasi Selular","query":"182.8.179.25"}</t>
  </si>
  <si>
    <t>12 Jun 2026 21:27</t>
  </si>
  <si>
    <t>Mozilla/5.0 (Linux; U; Android 11; in-id; CPH1933 Build/RKQ1.200903.002) AppleWebKit/537.36 (KHTML, like Gecko) Chrome/115.0.5970.168 Mobile Safari/537.36 HeyTapBrowser/45.14.3.1</t>
  </si>
  <si>
    <t>103.144.18.61</t>
  </si>
  <si>
    <t>{"status":"success","country":"Indonesia","countryCode":"ID","region":"JI","regionName":"East Java","city":"Bondowoso","zip":"","lat":-7.91346,"lon":113.821,"timezone":"Asia/Jakarta","isp":"PT Gasatek Bintang Nusantara","org":"","as":"AS139418 PT Gasatek Bintang Nusantara","query":"103.144.18.61"}</t>
  </si>
  <si>
    <t>12 Jun 2026 21:24</t>
  </si>
  <si>
    <t>Mozilla/5.0 (iPhone; CPU iPhone OS 18_7 like Mac OS X) AppleWebKit/605.1.15 (KHTML, like Gecko) Version/26.4 Mobile/15E148 Safari/604.1</t>
  </si>
  <si>
    <t>182.8.162.142</t>
  </si>
  <si>
    <t>{"status":"success","country":"Indonesia","countryCode":"ID","region":"KI","regionName":"East Kalimantan","city":"Balikpapan","zip":"76114","lat":-1.2509,"lon":116.8845,"timezone":"Asia/Makassar","isp":"PT Telekomunikasi Selular Indonesia","org":"","as":"AS23693 PT. Telekomunikasi Selular","query":"182.8.162.142"}</t>
  </si>
  <si>
    <t>12 Jun 2026 20:30</t>
  </si>
  <si>
    <t>114.10.82.13</t>
  </si>
  <si>
    <t>{"status":"success","country":"Indonesia","countryCode":"ID","region":"SU","regionName":"North Sumatra","city":"Medan","zip":"20131","lat":3.6178,"lon":98.6665,"timezone":"Asia/Jakarta","isp":"PT. INDOSAT Tbk","org":"IOH B2B","as":"AS4761 INDOSAT Internet Network Provider","query":"114.10.82.13"}</t>
  </si>
  <si>
    <t>12 Jun 2026 20:23</t>
  </si>
  <si>
    <t>39.194.5.163</t>
  </si>
  <si>
    <t>{"status":"success","country":"Indonesia","countryCode":"ID","region":"KS","regionName":"South Kalimantan","city":"Kota Banjarmasin","zip":"70234","lat":-3.3236,"lon":114.589,"timezone":"Asia/Makassar","isp":"PT. Telekomunikasi Selular","org":"PT.TELKOMSEL Indonesia","as":"AS23693 PT. Telekomunikasi Selular","query":"39.194.5.163"}</t>
  </si>
  <si>
    <t>12 Jun 2026 20:18</t>
  </si>
  <si>
    <t>Mozilla/5.0 (Linux; U; Android 9; in-id; CPH2015 Build/PPR1.180610.011) AppleWebKit/537.36 (KHTML, like Gecko) Chrome/115.0.5970.168 Mobile Safari/537.36 HeyTapBrowser/25.13.9.1</t>
  </si>
  <si>
    <t>114.122.165.216</t>
  </si>
  <si>
    <t>{"status":"success","country":"Indonesia","countryCode":"ID","region":"BA","regionName":"Bali","city":"Banjar Badung","zip":"80352","lat":-8.0755,"lon":115.1643,"timezone":"Asia/Makassar","isp":"PT Telekomunikasi Selular Indonesia","org":"","as":"AS23693 PT. Telekomunikasi Selular","query":"114.122.165.216"}</t>
  </si>
  <si>
    <t>12 Jun 2026 19:37</t>
  </si>
  <si>
    <t>140.213.202.229</t>
  </si>
  <si>
    <t>{"status":"success","country":"Indonesia","countryCode":"ID","region":"RI","regionName":"Riau","city":"Pekanbaru","zip":"28127","lat":0.5217,"lon":101.4343,"timezone":"Asia/Jakarta","isp":"PT Excelcomindo Pratama","org":"","as":"AS139994 PT XL Axiata Tbk","query":"140.213.202.229"}</t>
  </si>
  <si>
    <t>12 Jun 2026 18:55</t>
  </si>
  <si>
    <t>103.65.214.119</t>
  </si>
  <si>
    <t>{"status":"success","country":"Indonesia","countryCode":"ID","region":"YO","regionName":"Yogyakarta","city":"Pandak","zip":"","lat":-7.91306,"lon":110.294,"timezone":"Asia/Jakarta","isp":"PT.Broadband Indonesia Pratama","org":"","as":"AS135449 PT. Broadband Indonesia Pratama","query":"103.65.214.119"}</t>
  </si>
  <si>
    <t>12 Jun 2026 18:54</t>
  </si>
  <si>
    <t>114.122.13.119</t>
  </si>
  <si>
    <t>{"status":"success","country":"Indonesia","countryCode":"ID","region":"SU","regionName":"North Sumatra","city":"Medan","zip":"20122","lat":3.6178,"lon":98.6665,"timezone":"Asia/Jakarta","isp":"PT Telekomunikasi Selular Indonesia","org":"","as":"AS23693 PT. Telekomunikasi Selular","query":"114.122.13.119"}</t>
  </si>
  <si>
    <t>182.9.37.84</t>
  </si>
  <si>
    <t>{"status":"success","country":"Indonesia","countryCode":"ID","region":"SU","regionName":"North Sumatra","city":"Medan","zip":"20116","lat":3.6051,"lon":98.6713,"timezone":"Asia/Jakarta","isp":"PT Telekomunikasi Selular Indonesia","org":"","as":"AS23693 PT. Telekomunikasi Selular","query":"182.9.37.84"}</t>
  </si>
  <si>
    <t>12 Jun 2026 18:29</t>
  </si>
  <si>
    <t>202.154.45.12</t>
  </si>
  <si>
    <t>{"status":"success","country":"Indonesia","countryCode":"ID","region":"JI","regionName":"East Java","city":"Madiun","zip":"63133","lat":-7.6302,"lon":111.5266,"timezone":"Asia/Jakarta","isp":"Data Buana Nusantara","org":"","as":"AS138886 PT Data Buana Nusantara","query":"202.154.45.12"}</t>
  </si>
  <si>
    <t>103.108.32.101</t>
  </si>
  <si>
    <t>{"status":"success","country":"Indonesia","countryCode":"ID","region":"BE","regionName":"Bengkulu","city":"Bengkulu","zip":"38211","lat":-3.7293,"lon":102.262,"timezone":"Asia/Jakarta","isp":"PT Hutchison 3 Indonesia","org":"","as":"AS4761 INDOSAT Internet Network Provider","query":"103.108.32.101"}</t>
  </si>
  <si>
    <t>12 Jun 2026 17:58</t>
  </si>
  <si>
    <t>Mozilla/5.0 (Linux; Android 10; K) AppleWebKit/537.36 (KHTML, like Gecko) Chrome/148.0.0.0 Safari/537.36</t>
  </si>
  <si>
    <t>12 Jun 2026 17:57</t>
  </si>
  <si>
    <t>12 Jun 2026 17:53</t>
  </si>
  <si>
    <t>Mozilla/5.0 (Windows; U; Windows NT 5.2; en-US) AppleWebKit/537.36 (KHTML, like Gecko)  VivoBrowser/16.0.4.3 Chrome/131.0.6778.200 Safari/537.36</t>
  </si>
  <si>
    <t>103.152.238.214</t>
  </si>
  <si>
    <t>{"status":"success","country":"Indonesia","countryCode":"ID","region":"JB","regionName":"West Java","city":"Cikarang","zip":"","lat":-6.26111,"lon":107.153,"timezone":"Asia/Jakarta","isp":"APRIN","org":"","as":"AS140448 PT Acces Prima Nusantara","query":"103.152.238.214"}</t>
  </si>
  <si>
    <t>12 Jun 2026 17:24</t>
  </si>
  <si>
    <t>103.160.12.169</t>
  </si>
  <si>
    <t>{"status":"success","country":"Indonesia","countryCode":"ID","region":"JK","regionName":"Jakarta","city":"West Jakarta","zip":"11620","lat":-6.2188,"lon":106.748,"timezone":"Asia/Jakarta","isp":"PT Mora Telematika Indonesia","org":"PT Metrodata Eka Jaya","as":"AS131111 PT Mora Telematika Indonesia","query":"103.160.12.169"}</t>
  </si>
  <si>
    <t>12 Jun 2026 17:09</t>
  </si>
  <si>
    <t>103.129.24.234</t>
  </si>
  <si>
    <t>{"status":"success","country":"Indonesia","countryCode":"ID","region":"SU","regionName":"North Sumatra","city":"Medan","zip":"20212","lat":3.586,"lon":98.6923,"timezone":"Asia/Jakarta","isp":"PT. Cyberindo Aditama","org":"CBN","as":"AS135478 PT. Cyberindo Aditama","query":"103.129.24.234"}</t>
  </si>
  <si>
    <t>12 Jun 2026 17:06</t>
  </si>
  <si>
    <t>202.159.16.158</t>
  </si>
  <si>
    <t>{"status":"success","country":"Indonesia","countryCode":"ID","region":"JK","regionName":"Jakarta","city":"Jakarta","zip":"12850","lat":-6.2208,"lon":106.8403,"timezone":"Asia/Jakarta","isp":"PT IndoInternet","org":"","as":"AS9340 INDO Internet, PT","query":"202.159.16.158"}</t>
  </si>
  <si>
    <t>12 Jun 2026 16:41</t>
  </si>
  <si>
    <t>103.175.222.205</t>
  </si>
  <si>
    <t>{"status":"success","country":"Indonesia","countryCode":"ID","region":"SN","regionName":"South Sulawesi","city":"Makassar","zip":"90222","lat":-5.1691,"lon":119.4537,"timezone":"Asia/Makassar","isp":"PT. Eka Mas Republik","org":"Myrepublic","as":"AS63859 PT. Eka Mas Republik","query":"103.175.222.205"}</t>
  </si>
  <si>
    <t>103.86.116.38</t>
  </si>
  <si>
    <t>{"status":"success","country":"Indonesia","countryCode":"ID","region":"JI","regionName":"East Java","city":"Lenteng","zip":"69461","lat":-7.0623,"lon":113.4736,"timezone":"Asia/Jakarta","isp":"PT Link Data Sumber Barokah","org":"PT Link Data Sumber Barokah","as":"AS150552 PT Link Data Sumber Barokah","query":"103.86.116.38"}</t>
  </si>
  <si>
    <t>12 Jun 2026 16:38</t>
  </si>
  <si>
    <t>Mozilla/5.0 (Windows; U; Windows NT 5.2; en-US) AppleWebKit/537.36 (KHTML, like Gecko)  VivoBrowser/16.0.4.2 Chrome/131.0.6778.200 Safari/537.36</t>
  </si>
  <si>
    <t>182.2.189.24</t>
  </si>
  <si>
    <t>{"status":"success","country":"Indonesia","countryCode":"ID","region":"BT","regionName":"Banten","city":"South Tangerang","zip":"15313","lat":-6.3018,"lon":106.7074,"timezone":"Asia/Jakarta","isp":"PT Telekomunikasi Selular Indonesia","org":"","as":"AS23693 PT. Telekomunikasi Selular","query":"182.2.189.24"}</t>
  </si>
  <si>
    <t>103.119.140.151</t>
  </si>
  <si>
    <t>{"status":"success","country":"Indonesia","countryCode":"ID","region":"JK","regionName":"Jakarta","city":"Jakarta","zip":"12850","lat":-6.2208,"lon":106.8403,"timezone":"Asia/Jakarta","isp":"PT Bali Towerindo Sentra","org":"","as":"AS136119 PT Bali Towerindo Sentra, Tbk","query":"103.119.140.151"}</t>
  </si>
  <si>
    <t>12 Jun 2026 16:37</t>
  </si>
  <si>
    <t>Mozilla/5.0 (Linux; U; Android 14; in-id; CPH2359 Build/UKQ1.230924.001) AppleWebKit/537.36 (KHTML, like Gecko) Chrome/115.0.5970.168 Mobile Safari/537.36 HeyTapBrowser/45.14.3.1</t>
  </si>
  <si>
    <t>101.128.104.130</t>
  </si>
  <si>
    <t>{"status":"success","country":"Indonesia","countryCode":"ID","region":"SS","regionName":"South Sumatra","city":"Palembang","zip":"","lat":-2.91673,"lon":104.746,"timezone":"Asia/Jakarta","isp":"Indonesia Network Information Center","org":"","as":"AS135478 PT. Cyberindo Aditama","query":"101.128.104.130"}</t>
  </si>
  <si>
    <t>12 Jun 2026 16:28</t>
  </si>
  <si>
    <t>Mozilla/5.0 (Linux; U; Android 10; in-id; RMX2030 Build/QKQ1.200209.002) AppleWebKit/537.36 (KHTML, like Gecko) Chrome/115.0.5970.168 Mobile Safari/537.36 HeyTapBrowser/45.14.3.1</t>
  </si>
  <si>
    <t>182.6.11.238</t>
  </si>
  <si>
    <t>{"status":"success","country":"Indonesia","countryCode":"ID","region":"BT","regionName":"Banten","city":"South Tangerang","zip":"15323","lat":-6.2817,"lon":106.6478,"timezone":"Asia/Jakarta","isp":"PT Telekomunikasi Selular Indonesia","org":"","as":"AS23693 PT. Telekomunikasi Selular","query":"182.6.11.238"}</t>
  </si>
  <si>
    <t>12 Jun 2026 16:26</t>
  </si>
  <si>
    <t>36.65.252.229</t>
  </si>
  <si>
    <t>{"status":"success","country":"Indonesia","countryCode":"ID","region":"JB","regionName":"West Java","city":"Bekasi","zip":"17135","lat":-6.2244,"lon":106.9726,"timezone":"Asia/Jakarta","isp":"PT. Telekomunikasi Indonesia","org":"","as":"AS7713 PT Telekomunikasi Indonesia","query":"36.65.252.229"}</t>
  </si>
  <si>
    <t>12 Jun 2026 16:18</t>
  </si>
  <si>
    <t>114.10.42.93</t>
  </si>
  <si>
    <t>{"status":"success","country":"Indonesia","countryCode":"ID","region":"JK","regionName":"Jakarta","city":"West Jakarta","zip":"11510","lat":-6.181,"lon":106.7739,"timezone":"Asia/Jakarta","isp":"PT. INDOSAT Tbk","org":"IOH B2B","as":"AS4761 INDOSAT Internet Network Provider","query":"114.10.42.93"}</t>
  </si>
  <si>
    <t>12 Jun 2026 16:12</t>
  </si>
  <si>
    <t>114.10.42.66</t>
  </si>
  <si>
    <t>{"status":"success","country":"Indonesia","countryCode":"ID","region":"JK","regionName":"Jakarta","city":"West Jakarta","zip":"11510","lat":-6.181,"lon":106.7739,"timezone":"Asia/Jakarta","isp":"PT. INDOSAT Tbk","org":"IOH B2B","as":"AS4761 INDOSAT Internet Network Provider","query":"114.10.42.66"}</t>
  </si>
  <si>
    <t>12 Jun 2026 16:05</t>
  </si>
  <si>
    <t>Mozilla/5.0 (Linux; Android 16; Redmi Note 13 Pro 5G Build/BP2A.250605.031.A3) AppleWebKit/537.36 (KHTML, like Gecko) Chrome/135.0.7049.79 Mobile Safari/537.36 XiaoMi/MiuiBrowser/14.56.0-gn</t>
  </si>
  <si>
    <t>182.3.36.219</t>
  </si>
  <si>
    <t>{"status":"success","country":"Indonesia","countryCode":"ID","region":"JK","regionName":"Jakarta","city":"East Jakarta","zip":"12770","lat":-6.2401,"lon":106.8523,"timezone":"Asia/Jakarta","isp":"PT Telekomunikasi Selular Indonesia","org":"","as":"AS23693 PT. Telekomunikasi Selular","query":"182.3.36.219"}</t>
  </si>
  <si>
    <t>Mozilla/5.0 (Linux; U; Android 15; id-id; CPH2525 Build/AP3A.240617.008) AppleWebKit/537.36 (KHTML, like Gecko) Chrome/115.0.5970.168 Mobile Safari/537.36 HeyTapBrowser/45.14.3.1</t>
  </si>
  <si>
    <t>112.215.235.242</t>
  </si>
  <si>
    <t>{"status":"success","country":"Indonesia","countryCode":"ID","region":"JB","regionName":"West Java","city":"Bekasi","zip":"17141","lat":-6.2808,"lon":106.9835,"timezone":"Asia/Jakarta","isp":"XL-AXIATA Tbk GSM","org":"","as":"AS24203 PT XL Axiata","query":"112.215.235.242"}</t>
  </si>
  <si>
    <t>12 Jun 2026 16:02</t>
  </si>
  <si>
    <t>114.122.139.200</t>
  </si>
  <si>
    <t>{"status":"success","country":"Indonesia","countryCode":"ID","region":"BA","regionName":"Bali","city":"Denpasar","zip":"80116","lat":-8.6507,"lon":115.2124,"timezone":"Asia/Makassar","isp":"PT Telekomunikasi Selular Indonesia","org":"","as":"AS23693 PT. Telekomunikasi Selular","query":"114.122.139.200"}</t>
  </si>
  <si>
    <t>12 Jun 2026 15:54</t>
  </si>
  <si>
    <t>182.6.217.51</t>
  </si>
  <si>
    <t>{"status":"success","country":"Indonesia","countryCode":"ID","region":"BT","regionName":"Banten","city":"South Tangerang","zip":"15323","lat":-6.2817,"lon":106.6478,"timezone":"Asia/Jakarta","isp":"PT Telekomunikasi Selular Indonesia","org":"","as":"AS23693 PT. Telekomunikasi Selular","query":"182.6.217.51"}</t>
  </si>
  <si>
    <t>182.1.137.222</t>
  </si>
  <si>
    <t>{"status":"success","country":"Indonesia","countryCode":"ID","region":"SA","regionName":"North Sulawesi","city":"Manado","zip":"95111","lat":1.4901,"lon":124.8472,"timezone":"Asia/Makassar","isp":"PT Telekomunikasi Selular Indonesia","org":"","as":"AS23693 PT. Telekomunikasi Selular","query":"182.1.137.222"}</t>
  </si>
  <si>
    <t>12 Jun 2026 15:53</t>
  </si>
  <si>
    <t>101.128.100.97</t>
  </si>
  <si>
    <t>{"status":"success","country":"Indonesia","countryCode":"ID","region":"JB","regionName":"West Java","city":"Bandung","zip":"40287","lat":-6.9202,"lon":107.6084,"timezone":"Asia/Jakarta","isp":"Indonesia Network Information Center","org":"","as":"AS135478 PT. Cyberindo Aditama","query":"101.128.100.97"}</t>
  </si>
  <si>
    <t>118.99.112.28</t>
  </si>
  <si>
    <t>{"status":"success","country":"Indonesia","countryCode":"ID","region":"JI","regionName":"East Java","city":"Surabaya","zip":"60273","lat":-7.2523,"lon":112.7572,"timezone":"Asia/Jakarta","isp":"Biznet Networks","org":"Prepaid","as":"AS17451 BIZNET NETWORKS","query":"118.99.112.28"}</t>
  </si>
  <si>
    <t>12 Jun 2026 15:50</t>
  </si>
  <si>
    <t>182.1.166.97</t>
  </si>
  <si>
    <t>{"status":"success","country":"Indonesia","countryCode":"ID","region":"SN","regionName":"South Sulawesi","city":"Makassar","zip":"90222","lat":-5.1691,"lon":119.4537,"timezone":"Asia/Makassar","isp":"PT Telekomunikasi Selular Indonesia","org":"","as":"AS23693 PT. Telekomunikasi Selular","query":"182.1.166.97"}</t>
  </si>
  <si>
    <t>12 Jun 2026 15:45</t>
  </si>
  <si>
    <t>Mozilla/5.0 (iPhone; CPU iPhone OS 26_5_1 like Mac OS X) AppleWebKit/605.1.15 (KHTML, like Gecko) Version/26.5.1 Mobile/15E148 Safari/604.1 [WAiOS/2.26.21]</t>
  </si>
  <si>
    <t>140.213.14.171</t>
  </si>
  <si>
    <t>{"status":"success","country":"Indonesia","countryCode":"ID","region":"JK","regionName":"Jakarta","city":"North Jakarta","zip":"14350","lat":-6.1474,"lon":106.8711,"timezone":"Asia/Jakarta","isp":"PT Excelcomindo Pratama","org":"","as":"AS24203 PT XL Axiata","query":"140.213.14.171"}</t>
  </si>
  <si>
    <t>12 Jun 2026 15:40</t>
  </si>
  <si>
    <t>36.77.238.31</t>
  </si>
  <si>
    <t>{"status":"success","country":"Indonesia","countryCode":"ID","region":"JK","regionName":"Jakarta","city":"West Jakarta","zip":"11520","lat":-6.1765,"lon":106.7498,"timezone":"Asia/Jakarta","isp":"PT. TELKOM INDONESIA","org":"","as":"AS7713 PT Telekomunikasi Indonesia","query":"36.77.238.31"}</t>
  </si>
  <si>
    <t>12 Jun 2026 15:38</t>
  </si>
  <si>
    <t>103.54.217.179</t>
  </si>
  <si>
    <t>{"status":"success","country":"Indonesia","countryCode":"ID","region":"JK","regionName":"Jakarta","city":"Central Jakarta","zip":"10710","lat":-6.1584,"lon":106.8369,"timezone":"Asia/Jakarta","isp":"PT. Mora Telematika Indonesia","org":"","as":"AS131111 PT Mora Telematika Indonesia","query":"103.54.217.179"}</t>
  </si>
  <si>
    <t>12 Jun 2026 15:35</t>
  </si>
  <si>
    <t>182.4.103.250</t>
  </si>
  <si>
    <t>{"status":"success","country":"Indonesia","countryCode":"ID","region":"YO","regionName":"Yogyakarta","city":"Yogyakarta","zip":"55261","lat":-7.8017,"lon":110.3544,"timezone":"Asia/Jakarta","isp":"PT Telekomunikasi Selular Indonesia","org":"","as":"AS23693 PT. Telekomunikasi Selular","query":"182.4.103.250"}</t>
  </si>
  <si>
    <t>12 Jun 2026 15:34</t>
  </si>
  <si>
    <t>Mozilla/5.0 (Linux; Android 12; V2204) AppleWebKit/537.36 (KHTML, like Gecko) Version/4.0 Chrome/131.0.6778.200 Mobile Safari/537.36 VivoBrowser/15.0.5.8</t>
  </si>
  <si>
    <t>182.1.233.53</t>
  </si>
  <si>
    <t>{"status":"success","country":"Indonesia","countryCode":"ID","region":"SS","regionName":"South Sumatra","city":"Palembang","zip":"30151","lat":-2.9146,"lon":104.7535,"timezone":"Asia/Jakarta","isp":"PT Telekomunikasi Selular Indonesia","org":"","as":"AS23693 PT. Telekomunikasi Selular","query":"182.1.233.53"}</t>
  </si>
  <si>
    <t>12 Jun 2026 15:33</t>
  </si>
  <si>
    <t>Mozilla/5.0 (Linux; U; Android 14; in-id; CPH2387 Build/SP1A.210812.016) AppleWebKit/537.36 (KHTML, like Gecko) Chrome/115.0.5970.168 Mobile Safari/537.36 HeyTapBrowser/45.14.3.1</t>
  </si>
  <si>
    <t>103.154.150.179</t>
  </si>
  <si>
    <t>{"status":"success","country":"Indonesia","countryCode":"ID","region":"JK","regionName":"Jakarta","city":"East Jakarta","zip":"13610","lat":-6.2599,"lon":106.8767,"timezone":"Asia/Jakarta","isp":"MORATELINDONAP","org":"","as":"AS131111 PT Mora Telematika Indonesia","query":"103.154.150.179"}</t>
  </si>
  <si>
    <t>12 Jun 2026 15:30</t>
  </si>
  <si>
    <t>140.213.153.41</t>
  </si>
  <si>
    <t>{"status":"success","country":"Indonesia","countryCode":"ID","region":"BT","regionName":"Banten","city":"South Tangerang","zip":"15310","lat":-6.264,"lon":106.7324,"timezone":"Asia/Jakarta","isp":"PT Excelcomindo Pratama","org":"","as":"AS24203 PT XL Axiata","query":"140.213.153.41"}</t>
  </si>
  <si>
    <t>12 Jun 2026 15:29</t>
  </si>
  <si>
    <t>Mozilla/5.0 (iPhone; CPU iPhone OS 18_7_8 like Mac OS X) AppleWebKit/605.1.15 (KHTML, like Gecko) Version/18.7.8 Mobile/15E148 Safari/604.1 [WAiOS/2.26.14]</t>
  </si>
  <si>
    <t>114.122.8.251</t>
  </si>
  <si>
    <t>{"status":"success","country":"Indonesia","countryCode":"ID","region":"SU","regionName":"North Sumatra","city":"Medan","zip":"20212","lat":3.586,"lon":98.6923,"timezone":"Asia/Jakarta","isp":"PT Telekomunikasi Selular Indonesia","org":"","as":"AS23693 PT. Telekomunikasi Selular","query":"114.122.8.251"}</t>
  </si>
  <si>
    <t>12 Jun 2026 15:28</t>
  </si>
  <si>
    <t>157.85.213.2</t>
  </si>
  <si>
    <t>{"status":"success","country":"Indonesia","countryCode":"ID","region":"JB","regionName":"West Java","city":"Bekasi","zip":"17413","lat":-6.286,"lon":106.9313,"timezone":"Asia/Jakarta","isp":"PT XL Axiata Tbk","org":"Xlnet","as":"AS139994 PT XL Axiata Tbk","query":"157.85.213.2"}</t>
  </si>
  <si>
    <t>12 Jun 2026 15:27</t>
  </si>
  <si>
    <t>182.2.77.119</t>
  </si>
  <si>
    <t>{"status":"success","country":"Indonesia","countryCode":"ID","region":"JT","regionName":"Central Java","city":"Surakarta","zip":"57131","lat":-7.6095,"lon":110.6769,"timezone":"Asia/Jakarta","isp":"PT Telekomunikasi Selular Indonesia","org":"","as":"AS23693 PT. Telekomunikasi Selular","query":"182.2.77.119"}</t>
  </si>
  <si>
    <t>12 Jun 2026 15:26</t>
  </si>
  <si>
    <t>114.10.155.175</t>
  </si>
  <si>
    <t>{"status":"success","country":"Indonesia","countryCode":"ID","region":"JI","regionName":"East Java","city":"Malang","zip":"65111","lat":-7.9592,"lon":112.6292,"timezone":"Asia/Jakarta","isp":"PT. INDOSAT Tbk","org":"","as":"AS4761 INDOSAT Internet Network Provider","query":"114.10.155.175"}</t>
  </si>
  <si>
    <t>12 Jun 2026 15:24</t>
  </si>
  <si>
    <t>182.5.240.73</t>
  </si>
  <si>
    <t>{"status":"success","country":"Indonesia","countryCode":"ID","region":"JI","regionName":"East Java","city":"Surabaya","zip":"60272","lat":-7.2604,"lon":112.7424,"timezone":"Asia/Jakarta","isp":"PT Telekomunikasi Selular Indonesia","org":"","as":"AS23693 PT. Telekomunikasi Selular","query":"182.5.240.73"}</t>
  </si>
  <si>
    <t>12 Jun 2026 15:23</t>
  </si>
  <si>
    <t>114.122.165.172</t>
  </si>
  <si>
    <t>{"status":"success","country":"Indonesia","countryCode":"ID","region":"BA","regionName":"Bali","city":"Banjar Badung","zip":"80352","lat":-8.0755,"lon":115.1643,"timezone":"Asia/Makassar","isp":"PT Telekomunikasi Selular Indonesia","org":"","as":"AS23693 PT. Telekomunikasi Selular","query":"114.122.165.172"}</t>
  </si>
  <si>
    <t>103.168.190.22</t>
  </si>
  <si>
    <t>{"status":"success","country":"Indonesia","countryCode":"ID","region":"JK","regionName":"Jakarta","city":"Jakarta","zip":"","lat":-6.21462,"lon":106.845,"timezone":"Asia/Jakarta","isp":"PT Telemedia Komunikasi Pratama","org":"PT Telemedia Komunikasi Pratama","as":"AS142319 PT Telemedia Komunikasi Pratama","query":"103.168.190.22"}</t>
  </si>
  <si>
    <t>12 Jun 2026 15:20</t>
  </si>
  <si>
    <t>202.46.150.3</t>
  </si>
  <si>
    <t>{"status":"success","country":"Indonesia","countryCode":"ID","region":"JT","regionName":"Central Java","city":"Pemalang","zip":"","lat":-6.89193,"lon":109.383,"timezone":"Asia/Jakarta","isp":"GMEDIA","org":"","as":"AS55666 PT Media Sarana Data","query":"202.46.150.3"}</t>
  </si>
  <si>
    <t>12 Jun 2026 15:19</t>
  </si>
  <si>
    <t>114.10.100.203</t>
  </si>
  <si>
    <t>{"status":"success","country":"Indonesia","countryCode":"ID","region":"LA","regionName":"Lampung","city":"Bandar Lampung","zip":"35141","lat":-5.3906,"lon":105.2569,"timezone":"Asia/Jakarta","isp":"PT. INDOSAT Tbk","org":"PT. INDOSAT Tbk","as":"AS4761 INDOSAT Internet Network Provider","query":"114.10.100.203"}</t>
  </si>
  <si>
    <t>12 Jun 2026 15:17</t>
  </si>
  <si>
    <t>122.50.7.234</t>
  </si>
  <si>
    <t>{"status":"success","country":"Indonesia","countryCode":"ID","region":"JK","regionName":"Jakarta","city":"Central Jakarta","zip":"10610","lat":-6.1641,"lon":106.8528,"timezone":"Asia/Jakarta","isp":"MORATELINDONAP","org":"","as":"AS131111 PT Mora Telematika Indonesia","query":"122.50.7.234"}</t>
  </si>
  <si>
    <t>12 Jun 2026 15:16</t>
  </si>
  <si>
    <t>182.2.77.65</t>
  </si>
  <si>
    <t>{"status":"success","country":"Indonesia","countryCode":"ID","region":"JT","regionName":"Central Java","city":"Surakarta","zip":"57131","lat":-7.6095,"lon":110.6769,"timezone":"Asia/Jakarta","isp":"PT Telekomunikasi Selular Indonesia","org":"","as":"AS23693 PT. Telekomunikasi Selular","query":"182.2.77.65"}</t>
  </si>
  <si>
    <t>12 Jun 2026 15:15</t>
  </si>
  <si>
    <t>203.83.39.2</t>
  </si>
  <si>
    <t>{"status":"success","country":"Indonesia","countryCode":"ID","region":"JK","regionName":"Jakarta","city":"West Jakarta","zip":"11520","lat":-6.1765,"lon":106.7498,"timezone":"Asia/Jakarta","isp":"Garis Waktu Kita","org":"","as":"AS63859 PT. Eka Mas Republik","query":"203.83.39.2"}</t>
  </si>
  <si>
    <t>12 Jun 2026 15:14</t>
  </si>
  <si>
    <t>Mozilla/5.0 (Linux; Android 10; Redmi 9A Build/QP1A.190711.020) AppleWebKit/537.36 (KHTML, like Gecko) Chrome/123.0.6312.118 Mobile Safari/537.36 XiaoMi/MiuiBrowser/14.47.1-gn</t>
  </si>
  <si>
    <t>180.243.9.121</t>
  </si>
  <si>
    <t>{"status":"success","country":"Indonesia","countryCode":"ID","region":"JK","regionName":"Jakarta","city":"West Jakarta","zip":"11520","lat":-6.1765,"lon":106.7498,"timezone":"Asia/Jakarta","isp":"PT. TELKOM INDONESIA","org":"","as":"AS7713 PT Telekomunikasi Indonesia","query":"180.243.9.121"}</t>
  </si>
  <si>
    <t>12 Jun 2026 15:13</t>
  </si>
  <si>
    <t>Mozilla/5.0 (iPhone; CPU iPhone OS 26_3_1 like Mac OS X) AppleWebKit/605.1.15 (KHTML, like Gecko) Version/26.3.1 Mobile/15E148 Safari/604.1 [WAiOS/2.26.21]</t>
  </si>
  <si>
    <t>113.192.12.30</t>
  </si>
  <si>
    <t>{"status":"success","country":"Indonesia","countryCode":"ID","region":"JT","regionName":"Central Java","city":"Kemantren Satu","zip":"","lat":-7.5272,"lon":108.862,"timezone":"Asia/Jakarta","isp":"PT Parsaoran Global Datatrans","org":"PT. BISNIS STORAGE INDONESIA","as":"AS58495 PT Parsaoran Global Datatrans","query":"113.192.12.30"}</t>
  </si>
  <si>
    <t>12 Jun 2026 15:12</t>
  </si>
  <si>
    <t>Mozilla/5.0 (Linux; Android 12; Redmi Note 9 Pro Build/SKQ1.211019.001) AppleWebKit/537.36 (KHTML, like Gecko) Chrome/135.0.7049.79 Mobile Safari/537.36 XiaoMi/MiuiBrowser/14.56.0-gn</t>
  </si>
  <si>
    <t>182.2.178.34</t>
  </si>
  <si>
    <t>{"status":"success","country":"Indonesia","countryCode":"ID","region":"BT","regionName":"Banten","city":"South Tangerang","zip":"15310","lat":-6.264,"lon":106.7324,"timezone":"Asia/Jakarta","isp":"PT Telekomunikasi Selular Indonesia","org":"","as":"AS23693 PT. Telekomunikasi Selular","query":"182.2.178.34"}</t>
  </si>
  <si>
    <t>12 Jun 2026 15:10</t>
  </si>
  <si>
    <t>114.10.135.13</t>
  </si>
  <si>
    <t>{"status":"success","country":"Indonesia","countryCode":"ID","region":"SN","regionName":"South Sulawesi","city":"Makassar","zip":"","lat":-5.14861,"lon":119.432,"timezone":"Asia/Makassar","isp":"PT. INDOSAT Tbk","org":"IOH B2B","as":"AS4761 INDOSAT Internet Network Provider","query":"114.10.135.13"}</t>
  </si>
  <si>
    <t>114.8.205.143</t>
  </si>
  <si>
    <t>{"status":"success","country":"Indonesia","countryCode":"ID","region":"JK","regionName":"Jakarta","city":"East Jakarta","zip":"12820","lat":-6.2369,"lon":106.853,"timezone":"Asia/Jakarta","isp":"PT. INDOSAT Tbk","org":"PT. INDOSAT Tbk","as":"AS4761 INDOSAT Internet Network Provider","query":"114.8.205.143"}</t>
  </si>
  <si>
    <t>12 Jun 2026 15:08</t>
  </si>
  <si>
    <t>180.252.81.55</t>
  </si>
  <si>
    <t>{"status":"success","country":"Indonesia","countryCode":"ID","region":"JB","regionName":"West Java","city":"Bogor","zip":"16157","lat":-6.5541,"lon":106.7595,"timezone":"Asia/Jakarta","isp":"PT. TELKOM INDONESIA","org":"","as":"AS7713 PT Telekomunikasi Indonesia","query":"180.252.81.55"}</t>
  </si>
  <si>
    <t>Mozilla/5.0 (Linux; Android 15; I2407) AppleWebKit/537.36 (KHTML, like Gecko) Version/4.0 Chrome/123.0.6312.118 Mobile Safari/537.36 VivoBrowser/15.0.2.3</t>
  </si>
  <si>
    <t>182.3.43.233</t>
  </si>
  <si>
    <t>{"status":"success","country":"Indonesia","countryCode":"ID","region":"JK","regionName":"Jakarta","city":"East Jakarta","zip":"12770","lat":-6.2401,"lon":106.8523,"timezone":"Asia/Jakarta","isp":"PT Telekomunikasi Selular Indonesia","org":"","as":"AS23693 PT. Telekomunikasi Selular","query":"182.3.43.233"}</t>
  </si>
  <si>
    <t>Mozilla/5.0 (Windows NT 10.0; Win64; x64) AppleWebKit/537.36 (KHTML, like Gecko) Chrome/148.0.0.0 Safari/537.36</t>
  </si>
  <si>
    <t>114.10.31.167</t>
  </si>
  <si>
    <t>{"status":"success","country":"Indonesia","countryCode":"ID","region":"JK","regionName":"Jakarta","city":"West Jakarta","zip":"11530","lat":-6.1998,"lon":106.7631,"timezone":"Asia/Jakarta","isp":"PT. INDOSAT Tbk","org":"IOH B2B","as":"AS4761 INDOSAT Internet Network Provider","query":"114.10.31.167"}</t>
  </si>
  <si>
    <t>12 Jun 2026 15:07</t>
  </si>
  <si>
    <t>Mozilla/5.0 (Linux; Android 12; SH-C04 Build/SP1A.210812.016; ) AppleWebKit/537.36 (KHTML, like Gecko) Version/4.0 Chrome/148.0.7778.215 Mobile Safari/537.36 WA4A/2.26.13.73</t>
  </si>
  <si>
    <t>114.10.7.66</t>
  </si>
  <si>
    <t>{"status":"success","country":"Indonesia","countryCode":"ID","region":"JT","regionName":"Central Java","city":"Semarang","zip":"50246","lat":-7.2722,"lon":110.4753,"timezone":"Asia/Jakarta","isp":"PT. INDOSAT Tbk","org":"IOH B2B","as":"AS4761 INDOSAT Internet Network Provider","query":"114.10.7.66"}</t>
  </si>
  <si>
    <t>12 Jun 2026 15:06</t>
  </si>
  <si>
    <t>140.213.0.253</t>
  </si>
  <si>
    <t>{"status":"success","country":"Indonesia","countryCode":"ID","region":"JK","regionName":"Jakarta","city":"North Jakarta","zip":"14350","lat":-6.1474,"lon":106.8711,"timezone":"Asia/Jakarta","isp":"PT Excelcomindo Pratama","org":"","as":"AS24203 PT XL Axiata","query":"140.213.0.253"}</t>
  </si>
  <si>
    <t>182.3.38.233</t>
  </si>
  <si>
    <t>{"status":"success","country":"Indonesia","countryCode":"ID","region":"JK","regionName":"Jakarta","city":"East Jakarta","zip":"12770","lat":-6.2401,"lon":106.8523,"timezone":"Asia/Jakarta","isp":"PT Telekomunikasi Selular Indonesia","org":"","as":"AS23693 PT. Telekomunikasi Selular","query":"182.3.38.233"}</t>
  </si>
  <si>
    <t>140.213.6.76</t>
  </si>
  <si>
    <t>{"status":"success","country":"Indonesia","countryCode":"ID","region":"JK","regionName":"Jakarta","city":"North Jakarta","zip":"14240","lat":-6.1804,"lon":106.9038,"timezone":"Asia/Jakarta","isp":"PT Excelcomindo Pratama","org":"","as":"AS24203 PT XL Axiata","query":"140.213.6.76"}</t>
  </si>
  <si>
    <t>140.213.5.22</t>
  </si>
  <si>
    <t>{"status":"success","country":"Indonesia","countryCode":"ID","region":"JK","regionName":"Jakarta","city":"North Jakarta","zip":"14240","lat":-6.1804,"lon":106.9038,"timezone":"Asia/Jakarta","isp":"Indonesia Network Information Center","org":"","as":"AS24203 PT XL Axiata","query":"140.213.5.22"}</t>
  </si>
  <si>
    <t>12 Jun 2026 15:05</t>
  </si>
  <si>
    <t>140.213.31.181</t>
  </si>
  <si>
    <t>{"status":"success","country":"Indonesia","countryCode":"ID","region":"BT","regionName":"Banten","city":"South Tangerang","zip":"15310","lat":-6.264,"lon":106.7324,"timezone":"Asia/Jakarta","isp":"PT Excelcomindo Pratama","org":"","as":"AS24203 PT XL Axiata","query":"140.213.31.181"}</t>
  </si>
  <si>
    <t>Mozilla/5.0 (X11; Linux x86_64) AppleWebKit/537.36 (KHTML, like Gecko) SamsungBrowser/29.0 Chrome/136.0.0.0 Safari/537.36</t>
  </si>
  <si>
    <t>114.122.230.222</t>
  </si>
  <si>
    <t>{"status":"success","country":"Indonesia","countryCode":"ID","region":"KI","regionName":"East Kalimantan","city":"Balikpapan","zip":"76114","lat":-1.2509,"lon":116.8845,"timezone":"Asia/Makassar","isp":"PT Telekomunikasi Selular Indonesia","org":"","as":"AS23693 PT. Telekomunikasi Selular","query":"114.122.230.222"}</t>
  </si>
  <si>
    <t>103.154.148.173</t>
  </si>
  <si>
    <t>{"status":"success","country":"Indonesia","countryCode":"ID","region":"SU","regionName":"North Sumatra","city":"Medan","zip":"20118","lat":3.5972,"lon":98.6515,"timezone":"Asia/Jakarta","isp":"MORATELINDONAP","org":"","as":"AS131111 PT Mora Telematika Indonesia","query":"103.154.148.173"}</t>
  </si>
  <si>
    <t>36.85.222.237</t>
  </si>
  <si>
    <t>{"status":"success","country":"Indonesia","countryCode":"ID","region":"SA","regionName":"North Sulawesi","city":"Manado","zip":"95111","lat":1.4901,"lon":124.8472,"timezone":"Asia/Makassar","isp":"PT. TELKOM INDONESIA","org":"","as":"AS7713 PT Telekomunikasi Indonesia","query":"36.85.222.237"}</t>
  </si>
  <si>
    <t>140.213.169.148</t>
  </si>
  <si>
    <t>{"status":"success","country":"Indonesia","countryCode":"ID","region":"JT","regionName":"Central Java","city":"Semarang","zip":"50249","lat":-7.2722,"lon":110.4753,"timezone":"Asia/Jakarta","isp":"PT XL Axiata Tbk","org":"","as":"AS24203 PT XL Axiata","query":"140.213.169.148"}</t>
  </si>
  <si>
    <t>140.213.14.194</t>
  </si>
  <si>
    <t>{"status":"success","country":"Indonesia","countryCode":"ID","region":"JK","regionName":"Jakarta","city":"North Jakarta","zip":"14350","lat":-6.1474,"lon":106.8711,"timezone":"Asia/Jakarta","isp":"PT Excelcomindo Pratama","org":"","as":"AS24203 PT XL Axiata","query":"140.213.14.194"}</t>
  </si>
  <si>
    <t>182.2.37.181</t>
  </si>
  <si>
    <t>{"status":"success","country":"Indonesia","countryCode":"ID","region":"JT","regionName":"Central Java","city":"Semarang","zip":"50241","lat":-7.2722,"lon":110.4753,"timezone":"Asia/Jakarta","isp":"PT Telekomunikasi Selular Indonesia","org":"","as":"AS23693 PT. Telekomunikasi Selular","query":"182.2.37.181"}</t>
  </si>
  <si>
    <t>36.50.201.37</t>
  </si>
  <si>
    <t>{"status":"success","country":"Indonesia","countryCode":"ID","region":"JA","regionName":"Jambi","city":"Kota Jambi","zip":"36128","lat":-1.6365,"lon":103.6033,"timezone":"Asia/Jakarta","isp":"PT. Medialink Intercontinental","org":"PT. META DIGITAL LINK","as":"AS139971 PT. Medialink Intercontinental","query":"36.50.201.37"}</t>
  </si>
  <si>
    <t>12 Jun 2026 15:04</t>
  </si>
  <si>
    <t>182.6.43.175</t>
  </si>
  <si>
    <t>{"status":"success","country":"Indonesia","countryCode":"ID","region":"BT","regionName":"Banten","city":"South Tangerang","zip":"15313","lat":-6.3018,"lon":106.7074,"timezone":"Asia/Jakarta","isp":"PT Telekomunikasi Selular Indonesia","org":"","as":"AS23693 PT. Telekomunikasi Selular","query":"182.6.43.175"}</t>
  </si>
  <si>
    <t>Mozilla/5.0 (Linux; Android 14; V2201) AppleWebKit/537.36 (KHTML, like Gecko) Version/4.0 Chrome/123.0.6312.118 Mobile Safari/537.36 VivoBrowser/15.0.2.4</t>
  </si>
  <si>
    <t>182.3.37.118</t>
  </si>
  <si>
    <t>{"status":"success","country":"Indonesia","countryCode":"ID","region":"JK","regionName":"Jakarta","city":"East Jakarta","zip":"12770","lat":-6.2401,"lon":106.8523,"timezone":"Asia/Jakarta","isp":"PT Telekomunikasi Selular Indonesia","org":"","as":"AS23693 PT. Telekomunikasi Selular","query":"182.3.37.118"}</t>
  </si>
  <si>
    <t>114.4.83.127</t>
  </si>
  <si>
    <t>{"status":"success","country":"Indonesia","countryCode":"ID","region":"JK","regionName":"Jakarta","city":"Central Jakarta","zip":"12980","lat":-6.2077,"lon":106.8354,"timezone":"Asia/Jakarta","isp":"PT. INDOSAT Tbk","org":"IOH B2B","as":"AS4761 INDOSAT Internet Network Provider","query":"114.4.83.127"}</t>
  </si>
  <si>
    <t>114.125.214.147</t>
  </si>
  <si>
    <t>{"status":"success","country":"Indonesia","countryCode":"ID","region":"SN","regionName":"South Sulawesi","city":"Makassar","zip":"90231","lat":-5.1338,"lon":119.4619,"timezone":"Asia/Makassar","isp":"PT Telekomunikasi Selular Indonesia","org":"","as":"AS23693 PT. Telekomunikasi Selular","query":"114.125.214.147"}</t>
  </si>
  <si>
    <t>12 Jun 2026 15:03</t>
  </si>
  <si>
    <t>182.11.129.19</t>
  </si>
  <si>
    <t>{"status":"success","country":"Indonesia","countryCode":"ID","region":"KB","regionName":"West Kalimantan","city":"Pontianak","zip":"78111","lat":-0.031,"lon":109.3257,"timezone":"Asia/Pontianak","isp":"PT Telekomunikasi Selular Indonesia","org":"","as":"AS23693 PT. Telekomunikasi Selular","query":"182.11.129.19"}</t>
  </si>
  <si>
    <t>103.78.98.222</t>
  </si>
  <si>
    <t>{"status":"success","country":"Indonesia","countryCode":"ID","region":"JB","regionName":"West Java","city":"Cileungsir","zip":"","lat":-6.39472,"lon":106.959,"timezone":"Asia/Jakarta","isp":"PT. Mora Telematika Indonesia","org":"","as":"AS131111 PT Mora Telematika Indonesia","query":"103.78.98.222"}</t>
  </si>
  <si>
    <t>12 Jun 2026 15:02</t>
  </si>
  <si>
    <t>125.164.213.0</t>
  </si>
  <si>
    <t>{"status":"success","country":"Indonesia","countryCode":"ID","region":"NT","regionName":"East Nusa Tenggara","city":"Kupang","zip":"85111","lat":-10.1733,"lon":123.6374,"timezone":"Asia/Makassar","isp":"PT. TELKOM INDONESIA","org":"","as":"AS7713 PT Telekomunikasi Indonesia","query":"125.164.213.0"}</t>
  </si>
  <si>
    <t>182.10.161.246</t>
  </si>
  <si>
    <t>{"status":"success","country":"Indonesia","countryCode":"ID","region":"JB","regionName":"West Java","city":"Cirebon","zip":"45131","lat":-6.7405,"lon":108.5331,"timezone":"Asia/Jakarta","isp":"PT Telekomunikasi Selular Indonesia","org":"","as":"AS23693 PT. Telekomunikasi Selular","query":"182.10.161.246"}</t>
  </si>
  <si>
    <t>182.8.179.127</t>
  </si>
  <si>
    <t>{"status":"success","country":"Indonesia","countryCode":"ID","region":"KI","regionName":"East Kalimantan","city":"Samarinda","zip":"75117","lat":-0.5007,"lon":117.1787,"timezone":"Asia/Makassar","isp":"PT Telekomunikasi Selular Indonesia","org":"","as":"AS23693 PT. Telekomunikasi Selular","query":"182.8.179.127"}</t>
  </si>
  <si>
    <t>12 Jun 2026 15:01</t>
  </si>
  <si>
    <t>Mozilla/5.0 (X11; Linux x86_64) AppleWebKit/537.36 (KHTML, like Gecko) Safari/537.36 HeyTapBrowser/45.14.3.1 Chrome/115.0.5970.168</t>
  </si>
  <si>
    <t>182.2.74.141</t>
  </si>
  <si>
    <t>{"status":"success","country":"Indonesia","countryCode":"ID","region":"JT","regionName":"Central Java","city":"Surakarta","zip":"57135","lat":-7.5504,"lon":110.8188,"timezone":"Asia/Jakarta","isp":"PT Telekomunikasi Selular Indonesia","org":"","as":"AS23693 PT. Telekomunikasi Selular","query":"182.2.74.141"}</t>
  </si>
  <si>
    <t>140.213.174.58</t>
  </si>
  <si>
    <t>{"status":"success","country":"Indonesia","countryCode":"ID","region":"YO","regionName":"Yogyakarta","city":"Yogyakarta","zip":"55223","lat":-7.7783,"lon":110.3707,"timezone":"Asia/Jakarta","isp":"PT Excelcomindo Pratama","org":"","as":"AS24203 PT XL Axiata","query":"140.213.174.58"}</t>
  </si>
  <si>
    <t>182.11.130.197</t>
  </si>
  <si>
    <t>{"status":"success","country":"Indonesia","countryCode":"ID","region":"KB","regionName":"West Kalimantan","city":"Pontianak","zip":"78111","lat":-0.031,"lon":109.3257,"timezone":"Asia/Pontianak","isp":"PT Telekomunikasi Selular Indonesia","org":"","as":"AS23693 PT. Telekomunikasi Selular","query":"182.11.130.197"}</t>
  </si>
  <si>
    <t>12 Jun 2026 14:24</t>
  </si>
  <si>
    <t>182.2.78.188</t>
  </si>
  <si>
    <t>{"status":"success","country":"Indonesia","countryCode":"ID","region":"JT","regionName":"Central Java","city":"Surakarta","zip":"57131","lat":-7.6095,"lon":110.6769,"timezone":"Asia/Jakarta","isp":"PT Telekomunikasi Selular Indonesia","org":"","as":"AS23693 PT. Telekomunikasi Selular","query":"182.2.78.188"}</t>
  </si>
  <si>
    <t>12 Jun 2026 14:10</t>
  </si>
  <si>
    <t>Mozilla/5.0 (Linux; Android 10; Redmi 9A Build/QP1A.190711.020) AppleWebKit/537.36 (KHTML, like Gecko) Chrome/123.0.6312.118 Mobile Safari/537.36 XiaoMi/MiuiBrowser/14.40.1-gn</t>
  </si>
  <si>
    <t>125.165.155.19</t>
  </si>
  <si>
    <t>{"status":"success","country":"Indonesia","countryCode":"ID","region":"BT","regionName":"Banten","city":"South Tangerang","zip":"15412","lat":-6.2873,"lon":106.7537,"timezone":"Asia/Jakarta","isp":"PT. TELKOM INDONESIA","org":"","as":"AS7713 PT Telekomunikasi Indonesia","query":"125.165.155.19"}</t>
  </si>
  <si>
    <t>12 Jun 2026 13:49</t>
  </si>
  <si>
    <t>140.213.183.89</t>
  </si>
  <si>
    <t>{"status":"success","country":"Indonesia","countryCode":"ID","region":"KS","regionName":"South Kalimantan","city":"Banjarmasin","zip":"70231","lat":-3.3236,"lon":114.589,"timezone":"Asia/Makassar","isp":"PT Excelcomindo Pratama","org":"","as":"AS24203 PT XL Axiata","query":"140.213.183.89"}</t>
  </si>
  <si>
    <t>12 Jun 2026 13:48</t>
  </si>
  <si>
    <t>114.10.16.236</t>
  </si>
  <si>
    <t>{"status":"success","country":"Indonesia","countryCode":"ID","region":"JK","regionName":"Jakarta","city":"West Jakarta","zip":"11730","lat":-6.1572,"lon":106.7566,"timezone":"Asia/Jakarta","isp":"PT. INDOSAT Tbk","org":"IOH B2B","as":"AS4761 INDOSAT Internet Network Provider","query":"114.10.16.236"}</t>
  </si>
  <si>
    <t>12 Jun 2026 13:41</t>
  </si>
  <si>
    <t>182.8.67.205</t>
  </si>
  <si>
    <t>{"status":"success","country":"Indonesia","countryCode":"ID","region":"JI","regionName":"East Java","city":"Surabaya","zip":"60163","lat":-7.2352,"lon":112.7387,"timezone":"Asia/Jakarta","isp":"PT Telekomunikasi Selular Indonesia","org":"","as":"AS23693 PT. Telekomunikasi Selular","query":"182.8.67.205"}</t>
  </si>
  <si>
    <t>12 Jun 2026 11:36</t>
  </si>
  <si>
    <t>110.137.37.11</t>
  </si>
  <si>
    <t>{"status":"success","country":"Indonesia","countryCode":"ID","region":"LA","regionName":"Lampung","city":"Bandar Lampung","zip":"35141","lat":-5.3906,"lon":105.2569,"timezone":"Asia/Jakarta","isp":"PT. TELKOM INDONESIA","org":"","as":"AS7713 PT Telekomunikasi Indonesia","query":"110.137.37.11"}</t>
  </si>
  <si>
    <t>12 Jun 2026 11:00</t>
  </si>
  <si>
    <t>114.122.11.31</t>
  </si>
  <si>
    <t>{"status":"success","country":"Indonesia","countryCode":"ID","region":"SU","regionName":"North Sumatra","city":"Medan","zip":"20212","lat":3.586,"lon":98.6923,"timezone":"Asia/Jakarta","isp":"PT Telekomunikasi Selular Indonesia","org":"","as":"AS23693 PT. Telekomunikasi Selular","query":"114.122.11.31"}</t>
  </si>
  <si>
    <t>12 Jun 2026 10:13</t>
  </si>
  <si>
    <t>158.140.179.13</t>
  </si>
  <si>
    <t>{"status":"success","country":"Indonesia","countryCode":"ID","region":"BT","regionName":"Banten","city":"South Tangerang","zip":"15310","lat":-6.264,"lon":106.7324,"timezone":"Asia/Jakarta","isp":"MYREPUBLIC","org":"","as":"AS63859 PT. Eka Mas Republik","query":"158.140.179.13"}</t>
  </si>
  <si>
    <t>12 Jun 2026 08:31</t>
  </si>
  <si>
    <t>9.154.230.17</t>
  </si>
  <si>
    <t>{"status":"success","country":"Indonesia","countryCode":"ID","region":"JK","regionName":"Jakarta","city":"Jakarta","zip":"","lat":-6.20655,"lon":106.847,"timezone":"Asia/Jakarta","isp":"PT Mora Telematika Indonesia TBK","org":"","as":"AS63859 PT. Eka Mas Republik","query":"9.154.230.17"}</t>
  </si>
  <si>
    <t>12 Jun 2026 08:11</t>
  </si>
  <si>
    <t>Mozilla/5.0 (iPhone; CPU iPhone OS 26_5 like Mac OS X) AppleWebKit/605.1.15 (KHTML, like Gecko) Version/26.5 Mobile/15E148 Safari/604.1 [WAiOS/2.26.17]</t>
  </si>
  <si>
    <t>140.213.38.216</t>
  </si>
  <si>
    <t>{"status":"success","country":"Indonesia","countryCode":"ID","region":"JK","regionName":"Jakarta","city":"Central Jakarta","zip":"10310","lat":-6.2056,"lon":106.8376,"timezone":"Asia/Jakarta","isp":"Indonesia Network Information Center","org":"","as":"AS24203 PT XL Axiata","query":"140.213.38.216"}</t>
  </si>
  <si>
    <t>12 Jun 2026 08:08</t>
  </si>
  <si>
    <t>140.213.108.30</t>
  </si>
  <si>
    <t>{"status":"success","country":"Indonesia","countryCode":"ID","region":"JB","regionName":"West Java","city":"Bandung","zip":"40241","lat":-6.9092,"lon":107.5934,"timezone":"Asia/Jakarta","isp":"PT Excelcomindo Pratama","org":"","as":"AS24203 PT XL Axiata","query":"140.213.108.30"}</t>
  </si>
  <si>
    <t>12 Jun 2026 07:56</t>
  </si>
  <si>
    <t>Mozilla/5.0 (Linux; Android 10; Redmi 9A Build/QP1A.190711.020) AppleWebKit/537.36 (KHTML, like Gecko) Chrome/123.0.6312.118 Mobile Safari/537.36 XiaoMi/MiuiBrowser/14.41.0-gn</t>
  </si>
  <si>
    <t>114.122.100.1</t>
  </si>
  <si>
    <t>{"status":"success","country":"Indonesia","countryCode":"ID","region":"JB","regionName":"West Java","city":"Bandung","zip":"40394","lat":-6.9619,"lon":107.5893,"timezone":"Asia/Jakarta","isp":"PT Telekomunikasi Selular Indonesia","org":"","as":"AS23693 PT. Telekomunikasi Selular","query":"114.122.100.1"}</t>
  </si>
  <si>
    <t>12 Jun 2026 07:11</t>
  </si>
  <si>
    <t>36.84.32.192</t>
  </si>
  <si>
    <t>{"status":"success","country":"Indonesia","countryCode":"ID","region":"NB","regionName":"West Nusa Tenggara","city":"Mataram","zip":"","lat":-8.58333,"lon":116.117,"timezone":"Asia/Makassar","isp":"PT. TELKOM INDONESIA","org":"","as":"AS7713 PT Telekomunikasi Indonesia","query":"36.84.32.192"}</t>
  </si>
  <si>
    <t>12 Jun 2026 05:54</t>
  </si>
  <si>
    <t>182.3.139.129</t>
  </si>
  <si>
    <t>{"status":"success","country":"Indonesia","countryCode":"ID","region":"KI","regionName":"East Kalimantan","city":"Samarinda","zip":"75117","lat":-0.5007,"lon":117.1787,"timezone":"Asia/Makassar","isp":"PT Telekomunikasi Selular Indonesia","org":"","as":"AS23693 PT. Telekomunikasi Selular","query":"182.3.139.129"}</t>
  </si>
  <si>
    <t>12 Jun 2026 05:26</t>
  </si>
  <si>
    <t>140.213.1.33</t>
  </si>
  <si>
    <t>{"status":"success","country":"Indonesia","countryCode":"ID","region":"JK","regionName":"Jakarta","city":"North Jakarta","zip":"14350","lat":-6.1474,"lon":106.8711,"timezone":"Asia/Jakarta","isp":"PT Excelcomindo Pratama","org":"","as":"AS139994 PT XL Axiata Tbk","query":"140.213.1.33"}</t>
  </si>
  <si>
    <t>12 Jun 2026 02:22</t>
  </si>
  <si>
    <t>182.5.234.153</t>
  </si>
  <si>
    <t>{"status":"success","country":"Indonesia","countryCode":"ID","region":"JI","regionName":"East Java","city":"Surabaya","zip":"60261","lat":-7.2604,"lon":112.7424,"timezone":"Asia/Jakarta","isp":"PT Telekomunikasi Selular Indonesia","org":"","as":"AS23693 PT. Telekomunikasi Selular","query":"182.5.234.153"}</t>
  </si>
  <si>
    <t>11 Jun 2026 23:00</t>
  </si>
  <si>
    <t>114.10.82.61</t>
  </si>
  <si>
    <t>{"status":"success","country":"Indonesia","countryCode":"ID","region":"SU","regionName":"North Sumatra","city":"Medan","zip":"20131","lat":3.6178,"lon":98.6665,"timezone":"Asia/Jakarta","isp":"PT. INDOSAT Tbk","org":"IOH B2B","as":"AS4761 INDOSAT Internet Network Provider","query":"114.10.82.61"}</t>
  </si>
  <si>
    <t>11 Jun 2026 22:57</t>
  </si>
  <si>
    <t>182.253.8.103</t>
  </si>
  <si>
    <t>{"status":"success","country":"Indonesia","countryCode":"ID","region":"KR","regionName":"Riau Islands","city":"Kota Batam","zip":"29444","lat":1.1425,"lon":104.0125,"timezone":"Asia/Jakarta","isp":"BIZNET","org":"","as":"AS17451 BIZNET NETWORKS","query":"182.253.8.103"}</t>
  </si>
  <si>
    <t>11 Jun 2026 22:49</t>
  </si>
  <si>
    <t>216.243.116.170</t>
  </si>
  <si>
    <t>{"status":"success","country":"Indonesia","countryCode":"ID","region":"JB","regionName":"West Java","city":"Bekasi","zip":"","lat":-6.2349,"lon":106.99,"timezone":"Asia/Jakarta","isp":"PT Integrasi Jaringan Ekosistem","org":"PT Integrasi Jaringan Ekosistem","as":"AS142387 PT Integrasi Jaringan Ekosistem","query":"216.243.116.170"}</t>
  </si>
  <si>
    <t>11 Jun 2026 21:03</t>
  </si>
  <si>
    <t>114.5.147.118</t>
  </si>
  <si>
    <t>{"status":"success","country":"Indonesia","countryCode":"ID","region":"SU","regionName":"North Sumatra","city":"Medan","zip":"20132","lat":3.3796,"lon":98.9537,"timezone":"Asia/Jakarta","isp":"PT. INDOSAT Tbk","org":"IOH B2B","as":"AS4761 INDOSAT Internet Network Provider","query":"114.5.147.118"}</t>
  </si>
  <si>
    <t>11 Jun 2026 20:51</t>
  </si>
  <si>
    <t>180.252.162.163</t>
  </si>
  <si>
    <t>{"status":"success","country":"Indonesia","countryCode":"ID","region":"JB","regionName":"West Java","city":"Ciputat","zip":"","lat":-6.2375,"lon":106.696,"timezone":"Asia/Jakarta","isp":"PT. TELKOM INDONESIA","org":"","as":"AS7713 PT Telekomunikasi Indonesia","query":"180.252.162.163"}</t>
  </si>
  <si>
    <t>11 Jun 2026 20:29</t>
  </si>
  <si>
    <t>Mozilla/5.0 (Linux; U; Android 8.1.0; in-id; CPH1909 Build/O11019) AppleWebKit/537.36 (KHTML, like Gecko) Chrome/91.0.4472.88 Mobile Safari/537.36 HeyTapBrowser/15.12.4.1</t>
  </si>
  <si>
    <t>110.138.81.227</t>
  </si>
  <si>
    <t>{"status":"success","country":"Indonesia","countryCode":"ID","region":"JK","regionName":"Jakarta","city":"East Jakarta","zip":"13540","lat":-6.2454,"lon":106.8953,"timezone":"Asia/Jakarta","isp":"PT. TELKOM INDONESIA","org":"","as":"AS7713 PT Telekomunikasi Indonesia","query":"110.138.81.227"}</t>
  </si>
  <si>
    <t>11 Jun 2026 19:50</t>
  </si>
  <si>
    <t>Mozilla/5.0 (Windows; U; Windows NT 5.2; en-US) AppleWebKit/537.36 (KHTML, like Gecko)  VivoBrowser/16.0.0.5 Chrome/131.0.6778.200 Safari/537.36</t>
  </si>
  <si>
    <t>203.78.121.239</t>
  </si>
  <si>
    <t>{"status":"success","country":"Indonesia","countryCode":"ID","region":"BA","regionName":"Bali","city":"Singaraja","zip":"","lat":-8.112,"lon":115.088,"timezone":"Asia/Makassar","isp":"PT XL Axiata","org":"Xlnet","as":"AS24203 PT XL Axiata","query":"203.78.121.239"}</t>
  </si>
  <si>
    <t>11 Jun 2026 19:29</t>
  </si>
  <si>
    <t>Mozilla/5.0 (Linux; U; Android 14; in-id; CPH2557 Build/UP1A.230620.001) AppleWebKit/537.36 (KHTML, like Gecko) Chrome/115.0.5970.168 Mobile Safari/537.36 HeyTapBrowser/45.14.0.1</t>
  </si>
  <si>
    <t>114.79.2.97</t>
  </si>
  <si>
    <t>{"status":"success","country":"Indonesia","countryCode":"ID","region":"JK","regionName":"Jakarta","city":"Central Jakarta","zip":"11420","lat":-6.1871,"lon":106.8105,"timezone":"Asia/Jakarta","isp":"SMART-TELECOM","org":"","as":"AS18004 PT WIRELESS INDONESIA ( WIN )","query":"114.79.2.97"}</t>
  </si>
  <si>
    <t>11 Jun 2026 19:20</t>
  </si>
  <si>
    <t>Mozilla/5.0 (Linux; Android 10; K) AppleWebKit/537.36 (KHTML, like Gecko) Chrome/137.0.0.0 Mobile Safari/537.36</t>
  </si>
  <si>
    <t>182.5.245.142</t>
  </si>
  <si>
    <t>{"status":"success","country":"Indonesia","countryCode":"ID","region":"JI","regionName":"East Java","city":"Surabaya","zip":"60115","lat":-7.2594,"lon":112.786,"timezone":"Asia/Jakarta","isp":"PT Telekomunikasi Selular Indonesia","org":"","as":"AS23693 PT. Telekomunikasi Selular","query":"182.5.245.142"}</t>
  </si>
  <si>
    <t>11 Jun 2026 18:49</t>
  </si>
  <si>
    <t>103.3.221.91</t>
  </si>
  <si>
    <t>{"status":"success","country":"Indonesia","countryCode":"ID","region":"BT","regionName":"Banten","city":"Tangerang","zip":"15151","lat":-6.1716,"lon":106.5265,"timezone":"Asia/Jakarta","isp":"PT XL Axiata Tbk","org":"","as":"AS139994 PT XL Axiata Tbk","query":"103.3.221.91"}</t>
  </si>
  <si>
    <t>11 Jun 2026 18:47</t>
  </si>
  <si>
    <t>180.252.92.190</t>
  </si>
  <si>
    <t>{"status":"success","country":"Indonesia","countryCode":"ID","region":"JB","regionName":"West Java","city":"Bogor","zip":"16113","lat":-6.4795,"lon":106.8508,"timezone":"Asia/Jakarta","isp":"PT. TELKOM INDONESIA","org":"","as":"AS7713 PT Telekomunikasi Indonesia","query":"180.252.92.190"}</t>
  </si>
  <si>
    <t>11 Jun 2026 18:38</t>
  </si>
  <si>
    <t>114.122.36.105</t>
  </si>
  <si>
    <t>{"status":"success","country":"Indonesia","countryCode":"ID","region":"SU","regionName":"North Sumatra","city":"Medan","zip":"20217","lat":3.5672,"lon":98.6989,"timezone":"Asia/Jakarta","isp":"PT Telekomunikasi Selular Indonesia","org":"","as":"AS23693 PT. Telekomunikasi Selular","query":"114.122.36.105"}</t>
  </si>
  <si>
    <t>11 Jun 2026 18:34</t>
  </si>
  <si>
    <t>11 Jun 2026 18:32</t>
  </si>
  <si>
    <t>Mozilla/5.0 (iPhone; CPU iPhone OS 26_4_2 like Mac OS X) AppleWebKit/605.1.15 (KHTML, like Gecko) Version/26.4.2 Mobile/15E148 Safari/604.1 [WAiOS/2.26.21]</t>
  </si>
  <si>
    <t>203.83.40.33</t>
  </si>
  <si>
    <t>{"status":"success","country":"Indonesia","countryCode":"ID","region":"JK","regionName":"Jakarta","city":"West Jakarta","zip":"11520","lat":-6.1765,"lon":106.7498,"timezone":"Asia/Jakarta","isp":"Garis Waktu Kita","org":"","as":"AS63859 PT. Eka Mas Republik","query":"203.83.40.33"}</t>
  </si>
  <si>
    <t>11 Jun 2026 18:06</t>
  </si>
  <si>
    <t>114.8.226.138</t>
  </si>
  <si>
    <t>{"status":"success","country":"Indonesia","countryCode":"ID","region":"JI","regionName":"East Java","city":"Surabaya","zip":"60115","lat":-7.2594,"lon":112.786,"timezone":"Asia/Jakarta","isp":"PT. INDOSAT Tbk","org":"PT. INDOSAT Tbk","as":"AS4761 INDOSAT Internet Network Provider","query":"114.8.226.138"}</t>
  </si>
  <si>
    <t>11 Jun 2026 17:59</t>
  </si>
  <si>
    <t>140.213.180.189</t>
  </si>
  <si>
    <t>{"status":"success","country":"Indonesia","countryCode":"ID","region":"ST","regionName":"Central Sulawesi","city":"Palu","zip":"","lat":-0.90833,"lon":119.871,"timezone":"Asia/Makassar","isp":"PT Excelcomindo Pratama","org":"","as":"AS24203 PT XL Axiata","query":"140.213.180.189"}</t>
  </si>
  <si>
    <t>11 Jun 2026 17:45</t>
  </si>
  <si>
    <t>182.2.5.101</t>
  </si>
  <si>
    <t>{"status":"success","country":"Indonesia","countryCode":"ID","region":"KR","regionName":"Riau Islands","city":"Kota Batam","zip":"29432","lat":1.0265,"lon":103.9259,"timezone":"Asia/Jakarta","isp":"PT Telekomunikasi Selular Indonesia","org":"","as":"AS23693 PT. Telekomunikasi Selular","query":"182.2.5.101"}</t>
  </si>
  <si>
    <t>11 Jun 2026 17:43</t>
  </si>
  <si>
    <t>180.252.61.89</t>
  </si>
  <si>
    <t>{"status":"success","country":"Indonesia","countryCode":"ID","region":"KR","regionName":"Riau Islands","city":"Kota Batam","zip":"29464","lat":1.133,"lon":104.067,"timezone":"Asia/Jakarta","isp":"PT. TELKOM INDONESIA","org":"","as":"AS7713 PT Telekomunikasi Indonesia","query":"180.252.61.89"}</t>
  </si>
  <si>
    <t>11 Jun 2026 17:34</t>
  </si>
  <si>
    <t>114.122.70.109</t>
  </si>
  <si>
    <t>{"status":"success","country":"Indonesia","countryCode":"ID","region":"JB","regionName":"West Java","city":"Bandung","zip":"40254","lat":-6.9357,"lon":107.6043,"timezone":"Asia/Jakarta","isp":"PT Telekomunikasi Selular Indonesia","org":"","as":"AS23693 PT. Telekomunikasi Selular","query":"114.122.70.109"}</t>
  </si>
  <si>
    <t>11 Jun 2026 17:25</t>
  </si>
  <si>
    <t>Mozilla/5.0 (iPhone; CPU iPhone OS 18_7 like Mac OS X) AppleWebKit/605.1.15 (KHTML, like Gecko) Version/26.3 Mobile/15E148 Safari/604.1</t>
  </si>
  <si>
    <t>140.213.14.93</t>
  </si>
  <si>
    <t>{"status":"success","country":"Indonesia","countryCode":"ID","region":"JK","regionName":"Jakarta","city":"North Jakarta","zip":"14350","lat":-6.1474,"lon":106.8711,"timezone":"Asia/Jakarta","isp":"PT Excelcomindo Pratama","org":"","as":"AS24203 PT XL Axiata","query":"140.213.14.93"}</t>
  </si>
  <si>
    <t>11 Jun 2026 17:10</t>
  </si>
  <si>
    <t>182.4.69.225</t>
  </si>
  <si>
    <t>{"status":"success","country":"Indonesia","countryCode":"ID","region":"SB","regionName":"West Sumatra","city":"Padang","zip":"25126","lat":-0.8958,"lon":100.4354,"timezone":"Asia/Jakarta","isp":"PT Telekomunikasi Selular Indonesia","org":"","as":"AS23693 PT. Telekomunikasi Selular","query":"182.4.69.225"}</t>
  </si>
  <si>
    <t>11 Jun 2026 17:04</t>
  </si>
  <si>
    <t>180.249.192.211</t>
  </si>
  <si>
    <t>{"status":"success","country":"Indonesia","countryCode":"ID","region":"JK","regionName":"Jakarta","city":"Jakarta","zip":"12820","lat":-6.2369,"lon":106.853,"timezone":"Asia/Jakarta","isp":"PT. TELKOM INDONESIA","org":"","as":"AS7713 PT Telekomunikasi Indonesia","query":"180.249.192.211"}</t>
  </si>
  <si>
    <t>111.68.125.102</t>
  </si>
  <si>
    <t>{"status":"success","country":"Indonesia","countryCode":"ID","region":"JB","regionName":"West Java","city":"Teluknaga","zip":"","lat":-6.09889,"lon":106.638,"timezone":"Asia/Jakarta","isp":"Varnion Technology Semesta, PT","org":"Mercure Anc","as":"AS45287 Varnion Technology Semesta, PT","query":"111.68.125.102"}</t>
  </si>
  <si>
    <t>11 Jun 2026 17:01</t>
  </si>
  <si>
    <t>114.122.148.176</t>
  </si>
  <si>
    <t>{"status":"success","country":"Indonesia","countryCode":"ID","region":"BA","regionName":"Bali","city":"Banjar Badung","zip":"80351","lat":-8.0755,"lon":115.1643,"timezone":"Asia/Makassar","isp":"PT Telekomunikasi Selular Indonesia","org":"","as":"AS23693 PT. Telekomunikasi Selular","query":"114.122.148.176"}</t>
  </si>
  <si>
    <t>11 Jun 2026 16:58</t>
  </si>
  <si>
    <t>103.158.13.103</t>
  </si>
  <si>
    <t>{"status":"success","country":"Indonesia","countryCode":"ID","region":"JI","regionName":"East Java","city":"Bojonegoro","zip":"62192","lat":-7.1268,"lon":112.095,"timezone":"Asia/Jakarta","isp":"PT.Global Media Data Prima","org":"Fiberbyte","as":"AS138089 PT.Global Media Data Prima","query":"103.158.13.103"}</t>
  </si>
  <si>
    <t>11 Jun 2026 16:51</t>
  </si>
  <si>
    <t>Mozilla/5.0 (Linux; Android 10; K) AppleWebKit/537.36 (KHTML, like Gecko) Chrome/131.0.0.0 Mobile Safari/537.36</t>
  </si>
  <si>
    <t>182.4.71.91</t>
  </si>
  <si>
    <t>{"status":"success","country":"Indonesia","countryCode":"ID","region":"SB","regionName":"West Sumatra","city":"Padang","zip":"25126","lat":-0.8958,"lon":100.4354,"timezone":"Asia/Jakarta","isp":"PT Telekomunikasi Selular Indonesia","org":"","as":"AS23693 PT. Telekomunikasi Selular","query":"182.4.71.91"}</t>
  </si>
  <si>
    <t>11 Jun 2026 16:43</t>
  </si>
  <si>
    <t>Mozilla/5.0 (Linux; Android 10; K) AppleWebKit/537.36 (KHTML, like Gecko) Chrome/115.0.0.0 Mobile Safari/537.36</t>
  </si>
  <si>
    <t>45.251.5.18</t>
  </si>
  <si>
    <t>{"status":"success","country":"Indonesia","countryCode":"ID","region":"JK","regionName":"Jakarta","city":"North Jakarta","zip":"14410","lat":-6.1398,"lon":106.8457,"timezone":"Asia/Jakarta","isp":"PT Remala Abadi","org":"","as":"AS38511 PT Remala Abadi","query":"45.251.5.18"}</t>
  </si>
  <si>
    <t>11 Jun 2026 16:40</t>
  </si>
  <si>
    <t>Mozilla/5.0 (Linux; Android 11; V2039) AppleWebKit/537.36 (KHTML, like Gecko) Version/4.0 Chrome/123.0.6312.118 Mobile Safari/537.36 VivoBrowser/15.1.0.3</t>
  </si>
  <si>
    <t>182.8.182.42</t>
  </si>
  <si>
    <t>{"status":"success","country":"Indonesia","countryCode":"ID","region":"KI","regionName":"East Kalimantan","city":"Samarinda","zip":"75117","lat":-0.5007,"lon":117.1787,"timezone":"Asia/Makassar","isp":"PT Telekomunikasi Selular Indonesia","org":"","as":"AS23693 PT. Telekomunikasi Selular","query":"182.8.182.42"}</t>
  </si>
  <si>
    <t>11 Jun 2026 16:23</t>
  </si>
  <si>
    <t>103.78.114.252</t>
  </si>
  <si>
    <t>{"status":"success","country":"Indonesia","countryCode":"ID","region":"JK","regionName":"Jakarta","city":"East Jakarta","zip":"13220","lat":-6.1859,"lon":106.9051,"timezone":"Asia/Jakarta","isp":"MORATELINDO","org":"Moratelindo","as":"AS131111 PT Mora Telematika Indonesia","query":"103.78.114.252"}</t>
  </si>
  <si>
    <t>11 Jun 2026 16:16</t>
  </si>
  <si>
    <t>Mozilla/5.0 (X11; Linux x86_64) AppleWebKit/537.36 (KHTML, like Gecko) Safari/537.36 HeyTapBrowser/45.14.0.1 Chrome/115.0.5970.168</t>
  </si>
  <si>
    <t>103.125.175.96</t>
  </si>
  <si>
    <t>{"status":"success","country":"Indonesia","countryCode":"ID","region":"SU","regionName":"North Sumatra","city":"Deli Tua","zip":"","lat":3.5078,"lon":98.6839,"timezone":"Asia/Jakarta","isp":"PT Trinity Teknologi Nusantara","org":"CV. JO TECHNOLOGY","as":"AS139415 PT Trinity Teknologi Nusantara","query":"103.125.175.96"}</t>
  </si>
  <si>
    <t>11 Jun 2026 16:09</t>
  </si>
  <si>
    <t>36.92.87.15</t>
  </si>
  <si>
    <t>{"status":"success","country":"Indonesia","countryCode":"ID","region":"JK","regionName":"Jakarta","city":"Jakarta","zip":"","lat":-6.18104,"lon":106.826,"timezone":"Asia/Jakarta","isp":"Telekomunikasi Indonesia","org":"Temporary","as":"AS7713 PT Telekomunikasi Indonesia","query":"36.92.87.15"}</t>
  </si>
  <si>
    <t>11 Jun 2026 16:08</t>
  </si>
  <si>
    <t>103.74.170.5</t>
  </si>
  <si>
    <t>{"status":"success","country":"Indonesia","countryCode":"ID","region":"JK","regionName":"Jakarta","city":"Jakarta","zip":"","lat":-6.21462,"lon":106.845,"timezone":"Asia/Jakarta","isp":"Untar - Yayasan Tarumanagara","org":"UNTAR - YAYASAN TARUMANAGARA, University","as":"AS135487 UNTAR - YAYASAN TARUMANAGARA","query":"103.74.170.5"}</t>
  </si>
  <si>
    <t>11 Jun 2026 15:59</t>
  </si>
  <si>
    <t>Mozilla/5.0 (Linux; Android 11; vivo 1901) AppleWebKit/537.36 (KHTML, like Gecko) Version/4.0 Chrome/123.0.6312.118 Mobile Safari/537.36 VivoBrowser/15.0.2.2</t>
  </si>
  <si>
    <t>182.3.138.195</t>
  </si>
  <si>
    <t>{"status":"success","country":"Indonesia","countryCode":"ID","region":"KI","regionName":"East Kalimantan","city":"Samarinda","zip":"75117","lat":-0.5007,"lon":117.1787,"timezone":"Asia/Makassar","isp":"PT Telekomunikasi Selular Indonesia","org":"","as":"AS23693 PT. Telekomunikasi Selular","query":"182.3.138.195"}</t>
  </si>
  <si>
    <t>11 Jun 2026 15:53</t>
  </si>
  <si>
    <t>114.125.229.148</t>
  </si>
  <si>
    <t>{"status":"success","country":"Indonesia","countryCode":"ID","region":"SS","regionName":"South Sumatra","city":"Palembang","zip":"30151","lat":-2.9146,"lon":104.7535,"timezone":"Asia/Jakarta","isp":"PT Telekomunikasi Selular Indonesia","org":"","as":"AS23693 PT. Telekomunikasi Selular","query":"114.125.229.148"}</t>
  </si>
  <si>
    <t>11 Jun 2026 15:50</t>
  </si>
  <si>
    <t>182.6.41.215</t>
  </si>
  <si>
    <t>{"status":"success","country":"Indonesia","countryCode":"ID","region":"BT","regionName":"Banten","city":"South Tangerang","zip":"15313","lat":-6.3018,"lon":106.7074,"timezone":"Asia/Jakarta","isp":"PT Telekomunikasi Selular Indonesia","org":"","as":"AS23693 PT. Telekomunikasi Selular","query":"182.6.41.215"}</t>
  </si>
  <si>
    <t>11 Jun 2026 15:49</t>
  </si>
  <si>
    <t>182.8.183.201</t>
  </si>
  <si>
    <t>{"status":"success","country":"Indonesia","countryCode":"ID","region":"KI","regionName":"East Kalimantan","city":"Samarinda","zip":"75117","lat":-0.5007,"lon":117.1787,"timezone":"Asia/Makassar","isp":"PT Telekomunikasi Selular Indonesia","org":"","as":"AS23693 PT. Telekomunikasi Selular","query":"182.8.183.201"}</t>
  </si>
  <si>
    <t>11 Jun 2026 15:46</t>
  </si>
  <si>
    <t>125.163.77.150</t>
  </si>
  <si>
    <t>{"status":"success","country":"Indonesia","countryCode":"ID","region":"JB","regionName":"West Java","city":"Cimahi","zip":"40531","lat":-6.8958,"lon":107.5265,"timezone":"Asia/Jakarta","isp":"PT. TELKOM INDONESIA","org":"","as":"AS7713 PT Telekomunikasi Indonesia","query":"125.163.77.150"}</t>
  </si>
  <si>
    <t>11 Jun 2026 15:44</t>
  </si>
  <si>
    <t>182.3.43.40</t>
  </si>
  <si>
    <t>{"status":"success","country":"Indonesia","countryCode":"ID","region":"JK","regionName":"Jakarta","city":"East Jakarta","zip":"12770","lat":-6.2401,"lon":106.8523,"timezone":"Asia/Jakarta","isp":"PT Telekomunikasi Selular Indonesia","org":"","as":"AS23693 PT. Telekomunikasi Selular","query":"182.3.43.40"}</t>
  </si>
  <si>
    <t>11 Jun 2026 15:42</t>
  </si>
  <si>
    <t>182.6.1.95</t>
  </si>
  <si>
    <t>{"status":"success","country":"Indonesia","countryCode":"ID","region":"BT","regionName":"Banten","city":"South Tangerang","zip":"15415","lat":-6.2876,"lon":106.722,"timezone":"Asia/Jakarta","isp":"PT Telekomunikasi Selular Indonesia","org":"","as":"AS23693 PT. Telekomunikasi Selular","query":"182.6.1.95"}</t>
  </si>
  <si>
    <t>11 Jun 2026 15:41</t>
  </si>
  <si>
    <t>182.3.43.125</t>
  </si>
  <si>
    <t>{"status":"success","country":"Indonesia","countryCode":"ID","region":"JK","regionName":"Jakarta","city":"East Jakarta","zip":"12770","lat":-6.2401,"lon":106.8523,"timezone":"Asia/Jakarta","isp":"PT Telekomunikasi Selular Indonesia","org":"","as":"AS23693 PT. Telekomunikasi Selular","query":"182.3.43.125"}</t>
  </si>
  <si>
    <t>182.3.53.153</t>
  </si>
  <si>
    <t>{"status":"success","country":"Indonesia","countryCode":"ID","region":"JK","regionName":"Jakarta","city":"East Jakarta","zip":"13470","lat":-6.2141,"lon":106.9002,"timezone":"Asia/Jakarta","isp":"PT Telekomunikasi Selular Indonesia","org":"","as":"AS23693 PT. Telekomunikasi Selular","query":"182.3.53.153"}</t>
  </si>
  <si>
    <t>11 Jun 2026 15:39</t>
  </si>
  <si>
    <t>Mozilla/5.0 (Linux; Android 16; POCO F6 Build/BP2A.250605.031.A3) AppleWebKit/537.36 (KHTML, like Gecko) Chrome/135.0.7049.79 Mobile Safari/537.36 XiaoMi/MiuiBrowser/14.56.0-gn</t>
  </si>
  <si>
    <t>114.10.157.49</t>
  </si>
  <si>
    <t>{"status":"success","country":"Indonesia","countryCode":"ID","region":"BA","regionName":"Bali","city":"Denpasar","zip":"80111","lat":-8.7303,"lon":115.2959,"timezone":"Asia/Makassar","isp":"PT. INDOSAT Tbk","org":"IOH B2B","as":"AS4761 INDOSAT Internet Network Provider","query":"114.10.157.49"}</t>
  </si>
  <si>
    <t>11 Jun 2026 15:38</t>
  </si>
  <si>
    <t>103.30.193.5</t>
  </si>
  <si>
    <t>{"status":"success","country":"Indonesia","countryCode":"ID","region":"JK","regionName":"Jakarta","city":"South Jakarta","zip":"12710","lat":-6.2374,"lon":106.8181,"timezone":"Asia/Jakarta","isp":"PT Telindo Flash Mediatama","org":"","as":"AS150257 PT Telindo Flash Mediatama","query":"103.30.193.5"}</t>
  </si>
  <si>
    <t>Mozilla/5.0 (Linux; U; Android 8.1.0; in-id; CPH1823 Build/O11019) AppleWebKit/537.36 (KHTML, like Gecko) Chrome/91.0.4472.88 Mobile Safari/537.36 HeyTapBrowser/15.10.2.6.1</t>
  </si>
  <si>
    <t>114.10.134.234</t>
  </si>
  <si>
    <t>{"status":"success","country":"Indonesia","countryCode":"ID","region":"SN","regionName":"South Sulawesi","city":"Makassar","zip":"","lat":-5.14861,"lon":119.432,"timezone":"Asia/Makassar","isp":"PT. INDOSAT Tbk","org":"IOH B2B","as":"AS4761 INDOSAT Internet Network Provider","query":"114.10.134.234"}</t>
  </si>
  <si>
    <t>11 Jun 2026 15:37</t>
  </si>
  <si>
    <t>Mozilla/5.0 (iPhone; CPU iPhone OS 26_5_1 like Mac OS X) AppleWebKit/605.1.15 (KHTML, like Gecko) Version/26.5.1 Mobile/15E148 Safari/604.1 [WAiOS/2.26.15]</t>
  </si>
  <si>
    <t>125.166.202.160</t>
  </si>
  <si>
    <t>{"status":"success","country":"Indonesia","countryCode":"ID","region":"BT","regionName":"Banten","city":"Tangerang","zip":"15339","lat":-6.1716,"lon":106.5265,"timezone":"Asia/Jakarta","isp":"PT. TELKOM INDONESIA","org":"","as":"AS7713 PT Telekomunikasi Indonesia","query":"125.166.202.160"}</t>
  </si>
  <si>
    <t>11 Jun 2026 15:36</t>
  </si>
  <si>
    <t>Mozilla/5.0 (Linux; Android 12; V2029) AppleWebKit/537.36 (KHTML, like Gecko) Version/4.0 Chrome/123.0.6312.118 Mobile Safari/537.36 VivoBrowser/15.1.0.5</t>
  </si>
  <si>
    <t>114.122.108.171</t>
  </si>
  <si>
    <t>{"status":"success","country":"Indonesia","countryCode":"ID","region":"JB","regionName":"West Java","city":"Bandung","zip":"40287","lat":-6.9202,"lon":107.6084,"timezone":"Asia/Jakarta","isp":"PT Telekomunikasi Selular Indonesia","org":"","as":"AS23693 PT. Telekomunikasi Selular","query":"114.122.108.171"}</t>
  </si>
  <si>
    <t>Mozilla/5.0 (Linux; Android 10; K) AppleWebKit/537.36 (KHTML, like Gecko) SamsungBrowser/25.0 Chrome/121.0.0.0 Mobile Safari/537.36</t>
  </si>
  <si>
    <t>157.85.211.176</t>
  </si>
  <si>
    <t>{"status":"success","country":"Indonesia","countryCode":"ID","region":"JB","regionName":"West Java","city":"Bekasi","zip":"17413","lat":-6.286,"lon":106.9313,"timezone":"Asia/Jakarta","isp":"PT XL Axiata Tbk","org":"Xlnet","as":"AS139994 PT XL Axiata Tbk","query":"157.85.211.176"}</t>
  </si>
  <si>
    <t>11 Jun 2026 15:35</t>
  </si>
  <si>
    <t>114.125.175.138</t>
  </si>
  <si>
    <t>{"status":"success","country":"Indonesia","countryCode":"ID","region":"SN","regionName":"South Sulawesi","city":"Makassar","zip":"90222","lat":-5.1691,"lon":119.4537,"timezone":"Asia/Makassar","isp":"PT Telekomunikasi Selular Indonesia","org":"","as":"AS23693 PT. Telekomunikasi Selular","query":"114.125.175.138"}</t>
  </si>
  <si>
    <t>11 Jun 2026 15:34</t>
  </si>
  <si>
    <t>Mozilla/5.0 (iPhone; CPU iPhone OS 26_2_1 like Mac OS X) AppleWebKit/605.1.15 (KHTML, like Gecko) Version/26.2.1 Mobile/15E148 Safari/604.1 [WAiOS/2.26.21]</t>
  </si>
  <si>
    <t>182.11.153.92</t>
  </si>
  <si>
    <t>{"status":"success","country":"Indonesia","countryCode":"ID","region":"KB","regionName":"West Kalimantan","city":"Pontianak","zip":"78111","lat":-0.031,"lon":109.3257,"timezone":"Asia/Pontianak","isp":"PT Telekomunikasi Selular Indonesia","org":"","as":"AS23693 PT. Telekomunikasi Selular","query":"182.11.153.92"}</t>
  </si>
  <si>
    <t>11 Jun 2026 15:33</t>
  </si>
  <si>
    <t>103.160.164.15</t>
  </si>
  <si>
    <t>{"status":"success","country":"Indonesia","countryCode":"ID","region":"BA","regionName":"Bali","city":"Banjar Pekenjelodan","zip":"","lat":-8.5752,"lon":115.178,"timezone":"Asia/Makassar","isp":"PT Parsaoran Global Datatrans","org":"PT Jejak Solusi Indonesia","as":"AS58495 PT Parsaoran Global Datatrans","query":"103.160.164.15"}</t>
  </si>
  <si>
    <t>11 Jun 2026 15:32</t>
  </si>
  <si>
    <t>Mozilla/5.0 (Linux; Android 11; Redmi 10A Build/RP1A.200720.011) AppleWebKit/537.36 (KHTML, like Gecko) Chrome/135.0.7049.79 Mobile Safari/537.36 XiaoMi/MiuiBrowser/14.51.0-gn</t>
  </si>
  <si>
    <t>103.18.34.191</t>
  </si>
  <si>
    <t>{"status":"success","country":"Indonesia","countryCode":"ID","region":"JB","regionName":"West Java","city":"Depok","zip":"16431","lat":-6.3966,"lon":106.8164,"timezone":"Asia/Jakarta","isp":"PT. Indonesia Comnet Plus","org":"","as":"AS9341 PT INDONESIA COMNETS PLUS","query":"103.18.34.191"}</t>
  </si>
  <si>
    <t>11 Jun 2026 15:30</t>
  </si>
  <si>
    <t>182.6.11.170</t>
  </si>
  <si>
    <t>{"status":"success","country":"Indonesia","countryCode":"ID","region":"BT","regionName":"Banten","city":"South Tangerang","zip":"15323","lat":-6.2817,"lon":106.6478,"timezone":"Asia/Jakarta","isp":"PT Telekomunikasi Selular Indonesia","org":"","as":"AS23693 PT. Telekomunikasi Selular","query":"182.6.11.170"}</t>
  </si>
  <si>
    <t>11 Jun 2026 15:28</t>
  </si>
  <si>
    <t>103.124.197.62</t>
  </si>
  <si>
    <t>{"status":"success","country":"Indonesia","countryCode":"ID","region":"RI","regionName":"Riau","city":"Batam","zip":"29461","lat":1.0948,"lon":104.1132,"timezone":"Asia/Jakarta","isp":"PT INFORMASI NUSANTARA TEKNOLOGI","org":"Intek","as":"AS138096 PT INFORMASI NUSANTARA TEKNOLOGI","query":"103.124.197.62"}</t>
  </si>
  <si>
    <t>11 Jun 2026 15:26</t>
  </si>
  <si>
    <t>114.8.205.76</t>
  </si>
  <si>
    <t>{"status":"success","country":"Indonesia","countryCode":"ID","region":"JK","regionName":"Jakarta","city":"East Jakarta","zip":"12820","lat":-6.2369,"lon":106.853,"timezone":"Asia/Jakarta","isp":"PT. INDOSAT Tbk","org":"PT. INDOSAT Tbk","as":"AS4761 INDOSAT Internet Network Provider","query":"114.8.205.76"}</t>
  </si>
  <si>
    <t>11 Jun 2026 15:25</t>
  </si>
  <si>
    <t>103.190.47.89</t>
  </si>
  <si>
    <t>{"status":"success","country":"Indonesia","countryCode":"ID","region":"BA","regionName":"Bali","city":"Gianyar","zip":"","lat":-8.5435,"lon":115.327,"timezone":"Asia/Makassar","isp":"PT INDONESIA COMNETS PLUS","org":"","as":"AS9341 PT INDONESIA COMNETS PLUS","query":"103.190.47.89"}</t>
  </si>
  <si>
    <t>182.253.60.254</t>
  </si>
  <si>
    <t>{"status":"success","country":"Indonesia","countryCode":"ID","region":"JT","regionName":"Central Java","city":"Semarang","zip":"","lat":-6.99306,"lon":110.421,"timezone":"Asia/Jakarta","isp":"BIZNET","org":"","as":"AS38482 Biznet ISP","query":"182.253.60.254"}</t>
  </si>
  <si>
    <t>11 Jun 2026 15:24</t>
  </si>
  <si>
    <t>182.3.47.111</t>
  </si>
  <si>
    <t>{"status":"success","country":"Indonesia","countryCode":"ID","region":"JK","regionName":"Jakarta","city":"East Jakarta","zip":"13630","lat":-6.2495,"lon":106.864,"timezone":"Asia/Jakarta","isp":"PT Telekomunikasi Selular Indonesia","org":"","as":"AS23693 PT. Telekomunikasi Selular","query":"182.3.47.111"}</t>
  </si>
  <si>
    <t>11 Jun 2026 15:23</t>
  </si>
  <si>
    <t>Mozilla/5.0 (Linux; Android 11; Redmi Note 10 Pro Build/RKQ1.200826.002) AppleWebKit/537.36 (KHTML, like Gecko) Chrome/135.0.7049.79 Mobile Safari/537.36 XiaoMi/MiuiBrowser/14.56.0-gn</t>
  </si>
  <si>
    <t>103.175.222.217</t>
  </si>
  <si>
    <t>{"status":"success","country":"Indonesia","countryCode":"ID","region":"SN","regionName":"South Sulawesi","city":"Makassar","zip":"90222","lat":-5.1691,"lon":119.4537,"timezone":"Asia/Makassar","isp":"PT. Eka Mas Republik","org":"Myrepublic","as":"AS63859 PT. Eka Mas Republik","query":"103.175.222.217"}</t>
  </si>
  <si>
    <t>11 Jun 2026 15:20</t>
  </si>
  <si>
    <t>Mozilla/5.0 (Windows NT 10.0; Win64; x64; rv:151.0) Gecko/20100101 Firefox/151.0</t>
  </si>
  <si>
    <t>36.84.19.144</t>
  </si>
  <si>
    <t>{"status":"success","country":"Indonesia","countryCode":"ID","region":"JB","regionName":"West Java","city":"Bekasi","zip":"17131","lat":-6.2354,"lon":106.9618,"timezone":"Asia/Jakarta","isp":"PT. TELKOM INDONESIA","org":"","as":"AS7713 PT Telekomunikasi Indonesia","query":"36.84.19.144"}</t>
  </si>
  <si>
    <t>Mozilla/5.0 (Linux; Android 13; Redmi Note 11 Build/TKQ1.221114.001) AppleWebKit/537.36 (KHTML, like Gecko) Chrome/135.0.7049.79 Mobile Safari/537.36 XiaoMi/MiuiBrowser/14.54.0-gn</t>
  </si>
  <si>
    <t>182.3.43.254</t>
  </si>
  <si>
    <t>{"status":"success","country":"Indonesia","countryCode":"ID","region":"JK","regionName":"Jakarta","city":"East Jakarta","zip":"12770","lat":-6.2401,"lon":106.8523,"timezone":"Asia/Jakarta","isp":"PT Telekomunikasi Selular Indonesia","org":"","as":"AS23693 PT. Telekomunikasi Selular","query":"182.3.43.254"}</t>
  </si>
  <si>
    <t>11 Jun 2026 15:16</t>
  </si>
  <si>
    <t>Mozilla/5.0 (Linux; Android 12; V2029) AppleWebKit/537.36 (KHTML, like Gecko) Version/4.0 Chrome/123.0.6312.118 Mobile Safari/537.36 VivoBrowser/15.0.2.3</t>
  </si>
  <si>
    <t>114.125.190.193</t>
  </si>
  <si>
    <t>{"status":"success","country":"Indonesia","countryCode":"ID","region":"SN","regionName":"South Sulawesi","city":"Makassar","zip":"90231","lat":-5.1338,"lon":119.4619,"timezone":"Asia/Makassar","isp":"PT Telekomunikasi Selular Indonesia","org":"","as":"AS23693 PT. Telekomunikasi Selular","query":"114.125.190.193"}</t>
  </si>
  <si>
    <t>114.122.37.213</t>
  </si>
  <si>
    <t>{"status":"success","country":"Indonesia","countryCode":"ID","region":"SU","regionName":"North Sumatra","city":"Medan","zip":"20217","lat":3.5672,"lon":98.6989,"timezone":"Asia/Jakarta","isp":"PT Telekomunikasi Selular Indonesia","org":"","as":"AS23693 PT. Telekomunikasi Selular","query":"114.122.37.213"}</t>
  </si>
  <si>
    <t>11 Jun 2026 15:14</t>
  </si>
  <si>
    <t>182.6.0.129</t>
  </si>
  <si>
    <t>{"status":"success","country":"Indonesia","countryCode":"ID","region":"BT","regionName":"Banten","city":"South Tangerang","zip":"15415","lat":-6.2876,"lon":106.722,"timezone":"Asia/Jakarta","isp":"PT Telekomunikasi Selular Indonesia","org":"","as":"AS23693 PT. Telekomunikasi Selular","query":"182.6.0.129"}</t>
  </si>
  <si>
    <t>11 Jun 2026 15:13</t>
  </si>
  <si>
    <t>Mozilla/5.0 (Android 11; Mobile; rv:151.0) Gecko/151.0 Firefox/151.0</t>
  </si>
  <si>
    <t>114.8.225.112</t>
  </si>
  <si>
    <t>{"status":"success","country":"Indonesia","countryCode":"ID","region":"JI","regionName":"East Java","city":"Surabaya","zip":"60115","lat":-7.2594,"lon":112.786,"timezone":"Asia/Jakarta","isp":"PT. INDOSAT Tbk","org":"PT. INDOSAT Tbk","as":"AS4761 INDOSAT Internet Network Provider","query":"114.8.225.112"}</t>
  </si>
  <si>
    <t>36.69.151.19</t>
  </si>
  <si>
    <t>{"status":"success","country":"Indonesia","countryCode":"ID","region":"JB","regionName":"West Java","city":"Bogor","zip":"16830","lat":-6.4751,"lon":107.0682,"timezone":"Asia/Jakarta","isp":"PT. TELKOM INDONESIA","org":"","as":"AS7713 PT Telekomunikasi Indonesia","query":"36.69.151.19"}</t>
  </si>
  <si>
    <t>182.3.47.234</t>
  </si>
  <si>
    <t>{"status":"success","country":"Indonesia","countryCode":"ID","region":"JK","regionName":"Jakarta","city":"East Jakarta","zip":"13630","lat":-6.2495,"lon":106.864,"timezone":"Asia/Jakarta","isp":"PT Telekomunikasi Selular Indonesia","org":"","as":"AS23693 PT. Telekomunikasi Selular","query":"182.3.47.234"}</t>
  </si>
  <si>
    <t>11 Jun 2026 15:12</t>
  </si>
  <si>
    <t>Mozilla/5.0 (Linux; Android 15; en; Infinix X6853 Build/SP1A.210812.016) AppleWebKit/537.36 (KHTML, like Gecko) Chrome/148.0.7778.215 HiBrowser/v3.00.02.01;lang=id;nation=ID;locale=id_ID UWS/ Mobile Safari/537.36</t>
  </si>
  <si>
    <t>182.3.139.182</t>
  </si>
  <si>
    <t>{"status":"success","country":"Indonesia","countryCode":"ID","region":"KI","regionName":"East Kalimantan","city":"Samarinda","zip":"75117","lat":-0.5007,"lon":117.1787,"timezone":"Asia/Makassar","isp":"PT Telekomunikasi Selular Indonesia","org":"","as":"AS23693 PT. Telekomunikasi Selular","query":"182.3.139.182"}</t>
  </si>
  <si>
    <t>11 Jun 2026 15:11</t>
  </si>
  <si>
    <t>140.213.181.159</t>
  </si>
  <si>
    <t>{"status":"success","country":"Indonesia","countryCode":"ID","region":"SR","regionName":"West Sulawesi","city":"Babana","zip":"","lat":-2.0779,"lon":119.199,"timezone":"Asia/Makassar","isp":"PT Excelcomindo Pratama","org":"","as":"AS24203 PT XL Axiata","query":"140.213.181.159"}</t>
  </si>
  <si>
    <t>11 Jun 2026 15:10</t>
  </si>
  <si>
    <t>Mozilla/5.0 (iPhone; CPU iPhone OS 17_6_1 like Mac OS X) AppleWebKit/605.1.15 (KHTML, like Gecko) Version/17.6.1 Mobile/15E148 Safari/604.1 [WAiOS/2.26.21]</t>
  </si>
  <si>
    <t>103.141.47.137</t>
  </si>
  <si>
    <t>{"status":"success","country":"Indonesia","countryCode":"ID","region":"KT","regionName":"Central Kalimantan","city":"Palangkaraya","zip":"","lat":-2.20833,"lon":113.917,"timezone":"Asia/Pontianak","isp":"PT Indonesia Comnets Plus","org":"","as":"AS9341 PT INDONESIA COMNETS PLUS","query":"103.141.47.137"}</t>
  </si>
  <si>
    <t>11 Jun 2026 15:09</t>
  </si>
  <si>
    <t>112.78.163.206</t>
  </si>
  <si>
    <t>{"status":"success","country":"Indonesia","countryCode":"ID","region":"JK","regionName":"Jakarta","city":"Central Jakarta","zip":"10350","lat":-6.1956,"lon":106.8308,"timezone":"Asia/Jakarta","isp":"Biznet Networks","org":"Metronet","as":"AS17451 BIZNET NETWORKS","query":"112.78.163.206"}</t>
  </si>
  <si>
    <t>11 Jun 2026 15:08</t>
  </si>
  <si>
    <t>182.8.97.13</t>
  </si>
  <si>
    <t>{"status":"success","country":"Indonesia","countryCode":"ID","region":"JI","regionName":"East Java","city":"Surabaya","zip":"60136","lat":-7.2523,"lon":112.7572,"timezone":"Asia/Jakarta","isp":"PT Telekomunikasi Selular Indonesia","org":"","as":"AS23693 PT. Telekomunikasi Selular","query":"182.8.97.13"}</t>
  </si>
  <si>
    <t>180.242.71.176</t>
  </si>
  <si>
    <t>{"status":"success","country":"Indonesia","countryCode":"ID","region":"JK","regionName":"Jakarta","city":"West Jakarta","zip":"14450","lat":-6.1396,"lon":106.7758,"timezone":"Asia/Jakarta","isp":"PT. TELKOM INDONESIA","org":"","as":"AS7713 PT Telekomunikasi Indonesia","query":"180.242.71.176"}</t>
  </si>
  <si>
    <t>11 Jun 2026 15:07</t>
  </si>
  <si>
    <t>103.167.171.174</t>
  </si>
  <si>
    <t>{"status":"success","country":"Indonesia","countryCode":"ID","region":"JK","regionName":"Jakarta","city":"South Jakarta","zip":"12710","lat":-6.2374,"lon":106.8181,"timezone":"Asia/Jakarta","isp":"PT Rajeg Media Telekomunikasi","org":"PT Rajeg Media Telekomunikasi","as":"AS141983 PT Rajeg Media Telekomunikasi","query":"103.167.171.174"}</t>
  </si>
  <si>
    <t>11 Jun 2026 15:06</t>
  </si>
  <si>
    <t>182.10.97.251</t>
  </si>
  <si>
    <t>{"status":"success","country":"Indonesia","countryCode":"ID","region":"JB","regionName":"West Java","city":"Bandung","zip":"40241","lat":-6.9092,"lon":107.5934,"timezone":"Asia/Jakarta","isp":"PT Telekomunikasi Selular Indonesia","org":"","as":"AS23693 PT. Telekomunikasi Selular","query":"182.10.97.251"}</t>
  </si>
  <si>
    <t>Mozilla/5.0 (iPhone; CPU iPhone OS 18_4_1 like Mac OS X) AppleWebKit/605.1.15 (KHTML, like Gecko) Version/18.4.1 Mobile/15E148 Safari/604.1 [WAiOS/2.26.21]</t>
  </si>
  <si>
    <t>114.8.224.41</t>
  </si>
  <si>
    <t>{"status":"success","country":"Indonesia","countryCode":"ID","region":"JI","regionName":"East Java","city":"Surabaya","zip":"60115","lat":-7.2594,"lon":112.786,"timezone":"Asia/Jakarta","isp":"PT. INDOSAT Tbk","org":"PT. INDOSAT Tbk","as":"AS4761 INDOSAT Internet Network Provider","query":"114.8.224.41"}</t>
  </si>
  <si>
    <t>114.10.151.208</t>
  </si>
  <si>
    <t>{"status":"success","country":"Indonesia","countryCode":"ID","region":"JT","regionName":"Central Java","city":"Surakarta","zip":"57127","lat":-7.5533,"lon":110.831,"timezone":"Asia/Jakarta","isp":"PT. INDOSAT Tbk","org":"IOH B2B","as":"AS4761 INDOSAT Internet Network Provider","query":"114.10.151.208"}</t>
  </si>
  <si>
    <t>11 Jun 2026 15:05</t>
  </si>
  <si>
    <t>182.10.100.43</t>
  </si>
  <si>
    <t>{"status":"success","country":"Indonesia","countryCode":"ID","region":"JB","regionName":"West Java","city":"Bandung","zip":"40116","lat":-6.9172,"lon":107.6296,"timezone":"Asia/Jakarta","isp":"PT Telekomunikasi Selular Indonesia","org":"","as":"AS23693 PT. Telekomunikasi Selular","query":"182.10.100.43"}</t>
  </si>
  <si>
    <t>182.8.227.37</t>
  </si>
  <si>
    <t>{"status":"success","country":"Indonesia","countryCode":"ID","region":"YO","regionName":"Yogyakarta","city":"Yogyakarta","zip":"55162","lat":-7.8202,"lon":110.3761,"timezone":"Asia/Jakarta","isp":"PT Telekomunikasi Selular Indonesia","org":"","as":"AS23693 PT. Telekomunikasi Selular","query":"182.8.227.37"}</t>
  </si>
  <si>
    <t>114.10.30.131</t>
  </si>
  <si>
    <t>{"status":"success","country":"Indonesia","countryCode":"ID","region":"JK","regionName":"Jakarta","city":"Ancol","zip":"14430","lat":-6.1142,"lon":106.8619,"timezone":"Asia/Jakarta","isp":"PT. INDOSAT Tbk","org":"IOH B2B","as":"AS4761 INDOSAT Internet Network Provider","query":"114.10.30.131"}</t>
  </si>
  <si>
    <t>Mozilla/5.0 (Linux; Android 15; Z2472 Build/AP3A.240905.015.A2; WV) AppleWebKit/537.36(KHTML,like Gecko)Version/4.0 Chrome/148.0.7778.215 Mobile Safari/537.36</t>
  </si>
  <si>
    <t>165.101.42.113</t>
  </si>
  <si>
    <t>{"status":"success","country":"Indonesia","countryCode":"ID","region":"JB","regionName":"West Java","city":"Datarkadu","zip":"","lat":-7.5866,"lon":108.211,"timezone":"Asia/Jakarta","isp":"PT Lintas Jaringan Nusantara","org":"Indonesia Network Information Center","as":"AS58821 PT Lintas Jaringan Nusantara","query":"165.101.42.113"}</t>
  </si>
  <si>
    <t>11 Jun 2026 15:04</t>
  </si>
  <si>
    <t>182.9.33.210</t>
  </si>
  <si>
    <t>{"status":"success","country":"Indonesia","countryCode":"ID","region":"SU","regionName":"North Sumatra","city":"Medan","zip":"20152","lat":3.5756,"lon":98.678,"timezone":"Asia/Jakarta","isp":"PT Telekomunikasi Selular Indonesia","org":"","as":"AS23693 PT. Telekomunikasi Selular","query":"182.9.33.210"}</t>
  </si>
  <si>
    <t>182.3.51.134</t>
  </si>
  <si>
    <t>{"status":"success","country":"Indonesia","countryCode":"ID","region":"JK","regionName":"Jakarta","city":"East Jakarta","zip":"13470","lat":-6.2141,"lon":106.9002,"timezone":"Asia/Jakarta","isp":"PT Telekomunikasi Selular Indonesia","org":"","as":"AS23693 PT. Telekomunikasi Selular","query":"182.3.51.134"}</t>
  </si>
  <si>
    <t>11 Jun 2026 15:03</t>
  </si>
  <si>
    <t>118.99.81.143</t>
  </si>
  <si>
    <t>{"status":"success","country":"Indonesia","countryCode":"ID","region":"JK","regionName":"Jakarta","city":"Jakarta","zip":"","lat":-6.21462,"lon":106.845,"timezone":"Asia/Jakarta","isp":"BIZNET","org":"","as":"AS17451 BIZNET NETWORKS","query":"118.99.81.143"}</t>
  </si>
  <si>
    <t>11 Jun 2026 15:02</t>
  </si>
  <si>
    <t>182.3.52.236</t>
  </si>
  <si>
    <t>{"status":"success","country":"Indonesia","countryCode":"ID","region":"JK","regionName":"Jakarta","city":"East Jakarta","zip":"13470","lat":-6.2141,"lon":106.9002,"timezone":"Asia/Jakarta","isp":"PT Telekomunikasi Selular Indonesia","org":"","as":"AS23693 PT. Telekomunikasi Selular","query":"182.3.52.236"}</t>
  </si>
  <si>
    <t>36.83.51.55</t>
  </si>
  <si>
    <t>{"status":"success","country":"Indonesia","countryCode":"ID","region":"KI","regionName":"East Kalimantan","city":"Balikpapan","zip":"76114","lat":-1.2509,"lon":116.8845,"timezone":"Asia/Makassar","isp":"PT. TELKOM INDONESIA","org":"","as":"AS7713 PT Telekomunikasi Indonesia","query":"36.83.51.55"}</t>
  </si>
  <si>
    <t>Mozilla/5.0 (iPhone; CPU iPhone OS 16_7_16 like Mac OS X) AppleWebKit/605.1.15 (KHTML, like Gecko) Version/16.7.16 Mobile/15E148 Safari/604.1 [WAiOS/2.26.21]</t>
  </si>
  <si>
    <t>36.77.192.199</t>
  </si>
  <si>
    <t>{"status":"success","country":"Indonesia","countryCode":"ID","region":"JK","regionName":"Jakarta","city":"East Jakarta","zip":"13760","lat":-6.288,"lon":106.8614,"timezone":"Asia/Jakarta","isp":"PT. TELKOM INDONESIA","org":"","as":"AS7713 PT Telekomunikasi Indonesia","query":"36.77.192.199"}</t>
  </si>
  <si>
    <t>Mozilla/5.0 (Windows NT 10.0; Win64; x64) AppleWebKit/537.36 (KHTML, like Gecko) Chrome/109.0.0.0 Safari/537.36</t>
  </si>
  <si>
    <t>182.10.130.145</t>
  </si>
  <si>
    <t>{"status":"success","country":"Indonesia","countryCode":"ID","region":"JB","regionName":"West Java","city":"Bandung","zip":"40287","lat":-6.9202,"lon":107.6084,"timezone":"Asia/Jakarta","isp":"PT Telekomunikasi Selular Indonesia","org":"","as":"AS23693 PT. Telekomunikasi Selular","query":"182.10.130.145"}</t>
  </si>
  <si>
    <t>11 Jun 2026 15:01</t>
  </si>
  <si>
    <t>125.165.107.108</t>
  </si>
  <si>
    <t>{"status":"success","country":"Indonesia","countryCode":"ID","region":"RI","regionName":"Riau","city":"Pekanbaru","zip":"28292","lat":0.5488,"lon":101.4155,"timezone":"Asia/Jakarta","isp":"PT. TELKOM INDONESIA","org":"","as":"AS7713 PT Telekomunikasi Indonesia","query":"125.165.107.108"}</t>
  </si>
  <si>
    <t>180.249.200.143</t>
  </si>
  <si>
    <t>{"status":"success","country":"Indonesia","countryCode":"ID","region":"PA","regionName":"Papua","city":"Jayapura","zip":"99562","lat":-2.5375,"lon":140.7193,"timezone":"Asia/Jayapura","isp":"PT. TELKOM INDONESIA","org":"","as":"AS7713 PT Telekomunikasi Indonesia","query":"180.249.200.143"}</t>
  </si>
  <si>
    <t>103.154.141.64</t>
  </si>
  <si>
    <t>{"status":"success","country":"Indonesia","countryCode":"ID","region":"JB","regionName":"West Java","city":"Bandung","zip":"40241","lat":-6.9092,"lon":107.5934,"timezone":"Asia/Jakarta","isp":"MORATELINDONAP","org":"","as":"AS131111 PT Mora Telematika Indonesia","query":"103.154.141.64"}</t>
  </si>
  <si>
    <t>11 Jun 2026 14:58</t>
  </si>
  <si>
    <t>114.8.221.246</t>
  </si>
  <si>
    <t>{"status":"success","country":"Indonesia","countryCode":"ID","region":"JI","regionName":"East Java","city":"Surabaya","zip":"60136","lat":-7.2523,"lon":112.7572,"timezone":"Asia/Jakarta","isp":"PT. INDOSAT Tbk","org":"PT. INDOSAT Tbk","as":"AS4761 INDOSAT Internet Network Provider","query":"114.8.221.246"}</t>
  </si>
  <si>
    <t>11 Jun 2026 14:44</t>
  </si>
  <si>
    <t>103.146.132.226</t>
  </si>
  <si>
    <t>{"status":"success","country":"Indonesia","countryCode":"ID","region":"JI","regionName":"East Java","city":"Sampang","zip":"69216","lat":-7.1446,"lon":113.0447,"timezone":"Asia/Jakarta","isp":"Dinas Komunikasi dan Informatika Kabupaten Sampang","org":"Dinas Komunikasi dan Informatika Kabupaten Sampang","as":"AS139940 Dinas Komunikasi dan Informatika Kabupaten Sampang","query":"103.146.132.226"}</t>
  </si>
  <si>
    <t>11 Jun 2026 14:39</t>
  </si>
  <si>
    <t>Mozilla/5.0 (iPhone; CPU iPhone OS 16_7 like Mac OS X) AppleWebKit/605.1.15 (KHTML, like Gecko) Version/16.7 Mobile/15E148 Safari/604.1 [WAiOS/2.26.22]</t>
  </si>
  <si>
    <t>182.8.68.88</t>
  </si>
  <si>
    <t>{"status":"success","country":"Indonesia","countryCode":"ID","region":"JI","regionName":"East Java","city":"Surabaya","zip":"60142","lat":-7.2523,"lon":112.7572,"timezone":"Asia/Jakarta","isp":"PT Telekomunikasi Selular Indonesia","org":"","as":"AS23693 PT. Telekomunikasi Selular","query":"182.8.68.88"}</t>
  </si>
  <si>
    <t>11 Jun 2026 14:09</t>
  </si>
  <si>
    <t>175.111.113.146</t>
  </si>
  <si>
    <t>{"status":"success","country":"Indonesia","countryCode":"ID","region":"RI","regionName":"Riau","city":"Batam","zip":"29441","lat":1.1425,"lon":104.0125,"timezone":"Asia/Jakarta","isp":"BATAM BINTAN TELEKOMUNIKASI, PT","org":"BBT","as":"AS46026 BATAM BINTAN TELEKOMUNIKASI, PT","query":"175.111.113.146"}</t>
  </si>
  <si>
    <t>11 Jun 2026 14:08</t>
  </si>
  <si>
    <t>101.255.165.206</t>
  </si>
  <si>
    <t>{"status":"success","country":"Indonesia","countryCode":"ID","region":"JK","regionName":"Jakarta","city":"West Jakarta","zip":"11520","lat":-6.1765,"lon":106.7498,"timezone":"Asia/Jakarta","isp":"PT Remala Abadi","org":"","as":"AS38511 PT Remala Abadi","query":"101.255.165.206"}</t>
  </si>
  <si>
    <t>11 Jun 2026 14:01</t>
  </si>
  <si>
    <t>Mozilla/5.0 (Linux; U; Android 9; in-id; CPH2083 Build/PPR1.180610.011) AppleWebKit/537.36 (KHTML, like Gecko) Chrome/115.0.5970.168 Mobile Safari/537.36 HeyTapBrowser/25.14.0.1</t>
  </si>
  <si>
    <t>114.122.28.131</t>
  </si>
  <si>
    <t>{"status":"success","country":"Indonesia","countryCode":"ID","region":"SU","regionName":"North Sumatra","city":"Medan","zip":"20219","lat":3.586,"lon":98.6923,"timezone":"Asia/Jakarta","isp":"PT Telekomunikasi Selular Indonesia","org":"","as":"AS23693 PT. Telekomunikasi Selular","query":"114.122.28.131"}</t>
  </si>
  <si>
    <t>11 Jun 2026 13:59</t>
  </si>
  <si>
    <t>182.3.141.213</t>
  </si>
  <si>
    <t>{"status":"success","country":"Indonesia","countryCode":"ID","region":"KI","regionName":"East Kalimantan","city":"Samarinda","zip":"75117","lat":-0.5007,"lon":117.1787,"timezone":"Asia/Makassar","isp":"PT Telekomunikasi Selular Indonesia","org":"","as":"AS23693 PT. Telekomunikasi Selular","query":"182.3.141.213"}</t>
  </si>
  <si>
    <t>11 Jun 2026 13:52</t>
  </si>
  <si>
    <t>43.252.106.117</t>
  </si>
  <si>
    <t>{"status":"success","country":"Indonesia","countryCode":"ID","region":"JT","regionName":"Central Java","city":"Kudus","zip":"","lat":-6.8048,"lon":110.84,"timezone":"Asia/Jakarta","isp":"PT Lintas Data Prima","org":"","as":"AS45305 Lintas Data Prima, PT","query":"43.252.106.117"}</t>
  </si>
  <si>
    <t>OPTIONS LIST OF WEB SURVEY FILLING</t>
  </si>
  <si>
    <t>AC INSTALL</t>
  </si>
  <si>
    <t>REPAIR</t>
  </si>
  <si>
    <t>Q1</t>
  </si>
  <si>
    <t>Yes, There is installation</t>
  </si>
  <si>
    <t>Good</t>
  </si>
  <si>
    <t>No installation from SHARP</t>
  </si>
  <si>
    <t>Spec Under Expectation</t>
  </si>
  <si>
    <t>Cancel High Cost</t>
  </si>
  <si>
    <t>Q2</t>
  </si>
  <si>
    <t>Cancel Part NLA</t>
  </si>
  <si>
    <t>Not Good</t>
  </si>
  <si>
    <t>Very Good</t>
  </si>
  <si>
    <t>Q3</t>
  </si>
  <si>
    <t>Average</t>
  </si>
  <si>
    <t>Not Fairly Good</t>
  </si>
  <si>
    <t>Poor</t>
  </si>
  <si>
    <t>Bad</t>
  </si>
  <si>
    <t>Cost</t>
  </si>
  <si>
    <t>Appropriate with SAP / in Warranty</t>
  </si>
  <si>
    <t>Different with SAP</t>
  </si>
  <si>
    <t>Q4</t>
  </si>
  <si>
    <t>Explanation</t>
  </si>
  <si>
    <t>Kurang jelas</t>
  </si>
  <si>
    <t>A. Quistioner</t>
  </si>
  <si>
    <t xml:space="preserve">Bagaimana kondisi produk Sharp Bapak / Ibu saat ini setelah diperbaiki? </t>
  </si>
  <si>
    <t>Mohon diisi dengan jenis kerusakan saat ini:</t>
  </si>
  <si>
    <t xml:space="preserve">Bagaimana sikap serta keramahan teknisi kami? </t>
  </si>
  <si>
    <t xml:space="preserve">Sangat Baik </t>
  </si>
  <si>
    <t xml:space="preserve">Cukup Baik </t>
  </si>
  <si>
    <t xml:space="preserve">Kurang Baik </t>
  </si>
  <si>
    <t xml:space="preserve"> Mohon jelaskan sikap teknisi tidak baik seperti apa?</t>
  </si>
  <si>
    <t xml:space="preserve"> Apakah Bapak/Ibu dikenakan biaya pada saat perbaikan </t>
  </si>
  <si>
    <t xml:space="preserve"> Bergaransi dan Tidak dikenakan biaya </t>
  </si>
  <si>
    <t xml:space="preserve"> Bergaransi dan dikenakan biaya </t>
  </si>
  <si>
    <t xml:space="preserve"> Tidak bergaransi dan dikenakan biaya </t>
  </si>
  <si>
    <t xml:space="preserve"> Tidak tahu / lupa </t>
  </si>
  <si>
    <t xml:space="preserve"> Bagaimana penjelasan yang diberikan oleh teknisi setelah perbaikan? </t>
  </si>
  <si>
    <t xml:space="preserve">Kurang Jelas </t>
  </si>
  <si>
    <t xml:space="preserve">Tidak ada penjelasan </t>
  </si>
  <si>
    <t>B. Report</t>
  </si>
  <si>
    <t>22 Aug 2024 09:51</t>
  </si>
  <si>
    <t>100865830222</t>
  </si>
  <si>
    <t>Mozilla/5.0 (Windows NT 10.0; Win64; x64; rv:129.0) Gecko/20100101 Firefox/129.0</t>
  </si>
  <si>
    <t>211.130.174.223</t>
  </si>
  <si>
    <t>{"status":"success","country":"Japan","countryCode":"JP","region":"13","regionName":"Tokyo","city":"Chiyoda","zip":"100-8111","lat":35.6916,"lon":139.768,"timezone":"Asia/Tokyo","isp":"SHARP","org":"Sharp Corporation","as":"AS4713 NTT Communications Corporation","query":"211.130.174.223"}</t>
  </si>
  <si>
    <t>C. Capture</t>
  </si>
  <si>
    <t xml:space="preserve">Apakah instalasi AC Anda telah dilakukan oleh teknisi Sharp? </t>
  </si>
  <si>
    <t>KCP10A2400001</t>
  </si>
  <si>
    <t>Tidak, bukan dari Sharp</t>
  </si>
  <si>
    <t>KCP10A2400002 &amp; KCP10A2400003</t>
  </si>
  <si>
    <t xml:space="preserve">Bagaimana fungsi pendinginan AC Anda setelah diinstal? </t>
  </si>
  <si>
    <t>Tidak sesuai harapan</t>
  </si>
  <si>
    <t>KCP10A2400002</t>
  </si>
  <si>
    <t>Tidak baik</t>
  </si>
  <si>
    <t>KCP10A2400003</t>
  </si>
  <si>
    <t xml:space="preserve">Biasa saja </t>
  </si>
  <si>
    <t xml:space="preserve">Tidak baik </t>
  </si>
  <si>
    <t>22 Aug 2024 10:27</t>
  </si>
  <si>
    <t>1106A240211999</t>
  </si>
</sst>
</file>

<file path=xl/styles.xml><?xml version="1.0" encoding="utf-8"?>
<styleSheet xmlns="http://schemas.openxmlformats.org/spreadsheetml/2006/main">
  <numFmts count="4">
    <numFmt numFmtId="176" formatCode="_ * #,##0_ ;_ * \-#,##0_ ;_ * &quot;-&quot;_ ;_ @_ "/>
    <numFmt numFmtId="44" formatCode="_(&quot;$&quot;* #,##0.00_);_(&quot;$&quot;* \(#,##0.00\);_(&quot;$&quot;* &quot;-&quot;??_);_(@_)"/>
    <numFmt numFmtId="42" formatCode="_(&quot;$&quot;* #,##0_);_(&quot;$&quot;* \(#,##0\);_(&quot;$&quot;* &quot;-&quot;_);_(@_)"/>
    <numFmt numFmtId="177" formatCode="_ * #,##0.00_ ;_ * \-#,##0.00_ ;_ * &quot;-&quot;??_ ;_ @_ "/>
  </numFmts>
  <fonts count="28">
    <font>
      <sz val="11"/>
      <color theme="1"/>
      <name val="Calibri"/>
      <charset val="134"/>
    </font>
    <font>
      <sz val="11"/>
      <color theme="1"/>
      <name val="Calibri"/>
      <charset val="134"/>
      <scheme val="minor"/>
    </font>
    <font>
      <b/>
      <sz val="11"/>
      <color theme="1"/>
      <name val="Calibri"/>
      <charset val="134"/>
      <scheme val="minor"/>
    </font>
    <font>
      <b/>
      <sz val="11"/>
      <name val="Calibri"/>
      <charset val="134"/>
    </font>
    <font>
      <sz val="11"/>
      <name val="Calibri"/>
      <charset val="134"/>
    </font>
    <font>
      <b/>
      <sz val="11"/>
      <color theme="1"/>
      <name val="Calibri"/>
      <charset val="134"/>
    </font>
    <font>
      <b/>
      <sz val="11"/>
      <color theme="0"/>
      <name val="Calibri"/>
      <charset val="134"/>
    </font>
    <font>
      <b/>
      <sz val="12"/>
      <color theme="0"/>
      <name val="Calibri"/>
      <charset val="134"/>
    </font>
    <font>
      <b/>
      <sz val="16"/>
      <color theme="0"/>
      <name val="Calibri"/>
      <charset val="134"/>
    </font>
    <font>
      <sz val="11"/>
      <color theme="0"/>
      <name val="Calibri"/>
      <charset val="0"/>
      <scheme val="minor"/>
    </font>
    <font>
      <u/>
      <sz val="11"/>
      <color rgb="FF800080"/>
      <name val="Calibri"/>
      <charset val="0"/>
      <scheme val="minor"/>
    </font>
    <font>
      <b/>
      <sz val="18"/>
      <color theme="3"/>
      <name val="Calibri"/>
      <charset val="134"/>
      <scheme val="minor"/>
    </font>
    <font>
      <sz val="11"/>
      <color theme="1"/>
      <name val="Calibri"/>
      <charset val="0"/>
      <scheme val="minor"/>
    </font>
    <font>
      <b/>
      <sz val="15"/>
      <color theme="3"/>
      <name val="Calibri"/>
      <charset val="134"/>
      <scheme val="minor"/>
    </font>
    <font>
      <i/>
      <sz val="11"/>
      <color rgb="FF7F7F7F"/>
      <name val="Calibri"/>
      <charset val="0"/>
      <scheme val="minor"/>
    </font>
    <font>
      <sz val="11"/>
      <color rgb="FF006100"/>
      <name val="Calibri"/>
      <charset val="0"/>
      <scheme val="minor"/>
    </font>
    <font>
      <b/>
      <sz val="11"/>
      <color theme="3"/>
      <name val="Calibri"/>
      <charset val="134"/>
      <scheme val="minor"/>
    </font>
    <font>
      <sz val="11"/>
      <color rgb="FF9C6500"/>
      <name val="Calibri"/>
      <charset val="0"/>
      <scheme val="minor"/>
    </font>
    <font>
      <b/>
      <sz val="11"/>
      <color rgb="FF3F3F3F"/>
      <name val="Calibri"/>
      <charset val="0"/>
      <scheme val="minor"/>
    </font>
    <font>
      <sz val="11"/>
      <color rgb="FFFF0000"/>
      <name val="Calibri"/>
      <charset val="0"/>
      <scheme val="minor"/>
    </font>
    <font>
      <sz val="11"/>
      <color rgb="FF3F3F76"/>
      <name val="Calibri"/>
      <charset val="0"/>
      <scheme val="minor"/>
    </font>
    <font>
      <b/>
      <sz val="11"/>
      <color rgb="FFFA7D00"/>
      <name val="Calibri"/>
      <charset val="0"/>
      <scheme val="minor"/>
    </font>
    <font>
      <u/>
      <sz val="11"/>
      <color rgb="FF0000FF"/>
      <name val="Calibri"/>
      <charset val="0"/>
      <scheme val="minor"/>
    </font>
    <font>
      <b/>
      <sz val="13"/>
      <color theme="3"/>
      <name val="Calibri"/>
      <charset val="134"/>
      <scheme val="minor"/>
    </font>
    <font>
      <b/>
      <sz val="11"/>
      <color theme="1"/>
      <name val="Calibri"/>
      <charset val="0"/>
      <scheme val="minor"/>
    </font>
    <font>
      <sz val="11"/>
      <color rgb="FFFA7D00"/>
      <name val="Calibri"/>
      <charset val="0"/>
      <scheme val="minor"/>
    </font>
    <font>
      <sz val="11"/>
      <color rgb="FF9C0006"/>
      <name val="Calibri"/>
      <charset val="0"/>
      <scheme val="minor"/>
    </font>
    <font>
      <b/>
      <sz val="11"/>
      <color rgb="FFFFFFFF"/>
      <name val="Calibri"/>
      <charset val="0"/>
      <scheme val="minor"/>
    </font>
  </fonts>
  <fills count="37">
    <fill>
      <patternFill patternType="none"/>
    </fill>
    <fill>
      <patternFill patternType="gray125"/>
    </fill>
    <fill>
      <patternFill patternType="solid">
        <fgColor theme="7" tint="0.799981688894314"/>
        <bgColor indexed="64"/>
      </patternFill>
    </fill>
    <fill>
      <patternFill patternType="solid">
        <fgColor theme="9" tint="0.799981688894314"/>
        <bgColor indexed="64"/>
      </patternFill>
    </fill>
    <fill>
      <patternFill patternType="solid">
        <fgColor theme="1" tint="0.349986266670736"/>
        <bgColor indexed="64"/>
      </patternFill>
    </fill>
    <fill>
      <patternFill patternType="solid">
        <fgColor rgb="FFE7FDFF"/>
        <bgColor indexed="64"/>
      </patternFill>
    </fill>
    <fill>
      <patternFill patternType="solid">
        <fgColor rgb="FFFF0000"/>
        <bgColor indexed="64"/>
      </patternFill>
    </fill>
    <fill>
      <patternFill patternType="solid">
        <fgColor theme="7" tint="0.599993896298105"/>
        <bgColor indexed="64"/>
      </patternFill>
    </fill>
    <fill>
      <patternFill patternType="solid">
        <fgColor rgb="FFB80000"/>
        <bgColor indexed="64"/>
      </patternFill>
    </fill>
    <fill>
      <patternFill patternType="solid">
        <fgColor theme="6" tint="0.399975585192419"/>
        <bgColor indexed="64"/>
      </patternFill>
    </fill>
    <fill>
      <patternFill patternType="solid">
        <fgColor theme="4" tint="0.399975585192419"/>
        <bgColor indexed="64"/>
      </patternFill>
    </fill>
    <fill>
      <patternFill patternType="solid">
        <fgColor theme="8"/>
        <bgColor indexed="64"/>
      </patternFill>
    </fill>
    <fill>
      <patternFill patternType="solid">
        <fgColor theme="7" tint="0.399975585192419"/>
        <bgColor indexed="64"/>
      </patternFill>
    </fill>
    <fill>
      <patternFill patternType="solid">
        <fgColor theme="6"/>
        <bgColor indexed="64"/>
      </patternFill>
    </fill>
    <fill>
      <patternFill patternType="solid">
        <fgColor theme="8" tint="0.799981688894314"/>
        <bgColor indexed="64"/>
      </patternFill>
    </fill>
    <fill>
      <patternFill patternType="solid">
        <fgColor theme="9" tint="0.399975585192419"/>
        <bgColor indexed="64"/>
      </patternFill>
    </fill>
    <fill>
      <patternFill patternType="solid">
        <fgColor rgb="FFC6EFCE"/>
        <bgColor indexed="64"/>
      </patternFill>
    </fill>
    <fill>
      <patternFill patternType="solid">
        <fgColor rgb="FFFFEB9C"/>
        <bgColor indexed="64"/>
      </patternFill>
    </fill>
    <fill>
      <patternFill patternType="solid">
        <fgColor theme="6" tint="0.799981688894314"/>
        <bgColor indexed="64"/>
      </patternFill>
    </fill>
    <fill>
      <patternFill patternType="solid">
        <fgColor rgb="FFF2F2F2"/>
        <bgColor indexed="64"/>
      </patternFill>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5" tint="0.599993896298105"/>
        <bgColor indexed="64"/>
      </patternFill>
    </fill>
    <fill>
      <patternFill patternType="solid">
        <fgColor rgb="FFFFCC99"/>
        <bgColor indexed="64"/>
      </patternFill>
    </fill>
    <fill>
      <patternFill patternType="solid">
        <fgColor theme="7"/>
        <bgColor indexed="64"/>
      </patternFill>
    </fill>
    <fill>
      <patternFill patternType="solid">
        <fgColor theme="5" tint="0.799981688894314"/>
        <bgColor indexed="64"/>
      </patternFill>
    </fill>
    <fill>
      <patternFill patternType="solid">
        <fgColor theme="4" tint="0.799981688894314"/>
        <bgColor indexed="64"/>
      </patternFill>
    </fill>
    <fill>
      <patternFill patternType="solid">
        <fgColor theme="8" tint="0.599993896298105"/>
        <bgColor indexed="64"/>
      </patternFill>
    </fill>
    <fill>
      <patternFill patternType="solid">
        <fgColor rgb="FFFFFFCC"/>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4" tint="0.599993896298105"/>
        <bgColor indexed="64"/>
      </patternFill>
    </fill>
    <fill>
      <patternFill patternType="solid">
        <fgColor rgb="FFFFC7CE"/>
        <bgColor indexed="64"/>
      </patternFill>
    </fill>
    <fill>
      <patternFill patternType="solid">
        <fgColor rgb="FFA5A5A5"/>
        <bgColor indexed="64"/>
      </patternFill>
    </fill>
    <fill>
      <patternFill patternType="solid">
        <fgColor theme="5" tint="0.399975585192419"/>
        <bgColor indexed="64"/>
      </patternFill>
    </fill>
    <fill>
      <patternFill patternType="solid">
        <fgColor theme="6" tint="0.599993896298105"/>
        <bgColor indexed="64"/>
      </patternFill>
    </fill>
  </fills>
  <borders count="1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theme="0" tint="-0.249946592608417"/>
      </bottom>
      <diagonal/>
    </border>
    <border>
      <left style="thin">
        <color auto="1"/>
      </left>
      <right style="thin">
        <color auto="1"/>
      </right>
      <top style="thin">
        <color theme="0" tint="-0.249946592608417"/>
      </top>
      <bottom style="thin">
        <color auto="1"/>
      </bottom>
      <diagonal/>
    </border>
    <border>
      <left style="thin">
        <color auto="1"/>
      </left>
      <right style="thin">
        <color auto="1"/>
      </right>
      <top style="thin">
        <color theme="0" tint="-0.249946592608417"/>
      </top>
      <bottom style="thin">
        <color theme="0" tint="-0.249946592608417"/>
      </bottom>
      <diagonal/>
    </border>
    <border>
      <left style="thin">
        <color auto="1"/>
      </left>
      <right style="thin">
        <color auto="1"/>
      </right>
      <top/>
      <bottom/>
      <diagonal/>
    </border>
    <border>
      <left/>
      <right/>
      <top/>
      <bottom style="thin">
        <color auto="1"/>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s>
  <cellStyleXfs count="51">
    <xf numFmtId="0" fontId="0" fillId="0" borderId="0"/>
    <xf numFmtId="0" fontId="4" fillId="0" borderId="0"/>
    <xf numFmtId="0" fontId="9" fillId="15" borderId="0" applyNumberFormat="0" applyBorder="0" applyAlignment="0" applyProtection="0">
      <alignment vertical="center"/>
    </xf>
    <xf numFmtId="0" fontId="12" fillId="31" borderId="0" applyNumberFormat="0" applyBorder="0" applyAlignment="0" applyProtection="0">
      <alignment vertical="center"/>
    </xf>
    <xf numFmtId="0" fontId="9" fillId="30" borderId="0" applyNumberFormat="0" applyBorder="0" applyAlignment="0" applyProtection="0">
      <alignment vertical="center"/>
    </xf>
    <xf numFmtId="0" fontId="9" fillId="20" borderId="0" applyNumberFormat="0" applyBorder="0" applyAlignment="0" applyProtection="0">
      <alignment vertical="center"/>
    </xf>
    <xf numFmtId="0" fontId="12" fillId="28" borderId="0" applyNumberFormat="0" applyBorder="0" applyAlignment="0" applyProtection="0">
      <alignment vertical="center"/>
    </xf>
    <xf numFmtId="0" fontId="12" fillId="14" borderId="0" applyNumberFormat="0" applyBorder="0" applyAlignment="0" applyProtection="0">
      <alignment vertical="center"/>
    </xf>
    <xf numFmtId="0" fontId="9" fillId="12" borderId="0" applyNumberFormat="0" applyBorder="0" applyAlignment="0" applyProtection="0">
      <alignment vertical="center"/>
    </xf>
    <xf numFmtId="0" fontId="9" fillId="11" borderId="0" applyNumberFormat="0" applyBorder="0" applyAlignment="0" applyProtection="0">
      <alignment vertical="center"/>
    </xf>
    <xf numFmtId="0" fontId="12" fillId="7" borderId="0" applyNumberFormat="0" applyBorder="0" applyAlignment="0" applyProtection="0">
      <alignment vertical="center"/>
    </xf>
    <xf numFmtId="0" fontId="9" fillId="25" borderId="0" applyNumberFormat="0" applyBorder="0" applyAlignment="0" applyProtection="0">
      <alignment vertical="center"/>
    </xf>
    <xf numFmtId="0" fontId="25" fillId="0" borderId="15" applyNumberFormat="0" applyFill="0" applyAlignment="0" applyProtection="0">
      <alignment vertical="center"/>
    </xf>
    <xf numFmtId="0" fontId="12" fillId="36" borderId="0" applyNumberFormat="0" applyBorder="0" applyAlignment="0" applyProtection="0">
      <alignment vertical="center"/>
    </xf>
    <xf numFmtId="0" fontId="9" fillId="35" borderId="0" applyNumberFormat="0" applyBorder="0" applyAlignment="0" applyProtection="0">
      <alignment vertical="center"/>
    </xf>
    <xf numFmtId="0" fontId="9" fillId="13" borderId="0" applyNumberFormat="0" applyBorder="0" applyAlignment="0" applyProtection="0">
      <alignment vertical="center"/>
    </xf>
    <xf numFmtId="0" fontId="12" fillId="23" borderId="0" applyNumberFormat="0" applyBorder="0" applyAlignment="0" applyProtection="0">
      <alignment vertical="center"/>
    </xf>
    <xf numFmtId="0" fontId="12" fillId="26" borderId="0" applyNumberFormat="0" applyBorder="0" applyAlignment="0" applyProtection="0">
      <alignment vertical="center"/>
    </xf>
    <xf numFmtId="0" fontId="9" fillId="22" borderId="0" applyNumberFormat="0" applyBorder="0" applyAlignment="0" applyProtection="0">
      <alignment vertical="center"/>
    </xf>
    <xf numFmtId="0" fontId="12" fillId="32" borderId="0" applyNumberFormat="0" applyBorder="0" applyAlignment="0" applyProtection="0">
      <alignment vertical="center"/>
    </xf>
    <xf numFmtId="0" fontId="1" fillId="0" borderId="0"/>
    <xf numFmtId="0" fontId="12" fillId="27" borderId="0" applyNumberFormat="0" applyBorder="0" applyAlignment="0" applyProtection="0">
      <alignment vertical="center"/>
    </xf>
    <xf numFmtId="0" fontId="9" fillId="21" borderId="0" applyNumberFormat="0" applyBorder="0" applyAlignment="0" applyProtection="0">
      <alignment vertical="center"/>
    </xf>
    <xf numFmtId="0" fontId="17" fillId="17" borderId="0" applyNumberFormat="0" applyBorder="0" applyAlignment="0" applyProtection="0">
      <alignment vertical="center"/>
    </xf>
    <xf numFmtId="0" fontId="9" fillId="10" borderId="0" applyNumberFormat="0" applyBorder="0" applyAlignment="0" applyProtection="0">
      <alignment vertical="center"/>
    </xf>
    <xf numFmtId="0" fontId="26" fillId="33" borderId="0" applyNumberFormat="0" applyBorder="0" applyAlignment="0" applyProtection="0">
      <alignment vertical="center"/>
    </xf>
    <xf numFmtId="0" fontId="12" fillId="2" borderId="0" applyNumberFormat="0" applyBorder="0" applyAlignment="0" applyProtection="0">
      <alignment vertical="center"/>
    </xf>
    <xf numFmtId="0" fontId="24" fillId="0" borderId="14" applyNumberFormat="0" applyFill="0" applyAlignment="0" applyProtection="0">
      <alignment vertical="center"/>
    </xf>
    <xf numFmtId="0" fontId="18" fillId="19" borderId="11" applyNumberFormat="0" applyAlignment="0" applyProtection="0">
      <alignment vertical="center"/>
    </xf>
    <xf numFmtId="44" fontId="1" fillId="0" borderId="0" applyFont="0" applyFill="0" applyBorder="0" applyAlignment="0" applyProtection="0">
      <alignment vertical="center"/>
    </xf>
    <xf numFmtId="0" fontId="12" fillId="18" borderId="0" applyNumberFormat="0" applyBorder="0" applyAlignment="0" applyProtection="0">
      <alignment vertical="center"/>
    </xf>
    <xf numFmtId="0" fontId="1" fillId="29" borderId="13" applyNumberFormat="0" applyFont="0" applyAlignment="0" applyProtection="0">
      <alignment vertical="center"/>
    </xf>
    <xf numFmtId="0" fontId="20" fillId="24" borderId="12" applyNumberFormat="0" applyAlignment="0" applyProtection="0">
      <alignment vertical="center"/>
    </xf>
    <xf numFmtId="0" fontId="16" fillId="0" borderId="0" applyNumberFormat="0" applyFill="0" applyBorder="0" applyAlignment="0" applyProtection="0">
      <alignment vertical="center"/>
    </xf>
    <xf numFmtId="0" fontId="21" fillId="19" borderId="12" applyNumberFormat="0" applyAlignment="0" applyProtection="0">
      <alignment vertical="center"/>
    </xf>
    <xf numFmtId="0" fontId="15" fillId="16" borderId="0" applyNumberFormat="0" applyBorder="0" applyAlignment="0" applyProtection="0">
      <alignment vertical="center"/>
    </xf>
    <xf numFmtId="0" fontId="16" fillId="0" borderId="10" applyNumberFormat="0" applyFill="0" applyAlignment="0" applyProtection="0">
      <alignment vertical="center"/>
    </xf>
    <xf numFmtId="0" fontId="14" fillId="0" borderId="0" applyNumberFormat="0" applyFill="0" applyBorder="0" applyAlignment="0" applyProtection="0">
      <alignment vertical="center"/>
    </xf>
    <xf numFmtId="0" fontId="13" fillId="0" borderId="9" applyNumberFormat="0" applyFill="0" applyAlignment="0" applyProtection="0">
      <alignment vertical="center"/>
    </xf>
    <xf numFmtId="176" fontId="1" fillId="0" borderId="0" applyFont="0" applyFill="0" applyBorder="0" applyAlignment="0" applyProtection="0">
      <alignment vertical="center"/>
    </xf>
    <xf numFmtId="0" fontId="12" fillId="3" borderId="0" applyNumberFormat="0" applyBorder="0" applyAlignment="0" applyProtection="0">
      <alignment vertical="center"/>
    </xf>
    <xf numFmtId="0" fontId="11" fillId="0" borderId="0" applyNumberFormat="0" applyFill="0" applyBorder="0" applyAlignment="0" applyProtection="0">
      <alignment vertical="center"/>
    </xf>
    <xf numFmtId="42" fontId="1" fillId="0" borderId="0" applyFont="0" applyFill="0" applyBorder="0" applyAlignment="0" applyProtection="0">
      <alignment vertical="center"/>
    </xf>
    <xf numFmtId="0" fontId="1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23" fillId="0" borderId="9" applyNumberFormat="0" applyFill="0" applyAlignment="0" applyProtection="0">
      <alignment vertical="center"/>
    </xf>
    <xf numFmtId="177" fontId="1" fillId="0" borderId="0" applyFont="0" applyFill="0" applyBorder="0" applyAlignment="0" applyProtection="0">
      <alignment vertical="center"/>
    </xf>
    <xf numFmtId="0" fontId="27" fillId="34" borderId="16" applyNumberFormat="0" applyAlignment="0" applyProtection="0">
      <alignment vertical="center"/>
    </xf>
    <xf numFmtId="0" fontId="9" fillId="9" borderId="0" applyNumberFormat="0" applyBorder="0" applyAlignment="0" applyProtection="0">
      <alignment vertical="center"/>
    </xf>
    <xf numFmtId="9" fontId="1" fillId="0" borderId="0" applyFont="0" applyFill="0" applyBorder="0" applyAlignment="0" applyProtection="0">
      <alignment vertical="center"/>
    </xf>
    <xf numFmtId="0" fontId="22" fillId="0" borderId="0" applyNumberFormat="0" applyFill="0" applyBorder="0" applyAlignment="0" applyProtection="0">
      <alignment vertical="center"/>
    </xf>
  </cellStyleXfs>
  <cellXfs count="45">
    <xf numFmtId="0" fontId="0" fillId="0" borderId="0" xfId="0"/>
    <xf numFmtId="0" fontId="1" fillId="0" borderId="0" xfId="20"/>
    <xf numFmtId="0" fontId="2" fillId="0" borderId="0" xfId="20" applyFont="1"/>
    <xf numFmtId="0" fontId="3" fillId="0" borderId="1" xfId="1" applyFont="1" applyBorder="1" applyProtection="1"/>
    <xf numFmtId="0" fontId="4" fillId="0" borderId="0" xfId="1" applyProtection="1"/>
    <xf numFmtId="0" fontId="3" fillId="0" borderId="1" xfId="20" applyFont="1" applyBorder="1" applyProtection="1"/>
    <xf numFmtId="0" fontId="1" fillId="0" borderId="0" xfId="20" applyProtection="1"/>
    <xf numFmtId="0" fontId="5" fillId="0" borderId="0" xfId="0" applyFont="1"/>
    <xf numFmtId="0" fontId="5" fillId="2" borderId="2" xfId="0" applyFont="1" applyFill="1" applyBorder="1" applyAlignment="1">
      <alignment horizontal="center"/>
    </xf>
    <xf numFmtId="0" fontId="5" fillId="2" borderId="3" xfId="0" applyFont="1" applyFill="1" applyBorder="1"/>
    <xf numFmtId="0" fontId="0" fillId="0" borderId="4" xfId="0" applyBorder="1" applyAlignment="1">
      <alignment horizontal="center"/>
    </xf>
    <xf numFmtId="0" fontId="0" fillId="0" borderId="4" xfId="0" applyBorder="1"/>
    <xf numFmtId="0" fontId="0" fillId="0" borderId="5" xfId="0" applyBorder="1" applyAlignment="1">
      <alignment horizontal="center"/>
    </xf>
    <xf numFmtId="0" fontId="0" fillId="0" borderId="5" xfId="0" applyBorder="1"/>
    <xf numFmtId="0" fontId="0" fillId="0" borderId="6" xfId="0" applyBorder="1" applyAlignment="1">
      <alignment horizontal="center"/>
    </xf>
    <xf numFmtId="0" fontId="0" fillId="0" borderId="6" xfId="0" applyBorder="1"/>
    <xf numFmtId="0" fontId="5" fillId="3" borderId="2" xfId="0" applyFont="1" applyFill="1" applyBorder="1" applyAlignment="1">
      <alignment horizontal="center"/>
    </xf>
    <xf numFmtId="0" fontId="5" fillId="3" borderId="3" xfId="0" applyFont="1" applyFill="1" applyBorder="1"/>
    <xf numFmtId="0" fontId="0" fillId="0" borderId="7" xfId="0" applyBorder="1" applyAlignment="1">
      <alignment horizontal="center"/>
    </xf>
    <xf numFmtId="0" fontId="0" fillId="0" borderId="7" xfId="0" applyBorder="1"/>
    <xf numFmtId="0" fontId="3" fillId="0" borderId="1" xfId="1" applyFont="1" applyBorder="1" applyAlignment="1" applyProtection="1"/>
    <xf numFmtId="0" fontId="4" fillId="0" borderId="0" xfId="1" applyAlignment="1" applyProtection="1"/>
    <xf numFmtId="0" fontId="0" fillId="0" borderId="0" xfId="0" applyAlignment="1">
      <alignment vertical="center"/>
    </xf>
    <xf numFmtId="0" fontId="5" fillId="0" borderId="0" xfId="0" applyFont="1" applyAlignment="1">
      <alignment vertical="center"/>
    </xf>
    <xf numFmtId="0" fontId="6" fillId="4" borderId="1" xfId="0" applyFont="1" applyFill="1" applyBorder="1" applyAlignment="1">
      <alignment horizontal="center" vertical="center"/>
    </xf>
    <xf numFmtId="0" fontId="0" fillId="0" borderId="4" xfId="0" applyBorder="1" applyAlignment="1">
      <alignment horizontal="center" vertical="center" wrapText="1"/>
    </xf>
    <xf numFmtId="0" fontId="5" fillId="2" borderId="4" xfId="0" applyFont="1" applyFill="1" applyBorder="1" applyAlignment="1">
      <alignment horizontal="center" vertical="center" wrapText="1"/>
    </xf>
    <xf numFmtId="0" fontId="0" fillId="5" borderId="4" xfId="0" applyFont="1" applyFill="1" applyBorder="1" applyAlignment="1">
      <alignment horizontal="center" vertical="center" wrapText="1"/>
    </xf>
    <xf numFmtId="0" fontId="0" fillId="0" borderId="6" xfId="0" applyBorder="1" applyAlignment="1">
      <alignment horizontal="center" vertical="center" wrapText="1"/>
    </xf>
    <xf numFmtId="0" fontId="5" fillId="2" borderId="6" xfId="0" applyFont="1" applyFill="1" applyBorder="1" applyAlignment="1">
      <alignment horizontal="center" vertical="center" wrapText="1"/>
    </xf>
    <xf numFmtId="0" fontId="0" fillId="5" borderId="6" xfId="0" applyFont="1" applyFill="1" applyBorder="1" applyAlignment="1">
      <alignment horizontal="center" vertical="center" wrapText="1"/>
    </xf>
    <xf numFmtId="0" fontId="0" fillId="0" borderId="4" xfId="0" applyBorder="1" applyAlignment="1">
      <alignment horizontal="left" vertical="center" wrapText="1"/>
    </xf>
    <xf numFmtId="0" fontId="0" fillId="0" borderId="6" xfId="0" applyBorder="1" applyAlignment="1">
      <alignment horizontal="left" vertical="center" wrapText="1"/>
    </xf>
    <xf numFmtId="0" fontId="7" fillId="6" borderId="0" xfId="0" applyFont="1" applyFill="1" applyAlignment="1">
      <alignment horizontal="center" vertical="center" wrapText="1"/>
    </xf>
    <xf numFmtId="0" fontId="7" fillId="6" borderId="8" xfId="0" applyFont="1" applyFill="1" applyBorder="1" applyAlignment="1">
      <alignment horizontal="center" vertical="center" wrapText="1"/>
    </xf>
    <xf numFmtId="0" fontId="0" fillId="2" borderId="4" xfId="0" applyFill="1" applyBorder="1" applyAlignment="1">
      <alignment horizontal="center" vertical="center" wrapText="1"/>
    </xf>
    <xf numFmtId="0" fontId="5" fillId="7" borderId="4" xfId="0" applyFont="1" applyFill="1" applyBorder="1" applyAlignment="1">
      <alignment horizontal="center" vertical="center" wrapText="1"/>
    </xf>
    <xf numFmtId="0" fontId="0" fillId="2" borderId="6" xfId="0" applyFill="1" applyBorder="1" applyAlignment="1">
      <alignment horizontal="center" vertical="center" wrapText="1"/>
    </xf>
    <xf numFmtId="0" fontId="5" fillId="7" borderId="6" xfId="0" applyFont="1" applyFill="1" applyBorder="1" applyAlignment="1">
      <alignment horizontal="center" vertical="center" wrapText="1"/>
    </xf>
    <xf numFmtId="0" fontId="8" fillId="8" borderId="0" xfId="0" applyFont="1" applyFill="1" applyAlignment="1">
      <alignment horizontal="left" vertical="center"/>
    </xf>
    <xf numFmtId="0" fontId="8" fillId="8" borderId="8" xfId="0" applyFont="1" applyFill="1" applyBorder="1" applyAlignment="1">
      <alignment horizontal="left" vertical="center"/>
    </xf>
    <xf numFmtId="0" fontId="0" fillId="2" borderId="4" xfId="0" applyFont="1" applyFill="1" applyBorder="1" applyAlignment="1">
      <alignment horizontal="center" vertical="center" wrapText="1"/>
    </xf>
    <xf numFmtId="0" fontId="0" fillId="2" borderId="4" xfId="0" applyFill="1" applyBorder="1" applyAlignment="1">
      <alignment horizontal="left" vertical="center" wrapText="1"/>
    </xf>
    <xf numFmtId="0" fontId="0" fillId="2" borderId="6" xfId="0" applyFont="1" applyFill="1" applyBorder="1" applyAlignment="1">
      <alignment horizontal="center" vertical="center" wrapText="1"/>
    </xf>
    <xf numFmtId="0" fontId="0" fillId="2" borderId="6" xfId="0" applyFill="1" applyBorder="1" applyAlignment="1">
      <alignment horizontal="left" vertical="center" wrapText="1"/>
    </xf>
  </cellXfs>
  <cellStyles count="51">
    <cellStyle name="Normal" xfId="0" builtinId="0"/>
    <cellStyle name="Normal 2" xfId="1"/>
    <cellStyle name="60% - Accent6" xfId="2" builtinId="52"/>
    <cellStyle name="40% - Accent6" xfId="3" builtinId="51"/>
    <cellStyle name="60% - Accent5" xfId="4" builtinId="48"/>
    <cellStyle name="Accent6" xfId="5" builtinId="49"/>
    <cellStyle name="40% - Accent5" xfId="6" builtinId="47"/>
    <cellStyle name="20% - Accent5" xfId="7" builtinId="46"/>
    <cellStyle name="60% - Accent4" xfId="8" builtinId="44"/>
    <cellStyle name="Accent5" xfId="9" builtinId="45"/>
    <cellStyle name="40% - Accent4" xfId="10" builtinId="43"/>
    <cellStyle name="Accent4" xfId="11" builtinId="41"/>
    <cellStyle name="Linked Cell" xfId="12" builtinId="24"/>
    <cellStyle name="40% - Accent3" xfId="13" builtinId="39"/>
    <cellStyle name="60% - Accent2" xfId="14" builtinId="36"/>
    <cellStyle name="Accent3" xfId="15" builtinId="37"/>
    <cellStyle name="40% - Accent2" xfId="16" builtinId="35"/>
    <cellStyle name="20% - Accent2" xfId="17" builtinId="34"/>
    <cellStyle name="Accent2" xfId="18" builtinId="33"/>
    <cellStyle name="40% - Accent1" xfId="19" builtinId="31"/>
    <cellStyle name="Normal 3" xfId="20"/>
    <cellStyle name="20% - Accent1" xfId="21" builtinId="30"/>
    <cellStyle name="Accent1" xfId="22" builtinId="29"/>
    <cellStyle name="Neutral" xfId="23" builtinId="28"/>
    <cellStyle name="60% - Accent1" xfId="24" builtinId="32"/>
    <cellStyle name="Bad" xfId="25" builtinId="27"/>
    <cellStyle name="20% - Accent4" xfId="26" builtinId="42"/>
    <cellStyle name="Total" xfId="27" builtinId="25"/>
    <cellStyle name="Output" xfId="28" builtinId="21"/>
    <cellStyle name="Currency" xfId="29" builtinId="4"/>
    <cellStyle name="20% - Accent3" xfId="30" builtinId="38"/>
    <cellStyle name="Note" xfId="31" builtinId="10"/>
    <cellStyle name="Input" xfId="32" builtinId="20"/>
    <cellStyle name="Heading 4" xfId="33" builtinId="19"/>
    <cellStyle name="Calculation" xfId="34" builtinId="22"/>
    <cellStyle name="Good" xfId="35" builtinId="26"/>
    <cellStyle name="Heading 3" xfId="36" builtinId="18"/>
    <cellStyle name="CExplanatory Text" xfId="37" builtinId="53"/>
    <cellStyle name="Heading 1" xfId="38" builtinId="16"/>
    <cellStyle name="Comma [0]" xfId="39" builtinId="6"/>
    <cellStyle name="20% - Accent6" xfId="40" builtinId="50"/>
    <cellStyle name="Title" xfId="41" builtinId="15"/>
    <cellStyle name="Currency [0]" xfId="42" builtinId="7"/>
    <cellStyle name="Warning Text" xfId="43" builtinId="11"/>
    <cellStyle name="Followed Hyperlink" xfId="44" builtinId="9"/>
    <cellStyle name="Heading 2" xfId="45" builtinId="17"/>
    <cellStyle name="Comma" xfId="46" builtinId="3"/>
    <cellStyle name="Check Cell" xfId="47" builtinId="23"/>
    <cellStyle name="60% - Accent3" xfId="48" builtinId="40"/>
    <cellStyle name="Percent" xfId="49" builtinId="5"/>
    <cellStyle name="Hyperlink" xfId="50" builtinId="8"/>
  </cellStyles>
  <tableStyles count="0" defaultTableStyle="TableStyleMedium2" defaultPivotStyle="PivotStyleLight16"/>
  <colors>
    <mruColors>
      <color rgb="00B80000"/>
      <color rgb="00E7FDFF"/>
      <color rgb="00F3FE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2</xdr:col>
      <xdr:colOff>47625</xdr:colOff>
      <xdr:row>37</xdr:row>
      <xdr:rowOff>76200</xdr:rowOff>
    </xdr:from>
    <xdr:ext cx="7816595" cy="3421380"/>
    <xdr:pic>
      <xdr:nvPicPr>
        <xdr:cNvPr id="2" name="Picture 1"/>
        <xdr:cNvPicPr>
          <a:picLocks noChangeAspect="1"/>
        </xdr:cNvPicPr>
      </xdr:nvPicPr>
      <xdr:blipFill>
        <a:blip r:embed="rId1"/>
        <a:stretch>
          <a:fillRect/>
        </a:stretch>
      </xdr:blipFill>
      <xdr:spPr>
        <a:xfrm>
          <a:off x="1401445" y="7124700"/>
          <a:ext cx="7816215" cy="3421380"/>
        </a:xfrm>
        <a:prstGeom prst="rect">
          <a:avLst/>
        </a:prstGeom>
      </xdr:spPr>
    </xdr:pic>
    <xdr:clientData/>
  </xdr:oneCellAnchor>
  <xdr:oneCellAnchor>
    <xdr:from>
      <xdr:col>2</xdr:col>
      <xdr:colOff>47635</xdr:colOff>
      <xdr:row>57</xdr:row>
      <xdr:rowOff>76200</xdr:rowOff>
    </xdr:from>
    <xdr:ext cx="7973597" cy="4130040"/>
    <xdr:pic>
      <xdr:nvPicPr>
        <xdr:cNvPr id="3" name="Picture 2"/>
        <xdr:cNvPicPr>
          <a:picLocks noChangeAspect="1"/>
        </xdr:cNvPicPr>
      </xdr:nvPicPr>
      <xdr:blipFill>
        <a:blip r:embed="rId2"/>
        <a:stretch>
          <a:fillRect/>
        </a:stretch>
      </xdr:blipFill>
      <xdr:spPr>
        <a:xfrm>
          <a:off x="1401445" y="10934700"/>
          <a:ext cx="7973060" cy="4130040"/>
        </a:xfrm>
        <a:prstGeom prst="rect">
          <a:avLst/>
        </a:prstGeom>
      </xdr:spPr>
    </xdr:pic>
    <xdr:clientData/>
  </xdr:oneCellAnchor>
  <xdr:oneCellAnchor>
    <xdr:from>
      <xdr:col>1</xdr:col>
      <xdr:colOff>571501</xdr:colOff>
      <xdr:row>81</xdr:row>
      <xdr:rowOff>19050</xdr:rowOff>
    </xdr:from>
    <xdr:ext cx="8161917" cy="2987040"/>
    <xdr:pic>
      <xdr:nvPicPr>
        <xdr:cNvPr id="4" name="Picture 3"/>
        <xdr:cNvPicPr>
          <a:picLocks noChangeAspect="1"/>
        </xdr:cNvPicPr>
      </xdr:nvPicPr>
      <xdr:blipFill>
        <a:blip r:embed="rId3"/>
        <a:stretch>
          <a:fillRect/>
        </a:stretch>
      </xdr:blipFill>
      <xdr:spPr>
        <a:xfrm>
          <a:off x="1248410" y="15449550"/>
          <a:ext cx="8161655" cy="2987040"/>
        </a:xfrm>
        <a:prstGeom prst="rect">
          <a:avLst/>
        </a:prstGeom>
      </xdr:spPr>
    </xdr:pic>
    <xdr:clientData/>
  </xdr:oneCellAnchor>
  <xdr:oneCellAnchor>
    <xdr:from>
      <xdr:col>1</xdr:col>
      <xdr:colOff>581025</xdr:colOff>
      <xdr:row>98</xdr:row>
      <xdr:rowOff>171450</xdr:rowOff>
    </xdr:from>
    <xdr:ext cx="8123560" cy="2895600"/>
    <xdr:pic>
      <xdr:nvPicPr>
        <xdr:cNvPr id="5" name="Picture 4"/>
        <xdr:cNvPicPr>
          <a:picLocks noChangeAspect="1"/>
        </xdr:cNvPicPr>
      </xdr:nvPicPr>
      <xdr:blipFill>
        <a:blip r:embed="rId4"/>
        <a:stretch>
          <a:fillRect/>
        </a:stretch>
      </xdr:blipFill>
      <xdr:spPr>
        <a:xfrm>
          <a:off x="1257935" y="18840450"/>
          <a:ext cx="8123555" cy="2895600"/>
        </a:xfrm>
        <a:prstGeom prst="rect">
          <a:avLst/>
        </a:prstGeom>
      </xdr:spPr>
    </xdr:pic>
    <xdr:clientData/>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609591</xdr:colOff>
      <xdr:row>25</xdr:row>
      <xdr:rowOff>85725</xdr:rowOff>
    </xdr:from>
    <xdr:ext cx="7697758" cy="2194560"/>
    <xdr:pic>
      <xdr:nvPicPr>
        <xdr:cNvPr id="2" name="Picture 1"/>
        <xdr:cNvPicPr>
          <a:picLocks noChangeAspect="1"/>
        </xdr:cNvPicPr>
      </xdr:nvPicPr>
      <xdr:blipFill>
        <a:blip r:embed="rId1"/>
        <a:stretch>
          <a:fillRect/>
        </a:stretch>
      </xdr:blipFill>
      <xdr:spPr>
        <a:xfrm>
          <a:off x="1285875" y="4848225"/>
          <a:ext cx="7698105" cy="2194560"/>
        </a:xfrm>
        <a:prstGeom prst="rect">
          <a:avLst/>
        </a:prstGeom>
      </xdr:spPr>
    </xdr:pic>
    <xdr:clientData/>
  </xdr:oneCellAnchor>
  <xdr:oneCellAnchor>
    <xdr:from>
      <xdr:col>1</xdr:col>
      <xdr:colOff>561975</xdr:colOff>
      <xdr:row>38</xdr:row>
      <xdr:rowOff>114300</xdr:rowOff>
    </xdr:from>
    <xdr:ext cx="7735621" cy="3421380"/>
    <xdr:pic>
      <xdr:nvPicPr>
        <xdr:cNvPr id="3" name="Picture 2"/>
        <xdr:cNvPicPr>
          <a:picLocks noChangeAspect="1"/>
        </xdr:cNvPicPr>
      </xdr:nvPicPr>
      <xdr:blipFill>
        <a:blip r:embed="rId2"/>
        <a:stretch>
          <a:fillRect/>
        </a:stretch>
      </xdr:blipFill>
      <xdr:spPr>
        <a:xfrm>
          <a:off x="1238885" y="7353300"/>
          <a:ext cx="7735570" cy="3421380"/>
        </a:xfrm>
        <a:prstGeom prst="rect">
          <a:avLst/>
        </a:prstGeom>
      </xdr:spPr>
    </xdr:pic>
    <xdr:clientData/>
  </xdr:oneCellAnchor>
  <xdr:oneCellAnchor>
    <xdr:from>
      <xdr:col>1</xdr:col>
      <xdr:colOff>581025</xdr:colOff>
      <xdr:row>58</xdr:row>
      <xdr:rowOff>28575</xdr:rowOff>
    </xdr:from>
    <xdr:ext cx="7759873" cy="3688080"/>
    <xdr:pic>
      <xdr:nvPicPr>
        <xdr:cNvPr id="4" name="Picture 3"/>
        <xdr:cNvPicPr>
          <a:picLocks noChangeAspect="1"/>
        </xdr:cNvPicPr>
      </xdr:nvPicPr>
      <xdr:blipFill>
        <a:blip r:embed="rId3"/>
        <a:stretch>
          <a:fillRect/>
        </a:stretch>
      </xdr:blipFill>
      <xdr:spPr>
        <a:xfrm>
          <a:off x="1257935" y="11077575"/>
          <a:ext cx="7759700" cy="368808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X401"/>
  <sheetViews>
    <sheetView tabSelected="1" topLeftCell="M101" workbookViewId="0">
      <selection activeCell="W8" sqref="W8"/>
    </sheetView>
  </sheetViews>
  <sheetFormatPr defaultColWidth="9" defaultRowHeight="15"/>
  <cols>
    <col min="1" max="1" width="5.775" style="22" customWidth="1"/>
    <col min="2" max="2" width="12.3333333333333" style="22" customWidth="1"/>
    <col min="3" max="3" width="17" style="22" customWidth="1"/>
    <col min="4" max="4" width="29.1083333333333" style="22" customWidth="1"/>
    <col min="5" max="5" width="23.3333333333333" style="22" customWidth="1"/>
    <col min="6" max="6" width="23.2166666666667" style="22" customWidth="1"/>
    <col min="7" max="7" width="23.3333333333333" style="22" customWidth="1"/>
    <col min="8" max="8" width="33.4416666666667" style="22" customWidth="1"/>
    <col min="9" max="9" width="14.2166666666667" style="22" customWidth="1"/>
    <col min="10" max="10" width="21.4416666666667" style="22" customWidth="1"/>
    <col min="11" max="11" width="20.3333333333333" style="22" customWidth="1"/>
    <col min="12" max="13" width="8.88333333333333" style="22"/>
    <col min="14" max="14" width="6" style="22" customWidth="1"/>
    <col min="15" max="15" width="14.5583333333333" style="22" customWidth="1"/>
    <col min="16" max="24" width="15.6666666666667" style="22" customWidth="1"/>
    <col min="25" max="16384" width="8.88333333333333" style="22"/>
  </cols>
  <sheetData>
    <row r="1" ht="14.4" customHeight="1" spans="1:24">
      <c r="A1" s="23" t="s">
        <v>0</v>
      </c>
      <c r="N1" s="33" t="s">
        <v>1</v>
      </c>
      <c r="O1" s="33"/>
      <c r="P1" s="33"/>
      <c r="Q1" s="39" t="s">
        <v>2</v>
      </c>
      <c r="R1" s="39"/>
      <c r="S1" s="39"/>
      <c r="T1" s="39"/>
      <c r="U1" s="39"/>
      <c r="V1" s="39"/>
      <c r="W1" s="39"/>
      <c r="X1" s="39"/>
    </row>
    <row r="2" ht="14.4" customHeight="1" spans="14:24">
      <c r="N2" s="34"/>
      <c r="O2" s="34"/>
      <c r="P2" s="34"/>
      <c r="Q2" s="40"/>
      <c r="R2" s="40"/>
      <c r="S2" s="40"/>
      <c r="T2" s="40"/>
      <c r="U2" s="40"/>
      <c r="V2" s="40"/>
      <c r="W2" s="40"/>
      <c r="X2" s="40"/>
    </row>
    <row r="3" spans="1:24">
      <c r="A3" s="24" t="s">
        <v>3</v>
      </c>
      <c r="B3" s="24" t="s">
        <v>4</v>
      </c>
      <c r="C3" s="24" t="s">
        <v>5</v>
      </c>
      <c r="D3" s="24" t="s">
        <v>6</v>
      </c>
      <c r="E3" s="24" t="s">
        <v>7</v>
      </c>
      <c r="F3" s="24" t="s">
        <v>8</v>
      </c>
      <c r="G3" s="24" t="s">
        <v>9</v>
      </c>
      <c r="H3" s="24" t="s">
        <v>10</v>
      </c>
      <c r="I3" s="24" t="s">
        <v>11</v>
      </c>
      <c r="J3" s="24" t="s">
        <v>12</v>
      </c>
      <c r="K3" s="24" t="s">
        <v>13</v>
      </c>
      <c r="N3" s="24" t="s">
        <v>3</v>
      </c>
      <c r="O3" s="24" t="s">
        <v>4</v>
      </c>
      <c r="P3" s="24" t="s">
        <v>5</v>
      </c>
      <c r="Q3" s="24" t="s">
        <v>6</v>
      </c>
      <c r="R3" s="24" t="s">
        <v>7</v>
      </c>
      <c r="S3" s="24" t="s">
        <v>8</v>
      </c>
      <c r="T3" s="24" t="s">
        <v>9</v>
      </c>
      <c r="U3" s="24" t="s">
        <v>10</v>
      </c>
      <c r="V3" s="24" t="s">
        <v>11</v>
      </c>
      <c r="W3" s="24" t="s">
        <v>12</v>
      </c>
      <c r="X3" s="24" t="s">
        <v>13</v>
      </c>
    </row>
    <row r="4" ht="28.2" customHeight="1" spans="1:24">
      <c r="A4" s="25">
        <f>IF(B4="","",ROW()-COUNTBLANK($B$4:B4)-3)</f>
        <v>1</v>
      </c>
      <c r="B4" s="25" t="str">
        <f>'web survey'!C2</f>
        <v>FU-ACInstall</v>
      </c>
      <c r="C4" s="26" t="str">
        <f>'web survey'!AA2</f>
        <v>TBS13A2600334</v>
      </c>
      <c r="D4" s="27" t="str">
        <f>IF(B4="FU-ACInstall",VLOOKUP(VALUE('web survey'!D2),ref!$B$6:$C$7,2,0)&amp;" ("&amp;'web survey'!D2&amp;")",VLOOKUP(VALUE('web survey'!D2),ref!$E$6:$F$10,2,0)&amp;" ("&amp;'web survey'!D2&amp;")")</f>
        <v>Yes, There is installation (10)</v>
      </c>
      <c r="E4" s="31" t="str">
        <f>'web survey'!S2</f>
        <v/>
      </c>
      <c r="F4" s="27" t="str">
        <f>IF(B4="FU-ACInstall",VLOOKUP(VALUE('web survey'!E2),ref!$B$10:$C$12,2,0)&amp;" ("&amp;'web survey'!E2&amp;")",VLOOKUP(VALUE('web survey'!E2),ref!$E$13:$F$17,2,0)&amp;" ("&amp;'web survey'!E2&amp;")")</f>
        <v>Good (10)</v>
      </c>
      <c r="G4" s="31" t="str">
        <f>'web survey'!T2</f>
        <v/>
      </c>
      <c r="H4" s="27" t="str">
        <f>IF(B4="FU-ACInstall",VLOOKUP(VALUE('web survey'!F2),ref!$B$15:$C$17,2,0)&amp;" ("&amp;'web survey'!F2&amp;")",VLOOKUP(VALUE('web survey'!F2),ref!$E$20:$F$21,2,0)&amp;" ("&amp;'web survey'!F2&amp;")")</f>
        <v>Good (10)</v>
      </c>
      <c r="I4" s="31" t="str">
        <f>'web survey'!U2</f>
        <v/>
      </c>
      <c r="J4" s="27" t="str">
        <f>IF(B4="FU-ACInstall","-",VLOOKUP(VALUE('web survey'!G2),ref!$E$24:$F$26,2,0)&amp;" ("&amp;'web survey'!G2&amp;")")</f>
        <v>-</v>
      </c>
      <c r="K4" s="25" t="str">
        <f>YEAR('web survey'!Z2)&amp;"-"&amp;IF(MONTH('web survey'!Z2)&lt;10,"0"&amp;MONTH('web survey'!Z2),MONTH('web survey'!Z2))&amp;"-"&amp;IF(DAY('web survey'!Z2)&lt;10,"0"&amp;DAY('web survey'!Z2),DAY('web survey'!Z2))&amp;" "&amp;IF(HOUR('web survey'!Z2)&lt;10,"0"&amp;HOUR('web survey'!Z2),HOUR('web survey'!Z2))&amp;":"&amp;IF(MINUTE('web survey'!Z2)&lt;10,"0"&amp;MINUTE('web survey'!Z2),MINUTE('web survey'!Z2))&amp;(":00'")</f>
        <v>2026-06-14 00:29:00'</v>
      </c>
      <c r="N4" s="35">
        <v>1</v>
      </c>
      <c r="O4" s="35" t="s">
        <v>14</v>
      </c>
      <c r="P4" s="36" t="s">
        <v>15</v>
      </c>
      <c r="Q4" s="41" t="s">
        <v>16</v>
      </c>
      <c r="R4" s="42" t="s">
        <v>17</v>
      </c>
      <c r="S4" s="41" t="s">
        <v>18</v>
      </c>
      <c r="T4" s="42" t="s">
        <v>17</v>
      </c>
      <c r="U4" s="41" t="s">
        <v>18</v>
      </c>
      <c r="V4" s="42" t="s">
        <v>17</v>
      </c>
      <c r="W4" s="41" t="s">
        <v>19</v>
      </c>
      <c r="X4" s="35" t="s">
        <v>20</v>
      </c>
    </row>
    <row r="5" ht="28.2" customHeight="1" spans="1:24">
      <c r="A5" s="28">
        <f>IF(B5="","",ROW()-COUNTBLANK($B$4:B5)-3)</f>
        <v>2</v>
      </c>
      <c r="B5" s="28" t="str">
        <f>'web survey'!C3</f>
        <v>FU-ACInstall</v>
      </c>
      <c r="C5" s="29" t="str">
        <f>'web survey'!AA3</f>
        <v>TBS13A2600338</v>
      </c>
      <c r="D5" s="30" t="str">
        <f>IF(B5="FU-ACInstall",VLOOKUP(VALUE('web survey'!D3),ref!$B$6:$C$7,2,0)&amp;" ("&amp;'web survey'!D3&amp;")",VLOOKUP(VALUE('web survey'!D3),ref!$E$6:$F$10,2,0)&amp;" ("&amp;'web survey'!D3&amp;")")</f>
        <v>Yes, There is installation (10)</v>
      </c>
      <c r="E5" s="32" t="str">
        <f>'web survey'!S3</f>
        <v/>
      </c>
      <c r="F5" s="30" t="str">
        <f>IF(B5="FU-ACInstall",VLOOKUP(VALUE('web survey'!E3),ref!$B$10:$C$12,2,0)&amp;" ("&amp;'web survey'!E3&amp;")",VLOOKUP(VALUE('web survey'!E3),ref!$E$13:$F$17,2,0)&amp;" ("&amp;'web survey'!E3&amp;")")</f>
        <v>Good (10)</v>
      </c>
      <c r="G5" s="32" t="str">
        <f>'web survey'!T3</f>
        <v/>
      </c>
      <c r="H5" s="30" t="str">
        <f>IF(B5="FU-ACInstall",VLOOKUP(VALUE('web survey'!F3),ref!$B$15:$C$17,2,0)&amp;" ("&amp;'web survey'!F3&amp;")",VLOOKUP(VALUE('web survey'!F3),ref!$E$20:$F$21,2,0)&amp;" ("&amp;'web survey'!F3&amp;")")</f>
        <v>Good (10)</v>
      </c>
      <c r="I5" s="32" t="str">
        <f>'web survey'!U3</f>
        <v/>
      </c>
      <c r="J5" s="30" t="str">
        <f>IF(B5="FU-ACInstall","-",VLOOKUP(VALUE('web survey'!G3),ref!$E$24:$F$26,2,0)&amp;" ("&amp;'web survey'!G3&amp;")")</f>
        <v>-</v>
      </c>
      <c r="K5" s="28" t="str">
        <f>YEAR('web survey'!Z3)&amp;"-"&amp;IF(MONTH('web survey'!Z3)&lt;10,"0"&amp;MONTH('web survey'!Z3),MONTH('web survey'!Z3))&amp;"-"&amp;IF(DAY('web survey'!Z3)&lt;10,"0"&amp;DAY('web survey'!Z3),DAY('web survey'!Z3))&amp;" "&amp;IF(HOUR('web survey'!Z3)&lt;10,"0"&amp;HOUR('web survey'!Z3),HOUR('web survey'!Z3))&amp;":"&amp;IF(MINUTE('web survey'!Z3)&lt;10,"0"&amp;MINUTE('web survey'!Z3),MINUTE('web survey'!Z3))&amp;(":00'")</f>
        <v>2026-06-13 20:55:00'</v>
      </c>
      <c r="N5" s="37">
        <v>2</v>
      </c>
      <c r="O5" s="37" t="s">
        <v>14</v>
      </c>
      <c r="P5" s="38" t="s">
        <v>21</v>
      </c>
      <c r="Q5" s="43" t="s">
        <v>16</v>
      </c>
      <c r="R5" s="44" t="s">
        <v>17</v>
      </c>
      <c r="S5" s="43" t="s">
        <v>18</v>
      </c>
      <c r="T5" s="44" t="s">
        <v>17</v>
      </c>
      <c r="U5" s="43" t="s">
        <v>18</v>
      </c>
      <c r="V5" s="44" t="s">
        <v>17</v>
      </c>
      <c r="W5" s="43" t="s">
        <v>19</v>
      </c>
      <c r="X5" s="37" t="s">
        <v>22</v>
      </c>
    </row>
    <row r="6" ht="28.2" customHeight="1" spans="1:24">
      <c r="A6" s="28">
        <f>IF(B6="","",ROW()-COUNTBLANK($B$4:B6)-3)</f>
        <v>3</v>
      </c>
      <c r="B6" s="28" t="str">
        <f>'web survey'!C4</f>
        <v>FU-ACInstall</v>
      </c>
      <c r="C6" s="29" t="str">
        <f>'web survey'!AA4</f>
        <v>ASA10A2602584</v>
      </c>
      <c r="D6" s="30" t="str">
        <f>IF(B6="FU-ACInstall",VLOOKUP(VALUE('web survey'!D4),ref!$B$6:$C$7,2,0)&amp;" ("&amp;'web survey'!D4&amp;")",VLOOKUP(VALUE('web survey'!D4),ref!$E$6:$F$10,2,0)&amp;" ("&amp;'web survey'!D4&amp;")")</f>
        <v>Yes, There is installation (10)</v>
      </c>
      <c r="E6" s="32" t="str">
        <f>'web survey'!S4</f>
        <v/>
      </c>
      <c r="F6" s="30" t="str">
        <f>IF(B6="FU-ACInstall",VLOOKUP(VALUE('web survey'!E4),ref!$B$10:$C$12,2,0)&amp;" ("&amp;'web survey'!E4&amp;")",VLOOKUP(VALUE('web survey'!E4),ref!$E$13:$F$17,2,0)&amp;" ("&amp;'web survey'!E4&amp;")")</f>
        <v>Good (10)</v>
      </c>
      <c r="G6" s="32" t="str">
        <f>'web survey'!T4</f>
        <v/>
      </c>
      <c r="H6" s="30" t="str">
        <f>IF(B6="FU-ACInstall",VLOOKUP(VALUE('web survey'!F4),ref!$B$15:$C$17,2,0)&amp;" ("&amp;'web survey'!F4&amp;")",VLOOKUP(VALUE('web survey'!F4),ref!$E$20:$F$21,2,0)&amp;" ("&amp;'web survey'!F4&amp;")")</f>
        <v>Good (10)</v>
      </c>
      <c r="I6" s="32" t="str">
        <f>'web survey'!U4</f>
        <v/>
      </c>
      <c r="J6" s="30" t="str">
        <f>IF(B6="FU-ACInstall","-",VLOOKUP(VALUE('web survey'!G4),ref!$E$24:$F$26,2,0)&amp;" ("&amp;'web survey'!G4&amp;")")</f>
        <v>-</v>
      </c>
      <c r="K6" s="28" t="str">
        <f>YEAR('web survey'!Z4)&amp;"-"&amp;IF(MONTH('web survey'!Z4)&lt;10,"0"&amp;MONTH('web survey'!Z4),MONTH('web survey'!Z4))&amp;"-"&amp;IF(DAY('web survey'!Z4)&lt;10,"0"&amp;DAY('web survey'!Z4),DAY('web survey'!Z4))&amp;" "&amp;IF(HOUR('web survey'!Z4)&lt;10,"0"&amp;HOUR('web survey'!Z4),HOUR('web survey'!Z4))&amp;":"&amp;IF(MINUTE('web survey'!Z4)&lt;10,"0"&amp;MINUTE('web survey'!Z4),MINUTE('web survey'!Z4))&amp;(":00'")</f>
        <v>2026-06-12 19:54:00'</v>
      </c>
      <c r="N6" s="37">
        <v>3</v>
      </c>
      <c r="O6" s="37" t="s">
        <v>14</v>
      </c>
      <c r="P6" s="38" t="s">
        <v>23</v>
      </c>
      <c r="Q6" s="43" t="s">
        <v>16</v>
      </c>
      <c r="R6" s="44" t="s">
        <v>17</v>
      </c>
      <c r="S6" s="43" t="s">
        <v>18</v>
      </c>
      <c r="T6" s="44" t="s">
        <v>17</v>
      </c>
      <c r="U6" s="43" t="s">
        <v>18</v>
      </c>
      <c r="V6" s="44" t="s">
        <v>17</v>
      </c>
      <c r="W6" s="43" t="s">
        <v>19</v>
      </c>
      <c r="X6" s="37" t="s">
        <v>24</v>
      </c>
    </row>
    <row r="7" ht="28.2" customHeight="1" spans="1:24">
      <c r="A7" s="28">
        <f>IF(B7="","",ROW()-COUNTBLANK($B$4:B7)-3)</f>
        <v>4</v>
      </c>
      <c r="B7" s="28" t="str">
        <f>'web survey'!C5</f>
        <v>FU-ACInstall</v>
      </c>
      <c r="C7" s="29" t="str">
        <f>'web survey'!AA5</f>
        <v>MII13A2600682</v>
      </c>
      <c r="D7" s="30" t="str">
        <f>IF(B7="FU-ACInstall",VLOOKUP(VALUE('web survey'!D5),ref!$B$6:$C$7,2,0)&amp;" ("&amp;'web survey'!D5&amp;")",VLOOKUP(VALUE('web survey'!D5),ref!$E$6:$F$10,2,0)&amp;" ("&amp;'web survey'!D5&amp;")")</f>
        <v>Yes, There is installation (10)</v>
      </c>
      <c r="E7" s="32" t="str">
        <f>'web survey'!S5</f>
        <v/>
      </c>
      <c r="F7" s="30" t="str">
        <f>IF(B7="FU-ACInstall",VLOOKUP(VALUE('web survey'!E5),ref!$B$10:$C$12,2,0)&amp;" ("&amp;'web survey'!E5&amp;")",VLOOKUP(VALUE('web survey'!E5),ref!$E$13:$F$17,2,0)&amp;" ("&amp;'web survey'!E5&amp;")")</f>
        <v>Good (10)</v>
      </c>
      <c r="G7" s="32" t="str">
        <f>'web survey'!T5</f>
        <v/>
      </c>
      <c r="H7" s="30" t="str">
        <f>IF(B7="FU-ACInstall",VLOOKUP(VALUE('web survey'!F5),ref!$B$15:$C$17,2,0)&amp;" ("&amp;'web survey'!F5&amp;")",VLOOKUP(VALUE('web survey'!F5),ref!$E$20:$F$21,2,0)&amp;" ("&amp;'web survey'!F5&amp;")")</f>
        <v>Good (10)</v>
      </c>
      <c r="I7" s="32" t="str">
        <f>'web survey'!U5</f>
        <v/>
      </c>
      <c r="J7" s="30" t="str">
        <f>IF(B7="FU-ACInstall","-",VLOOKUP(VALUE('web survey'!G5),ref!$E$24:$F$26,2,0)&amp;" ("&amp;'web survey'!G5&amp;")")</f>
        <v>-</v>
      </c>
      <c r="K7" s="28" t="str">
        <f>YEAR('web survey'!Z5)&amp;"-"&amp;IF(MONTH('web survey'!Z5)&lt;10,"0"&amp;MONTH('web survey'!Z5),MONTH('web survey'!Z5))&amp;"-"&amp;IF(DAY('web survey'!Z5)&lt;10,"0"&amp;DAY('web survey'!Z5),DAY('web survey'!Z5))&amp;" "&amp;IF(HOUR('web survey'!Z5)&lt;10,"0"&amp;HOUR('web survey'!Z5),HOUR('web survey'!Z5))&amp;":"&amp;IF(MINUTE('web survey'!Z5)&lt;10,"0"&amp;MINUTE('web survey'!Z5),MINUTE('web survey'!Z5))&amp;(":00'")</f>
        <v>2026-06-12 09:52:00'</v>
      </c>
      <c r="N7" s="37">
        <v>4</v>
      </c>
      <c r="O7" s="37" t="s">
        <v>14</v>
      </c>
      <c r="P7" s="38" t="s">
        <v>25</v>
      </c>
      <c r="Q7" s="43" t="s">
        <v>16</v>
      </c>
      <c r="R7" s="44" t="s">
        <v>17</v>
      </c>
      <c r="S7" s="43" t="s">
        <v>18</v>
      </c>
      <c r="T7" s="44" t="s">
        <v>17</v>
      </c>
      <c r="U7" s="43" t="s">
        <v>18</v>
      </c>
      <c r="V7" s="44" t="s">
        <v>17</v>
      </c>
      <c r="W7" s="43" t="s">
        <v>19</v>
      </c>
      <c r="X7" s="37" t="s">
        <v>26</v>
      </c>
    </row>
    <row r="8" ht="28.2" customHeight="1" spans="1:24">
      <c r="A8" s="28">
        <f>IF(B8="","",ROW()-COUNTBLANK($B$4:B8)-3)</f>
        <v>5</v>
      </c>
      <c r="B8" s="28" t="str">
        <f>'web survey'!C6</f>
        <v>FU-Z1-Eng</v>
      </c>
      <c r="C8" s="29" t="str">
        <f>'web survey'!AA6</f>
        <v>1100356966</v>
      </c>
      <c r="D8" s="30" t="str">
        <f>IF(B8="FU-ACInstall",VLOOKUP(VALUE('web survey'!D6),ref!$B$6:$C$7,2,0)&amp;" ("&amp;'web survey'!D6&amp;")",VLOOKUP(VALUE('web survey'!D6),ref!$E$6:$F$10,2,0)&amp;" ("&amp;'web survey'!D6&amp;")")</f>
        <v>Good (10)</v>
      </c>
      <c r="E8" s="32" t="str">
        <f>'web survey'!S6</f>
        <v/>
      </c>
      <c r="F8" s="30" t="str">
        <f>IF(B8="FU-ACInstall",VLOOKUP(VALUE('web survey'!E6),ref!$B$10:$C$12,2,0)&amp;" ("&amp;'web survey'!E6&amp;")",VLOOKUP(VALUE('web survey'!E6),ref!$E$13:$F$17,2,0)&amp;" ("&amp;'web survey'!E6&amp;")")</f>
        <v>Good (5)</v>
      </c>
      <c r="G8" s="32" t="str">
        <f>'web survey'!T6</f>
        <v/>
      </c>
      <c r="H8" s="30" t="str">
        <f>IF(B8="FU-ACInstall",VLOOKUP(VALUE('web survey'!F6),ref!$B$15:$C$17,2,0)&amp;" ("&amp;'web survey'!F6&amp;")",VLOOKUP(VALUE('web survey'!F6),ref!$E$20:$F$21,2,0)&amp;" ("&amp;'web survey'!F6&amp;")")</f>
        <v>Appropriate with SAP / in Warranty (10)</v>
      </c>
      <c r="I8" s="32" t="str">
        <f>'web survey'!U6</f>
        <v/>
      </c>
      <c r="J8" s="30" t="e">
        <f>IF(B8="FU-ACInstall","-",VLOOKUP(VALUE('web survey'!G6),ref!$E$24:$F$26,2,0)&amp;" ("&amp;'web survey'!G6&amp;")")</f>
        <v>#N/A</v>
      </c>
      <c r="K8" s="28" t="str">
        <f>YEAR('web survey'!Z6)&amp;"-"&amp;IF(MONTH('web survey'!Z6)&lt;10,"0"&amp;MONTH('web survey'!Z6),MONTH('web survey'!Z6))&amp;"-"&amp;IF(DAY('web survey'!Z6)&lt;10,"0"&amp;DAY('web survey'!Z6),DAY('web survey'!Z6))&amp;" "&amp;IF(HOUR('web survey'!Z6)&lt;10,"0"&amp;HOUR('web survey'!Z6),HOUR('web survey'!Z6))&amp;":"&amp;IF(MINUTE('web survey'!Z6)&lt;10,"0"&amp;MINUTE('web survey'!Z6),MINUTE('web survey'!Z6))&amp;(":00'")</f>
        <v>2026-06-15 21:10:00'</v>
      </c>
      <c r="N8" s="37">
        <v>5</v>
      </c>
      <c r="O8" s="37" t="s">
        <v>27</v>
      </c>
      <c r="P8" s="38" t="s">
        <v>28</v>
      </c>
      <c r="Q8" s="43" t="s">
        <v>18</v>
      </c>
      <c r="R8" s="44" t="s">
        <v>17</v>
      </c>
      <c r="S8" s="43" t="s">
        <v>29</v>
      </c>
      <c r="T8" s="44" t="s">
        <v>17</v>
      </c>
      <c r="U8" s="43" t="s">
        <v>30</v>
      </c>
      <c r="V8" s="44" t="s">
        <v>17</v>
      </c>
      <c r="W8" s="43" t="s">
        <v>19</v>
      </c>
      <c r="X8" s="37" t="s">
        <v>31</v>
      </c>
    </row>
    <row r="9" ht="28.2" customHeight="1" spans="1:24">
      <c r="A9" s="28">
        <f>IF(B9="","",ROW()-COUNTBLANK($B$4:B9)-3)</f>
        <v>6</v>
      </c>
      <c r="B9" s="28" t="str">
        <f>'web survey'!C7</f>
        <v>FU-Z1-Eng</v>
      </c>
      <c r="C9" s="29" t="str">
        <f>'web survey'!AA7</f>
        <v>204471226</v>
      </c>
      <c r="D9" s="30" t="str">
        <f>IF(B9="FU-ACInstall",VLOOKUP(VALUE('web survey'!D7),ref!$B$6:$C$7,2,0)&amp;" ("&amp;'web survey'!D7&amp;")",VLOOKUP(VALUE('web survey'!D7),ref!$E$6:$F$10,2,0)&amp;" ("&amp;'web survey'!D7&amp;")")</f>
        <v>Not Good (-10)</v>
      </c>
      <c r="E9" s="32" t="str">
        <f>'web survey'!S7</f>
        <v/>
      </c>
      <c r="F9" s="30" t="str">
        <f>IF(B9="FU-ACInstall",VLOOKUP(VALUE('web survey'!E7),ref!$B$10:$C$12,2,0)&amp;" ("&amp;'web survey'!E7&amp;")",VLOOKUP(VALUE('web survey'!E7),ref!$E$13:$F$17,2,0)&amp;" ("&amp;'web survey'!E7&amp;")")</f>
        <v>Good (5)</v>
      </c>
      <c r="G9" s="32" t="str">
        <f>'web survey'!T7</f>
        <v/>
      </c>
      <c r="H9" s="30" t="str">
        <f>IF(B9="FU-ACInstall",VLOOKUP(VALUE('web survey'!F7),ref!$B$15:$C$17,2,0)&amp;" ("&amp;'web survey'!F7&amp;")",VLOOKUP(VALUE('web survey'!F7),ref!$E$20:$F$21,2,0)&amp;" ("&amp;'web survey'!F7&amp;")")</f>
        <v>Appropriate with SAP / in Warranty (10)</v>
      </c>
      <c r="I9" s="32" t="str">
        <f>'web survey'!U7</f>
        <v/>
      </c>
      <c r="J9" s="30" t="str">
        <f>IF(B9="FU-ACInstall","-",VLOOKUP(VALUE('web survey'!G7),ref!$E$24:$F$26,2,0)&amp;" ("&amp;'web survey'!G7&amp;")")</f>
        <v>Jelas (5)</v>
      </c>
      <c r="K9" s="28" t="str">
        <f>YEAR('web survey'!Z7)&amp;"-"&amp;IF(MONTH('web survey'!Z7)&lt;10,"0"&amp;MONTH('web survey'!Z7),MONTH('web survey'!Z7))&amp;"-"&amp;IF(DAY('web survey'!Z7)&lt;10,"0"&amp;DAY('web survey'!Z7),DAY('web survey'!Z7))&amp;" "&amp;IF(HOUR('web survey'!Z7)&lt;10,"0"&amp;HOUR('web survey'!Z7),HOUR('web survey'!Z7))&amp;":"&amp;IF(MINUTE('web survey'!Z7)&lt;10,"0"&amp;MINUTE('web survey'!Z7),MINUTE('web survey'!Z7))&amp;(":00'")</f>
        <v>2026-06-15 17:31:00'</v>
      </c>
      <c r="N9" s="37">
        <v>6</v>
      </c>
      <c r="O9" s="37" t="s">
        <v>27</v>
      </c>
      <c r="P9" s="38" t="s">
        <v>32</v>
      </c>
      <c r="Q9" s="43" t="s">
        <v>33</v>
      </c>
      <c r="R9" s="44" t="s">
        <v>17</v>
      </c>
      <c r="S9" s="43" t="s">
        <v>29</v>
      </c>
      <c r="T9" s="44" t="s">
        <v>17</v>
      </c>
      <c r="U9" s="43" t="s">
        <v>30</v>
      </c>
      <c r="V9" s="44" t="s">
        <v>17</v>
      </c>
      <c r="W9" s="43" t="s">
        <v>34</v>
      </c>
      <c r="X9" s="37" t="s">
        <v>35</v>
      </c>
    </row>
    <row r="10" ht="28.2" customHeight="1" spans="1:24">
      <c r="A10" s="28">
        <f>IF(B10="","",ROW()-COUNTBLANK($B$4:B10)-3)</f>
        <v>7</v>
      </c>
      <c r="B10" s="28" t="str">
        <f>'web survey'!C8</f>
        <v>FU-Z1-Eng</v>
      </c>
      <c r="C10" s="29" t="str">
        <f>'web survey'!AA8</f>
        <v>1703A2600164</v>
      </c>
      <c r="D10" s="30" t="str">
        <f>IF(B10="FU-ACInstall",VLOOKUP(VALUE('web survey'!D8),ref!$B$6:$C$7,2,0)&amp;" ("&amp;'web survey'!D8&amp;")",VLOOKUP(VALUE('web survey'!D8),ref!$E$6:$F$10,2,0)&amp;" ("&amp;'web survey'!D8&amp;")")</f>
        <v>Good (10)</v>
      </c>
      <c r="E10" s="32" t="str">
        <f>'web survey'!S8</f>
        <v/>
      </c>
      <c r="F10" s="30" t="str">
        <f>IF(B10="FU-ACInstall",VLOOKUP(VALUE('web survey'!E8),ref!$B$10:$C$12,2,0)&amp;" ("&amp;'web survey'!E8&amp;")",VLOOKUP(VALUE('web survey'!E8),ref!$E$13:$F$17,2,0)&amp;" ("&amp;'web survey'!E8&amp;")")</f>
        <v>Very Good (10)</v>
      </c>
      <c r="G10" s="32" t="str">
        <f>'web survey'!T8</f>
        <v/>
      </c>
      <c r="H10" s="30" t="str">
        <f>IF(B10="FU-ACInstall",VLOOKUP(VALUE('web survey'!F8),ref!$B$15:$C$17,2,0)&amp;" ("&amp;'web survey'!F8&amp;")",VLOOKUP(VALUE('web survey'!F8),ref!$E$20:$F$21,2,0)&amp;" ("&amp;'web survey'!F8&amp;")")</f>
        <v>Appropriate with SAP / in Warranty (10)</v>
      </c>
      <c r="I10" s="32" t="str">
        <f>'web survey'!U8</f>
        <v/>
      </c>
      <c r="J10" s="30" t="str">
        <f>IF(B10="FU-ACInstall","-",VLOOKUP(VALUE('web survey'!G8),ref!$E$24:$F$26,2,0)&amp;" ("&amp;'web survey'!G8&amp;")")</f>
        <v>Jelas (5)</v>
      </c>
      <c r="K10" s="28" t="str">
        <f>YEAR('web survey'!Z8)&amp;"-"&amp;IF(MONTH('web survey'!Z8)&lt;10,"0"&amp;MONTH('web survey'!Z8),MONTH('web survey'!Z8))&amp;"-"&amp;IF(DAY('web survey'!Z8)&lt;10,"0"&amp;DAY('web survey'!Z8),DAY('web survey'!Z8))&amp;" "&amp;IF(HOUR('web survey'!Z8)&lt;10,"0"&amp;HOUR('web survey'!Z8),HOUR('web survey'!Z8))&amp;":"&amp;IF(MINUTE('web survey'!Z8)&lt;10,"0"&amp;MINUTE('web survey'!Z8),MINUTE('web survey'!Z8))&amp;(":00'")</f>
        <v>2026-06-15 17:03:00'</v>
      </c>
      <c r="N10" s="37">
        <v>7</v>
      </c>
      <c r="O10" s="37" t="s">
        <v>27</v>
      </c>
      <c r="P10" s="38" t="s">
        <v>36</v>
      </c>
      <c r="Q10" s="43" t="s">
        <v>18</v>
      </c>
      <c r="R10" s="44" t="s">
        <v>17</v>
      </c>
      <c r="S10" s="43" t="s">
        <v>37</v>
      </c>
      <c r="T10" s="44" t="s">
        <v>17</v>
      </c>
      <c r="U10" s="43" t="s">
        <v>30</v>
      </c>
      <c r="V10" s="44" t="s">
        <v>17</v>
      </c>
      <c r="W10" s="43" t="s">
        <v>34</v>
      </c>
      <c r="X10" s="37" t="s">
        <v>38</v>
      </c>
    </row>
    <row r="11" ht="28.2" customHeight="1" spans="1:24">
      <c r="A11" s="28">
        <f>IF(B11="","",ROW()-COUNTBLANK($B$4:B11)-3)</f>
        <v>8</v>
      </c>
      <c r="B11" s="28" t="str">
        <f>'web survey'!C9</f>
        <v>FU-Z1-Eng</v>
      </c>
      <c r="C11" s="29" t="str">
        <f>'web survey'!AA9</f>
        <v>1100357146</v>
      </c>
      <c r="D11" s="30" t="str">
        <f>IF(B11="FU-ACInstall",VLOOKUP(VALUE('web survey'!D9),ref!$B$6:$C$7,2,0)&amp;" ("&amp;'web survey'!D9&amp;")",VLOOKUP(VALUE('web survey'!D9),ref!$E$6:$F$10,2,0)&amp;" ("&amp;'web survey'!D9&amp;")")</f>
        <v>Good (10)</v>
      </c>
      <c r="E11" s="32" t="str">
        <f>'web survey'!S9</f>
        <v/>
      </c>
      <c r="F11" s="30" t="str">
        <f>IF(B11="FU-ACInstall",VLOOKUP(VALUE('web survey'!E9),ref!$B$10:$C$12,2,0)&amp;" ("&amp;'web survey'!E9&amp;")",VLOOKUP(VALUE('web survey'!E9),ref!$E$13:$F$17,2,0)&amp;" ("&amp;'web survey'!E9&amp;")")</f>
        <v>Very Good (10)</v>
      </c>
      <c r="G11" s="32" t="str">
        <f>'web survey'!T9</f>
        <v/>
      </c>
      <c r="H11" s="30" t="str">
        <f>IF(B11="FU-ACInstall",VLOOKUP(VALUE('web survey'!F9),ref!$B$15:$C$17,2,0)&amp;" ("&amp;'web survey'!F9&amp;")",VLOOKUP(VALUE('web survey'!F9),ref!$E$20:$F$21,2,0)&amp;" ("&amp;'web survey'!F9&amp;")")</f>
        <v>Appropriate with SAP / in Warranty (10)</v>
      </c>
      <c r="I11" s="32" t="str">
        <f>'web survey'!U9</f>
        <v/>
      </c>
      <c r="J11" s="30" t="str">
        <f>IF(B11="FU-ACInstall","-",VLOOKUP(VALUE('web survey'!G9),ref!$E$24:$F$26,2,0)&amp;" ("&amp;'web survey'!G9&amp;")")</f>
        <v>Jelas (5)</v>
      </c>
      <c r="K11" s="28" t="str">
        <f>YEAR('web survey'!Z9)&amp;"-"&amp;IF(MONTH('web survey'!Z9)&lt;10,"0"&amp;MONTH('web survey'!Z9),MONTH('web survey'!Z9))&amp;"-"&amp;IF(DAY('web survey'!Z9)&lt;10,"0"&amp;DAY('web survey'!Z9),DAY('web survey'!Z9))&amp;" "&amp;IF(HOUR('web survey'!Z9)&lt;10,"0"&amp;HOUR('web survey'!Z9),HOUR('web survey'!Z9))&amp;":"&amp;IF(MINUTE('web survey'!Z9)&lt;10,"0"&amp;MINUTE('web survey'!Z9),MINUTE('web survey'!Z9))&amp;(":00'")</f>
        <v>2026-06-15 15:24:00'</v>
      </c>
      <c r="N11" s="37">
        <v>8</v>
      </c>
      <c r="O11" s="37" t="s">
        <v>27</v>
      </c>
      <c r="P11" s="38" t="s">
        <v>39</v>
      </c>
      <c r="Q11" s="43" t="s">
        <v>18</v>
      </c>
      <c r="R11" s="44" t="s">
        <v>17</v>
      </c>
      <c r="S11" s="43" t="s">
        <v>37</v>
      </c>
      <c r="T11" s="44" t="s">
        <v>17</v>
      </c>
      <c r="U11" s="43" t="s">
        <v>30</v>
      </c>
      <c r="V11" s="44" t="s">
        <v>17</v>
      </c>
      <c r="W11" s="43" t="s">
        <v>34</v>
      </c>
      <c r="X11" s="37" t="s">
        <v>40</v>
      </c>
    </row>
    <row r="12" ht="28.2" customHeight="1" spans="1:24">
      <c r="A12" s="28">
        <f>IF(B12="","",ROW()-COUNTBLANK($B$4:B12)-3)</f>
        <v>9</v>
      </c>
      <c r="B12" s="28" t="str">
        <f>'web survey'!C10</f>
        <v>FU-Z1-Eng</v>
      </c>
      <c r="C12" s="29" t="str">
        <f>'web survey'!AA10</f>
        <v>204474761</v>
      </c>
      <c r="D12" s="30" t="str">
        <f>IF(B12="FU-ACInstall",VLOOKUP(VALUE('web survey'!D10),ref!$B$6:$C$7,2,0)&amp;" ("&amp;'web survey'!D10&amp;")",VLOOKUP(VALUE('web survey'!D10),ref!$E$6:$F$10,2,0)&amp;" ("&amp;'web survey'!D10&amp;")")</f>
        <v>Good (10)</v>
      </c>
      <c r="E12" s="32" t="str">
        <f>'web survey'!S10</f>
        <v/>
      </c>
      <c r="F12" s="30" t="str">
        <f>IF(B12="FU-ACInstall",VLOOKUP(VALUE('web survey'!E10),ref!$B$10:$C$12,2,0)&amp;" ("&amp;'web survey'!E10&amp;")",VLOOKUP(VALUE('web survey'!E10),ref!$E$13:$F$17,2,0)&amp;" ("&amp;'web survey'!E10&amp;")")</f>
        <v>Very Good (10)</v>
      </c>
      <c r="G12" s="32" t="str">
        <f>'web survey'!T10</f>
        <v/>
      </c>
      <c r="H12" s="30" t="str">
        <f>IF(B12="FU-ACInstall",VLOOKUP(VALUE('web survey'!F10),ref!$B$15:$C$17,2,0)&amp;" ("&amp;'web survey'!F10&amp;")",VLOOKUP(VALUE('web survey'!F10),ref!$E$20:$F$21,2,0)&amp;" ("&amp;'web survey'!F10&amp;")")</f>
        <v>Appropriate with SAP / in Warranty (10)</v>
      </c>
      <c r="I12" s="32" t="str">
        <f>'web survey'!U10</f>
        <v/>
      </c>
      <c r="J12" s="30" t="str">
        <f>IF(B12="FU-ACInstall","-",VLOOKUP(VALUE('web survey'!G10),ref!$E$24:$F$26,2,0)&amp;" ("&amp;'web survey'!G10&amp;")")</f>
        <v>Jelas (5)</v>
      </c>
      <c r="K12" s="28" t="str">
        <f>YEAR('web survey'!Z10)&amp;"-"&amp;IF(MONTH('web survey'!Z10)&lt;10,"0"&amp;MONTH('web survey'!Z10),MONTH('web survey'!Z10))&amp;"-"&amp;IF(DAY('web survey'!Z10)&lt;10,"0"&amp;DAY('web survey'!Z10),DAY('web survey'!Z10))&amp;" "&amp;IF(HOUR('web survey'!Z10)&lt;10,"0"&amp;HOUR('web survey'!Z10),HOUR('web survey'!Z10))&amp;":"&amp;IF(MINUTE('web survey'!Z10)&lt;10,"0"&amp;MINUTE('web survey'!Z10),MINUTE('web survey'!Z10))&amp;(":00'")</f>
        <v>2026-06-15 15:04:00'</v>
      </c>
      <c r="N12" s="37">
        <v>9</v>
      </c>
      <c r="O12" s="37" t="s">
        <v>27</v>
      </c>
      <c r="P12" s="38" t="s">
        <v>41</v>
      </c>
      <c r="Q12" s="43" t="s">
        <v>18</v>
      </c>
      <c r="R12" s="44" t="s">
        <v>17</v>
      </c>
      <c r="S12" s="43" t="s">
        <v>37</v>
      </c>
      <c r="T12" s="44" t="s">
        <v>17</v>
      </c>
      <c r="U12" s="43" t="s">
        <v>30</v>
      </c>
      <c r="V12" s="44" t="s">
        <v>17</v>
      </c>
      <c r="W12" s="43" t="s">
        <v>34</v>
      </c>
      <c r="X12" s="37" t="s">
        <v>42</v>
      </c>
    </row>
    <row r="13" ht="28.2" customHeight="1" spans="1:24">
      <c r="A13" s="28">
        <f>IF(B13="","",ROW()-COUNTBLANK($B$4:B13)-3)</f>
        <v>10</v>
      </c>
      <c r="B13" s="28" t="str">
        <f>'web survey'!C11</f>
        <v>FU-Z1-Eng</v>
      </c>
      <c r="C13" s="29" t="str">
        <f>'web survey'!AA11</f>
        <v>4101A2600566</v>
      </c>
      <c r="D13" s="30" t="str">
        <f>IF(B13="FU-ACInstall",VLOOKUP(VALUE('web survey'!D11),ref!$B$6:$C$7,2,0)&amp;" ("&amp;'web survey'!D11&amp;")",VLOOKUP(VALUE('web survey'!D11),ref!$E$6:$F$10,2,0)&amp;" ("&amp;'web survey'!D11&amp;")")</f>
        <v>Good (10)</v>
      </c>
      <c r="E13" s="32" t="str">
        <f>'web survey'!S11</f>
        <v/>
      </c>
      <c r="F13" s="30" t="str">
        <f>IF(B13="FU-ACInstall",VLOOKUP(VALUE('web survey'!E11),ref!$B$10:$C$12,2,0)&amp;" ("&amp;'web survey'!E11&amp;")",VLOOKUP(VALUE('web survey'!E11),ref!$E$13:$F$17,2,0)&amp;" ("&amp;'web survey'!E11&amp;")")</f>
        <v>Very Good (10)</v>
      </c>
      <c r="G13" s="32" t="str">
        <f>'web survey'!T11</f>
        <v/>
      </c>
      <c r="H13" s="30" t="str">
        <f>IF(B13="FU-ACInstall",VLOOKUP(VALUE('web survey'!F11),ref!$B$15:$C$17,2,0)&amp;" ("&amp;'web survey'!F11&amp;")",VLOOKUP(VALUE('web survey'!F11),ref!$E$20:$F$21,2,0)&amp;" ("&amp;'web survey'!F11&amp;")")</f>
        <v>Appropriate with SAP / in Warranty (10)</v>
      </c>
      <c r="I13" s="32" t="str">
        <f>'web survey'!U11</f>
        <v/>
      </c>
      <c r="J13" s="30" t="str">
        <f>IF(B13="FU-ACInstall","-",VLOOKUP(VALUE('web survey'!G11),ref!$E$24:$F$26,2,0)&amp;" ("&amp;'web survey'!G11&amp;")")</f>
        <v>Jelas (5)</v>
      </c>
      <c r="K13" s="28" t="str">
        <f>YEAR('web survey'!Z11)&amp;"-"&amp;IF(MONTH('web survey'!Z11)&lt;10,"0"&amp;MONTH('web survey'!Z11),MONTH('web survey'!Z11))&amp;"-"&amp;IF(DAY('web survey'!Z11)&lt;10,"0"&amp;DAY('web survey'!Z11),DAY('web survey'!Z11))&amp;" "&amp;IF(HOUR('web survey'!Z11)&lt;10,"0"&amp;HOUR('web survey'!Z11),HOUR('web survey'!Z11))&amp;":"&amp;IF(MINUTE('web survey'!Z11)&lt;10,"0"&amp;MINUTE('web survey'!Z11),MINUTE('web survey'!Z11))&amp;(":00'")</f>
        <v>2026-06-15 15:01:00'</v>
      </c>
      <c r="N13" s="37">
        <v>10</v>
      </c>
      <c r="O13" s="37" t="s">
        <v>27</v>
      </c>
      <c r="P13" s="38" t="s">
        <v>43</v>
      </c>
      <c r="Q13" s="43" t="s">
        <v>18</v>
      </c>
      <c r="R13" s="44" t="s">
        <v>17</v>
      </c>
      <c r="S13" s="43" t="s">
        <v>37</v>
      </c>
      <c r="T13" s="44" t="s">
        <v>17</v>
      </c>
      <c r="U13" s="43" t="s">
        <v>30</v>
      </c>
      <c r="V13" s="44" t="s">
        <v>17</v>
      </c>
      <c r="W13" s="43" t="s">
        <v>34</v>
      </c>
      <c r="X13" s="37" t="s">
        <v>44</v>
      </c>
    </row>
    <row r="14" ht="28.2" customHeight="1" spans="1:24">
      <c r="A14" s="28">
        <f>IF(B14="","",ROW()-COUNTBLANK($B$4:B14)-3)</f>
        <v>11</v>
      </c>
      <c r="B14" s="28" t="str">
        <f>'web survey'!C12</f>
        <v>FU-Z1-Eng</v>
      </c>
      <c r="C14" s="29" t="str">
        <f>'web survey'!AA12</f>
        <v>100987652</v>
      </c>
      <c r="D14" s="30" t="str">
        <f>IF(B14="FU-ACInstall",VLOOKUP(VALUE('web survey'!D12),ref!$B$6:$C$7,2,0)&amp;" ("&amp;'web survey'!D12&amp;")",VLOOKUP(VALUE('web survey'!D12),ref!$E$6:$F$10,2,0)&amp;" ("&amp;'web survey'!D12&amp;")")</f>
        <v>Good (10)</v>
      </c>
      <c r="E14" s="32" t="str">
        <f>'web survey'!S12</f>
        <v/>
      </c>
      <c r="F14" s="30" t="str">
        <f>IF(B14="FU-ACInstall",VLOOKUP(VALUE('web survey'!E12),ref!$B$10:$C$12,2,0)&amp;" ("&amp;'web survey'!E12&amp;")",VLOOKUP(VALUE('web survey'!E12),ref!$E$13:$F$17,2,0)&amp;" ("&amp;'web survey'!E12&amp;")")</f>
        <v>Very Good (10)</v>
      </c>
      <c r="G14" s="32" t="str">
        <f>'web survey'!T12</f>
        <v/>
      </c>
      <c r="H14" s="30" t="str">
        <f>IF(B14="FU-ACInstall",VLOOKUP(VALUE('web survey'!F12),ref!$B$15:$C$17,2,0)&amp;" ("&amp;'web survey'!F12&amp;")",VLOOKUP(VALUE('web survey'!F12),ref!$E$20:$F$21,2,0)&amp;" ("&amp;'web survey'!F12&amp;")")</f>
        <v>Appropriate with SAP / in Warranty (10)</v>
      </c>
      <c r="I14" s="32" t="str">
        <f>'web survey'!U12</f>
        <v/>
      </c>
      <c r="J14" s="30" t="str">
        <f>IF(B14="FU-ACInstall","-",VLOOKUP(VALUE('web survey'!G12),ref!$E$24:$F$26,2,0)&amp;" ("&amp;'web survey'!G12&amp;")")</f>
        <v>Jelas (5)</v>
      </c>
      <c r="K14" s="28" t="str">
        <f>YEAR('web survey'!Z12)&amp;"-"&amp;IF(MONTH('web survey'!Z12)&lt;10,"0"&amp;MONTH('web survey'!Z12),MONTH('web survey'!Z12))&amp;"-"&amp;IF(DAY('web survey'!Z12)&lt;10,"0"&amp;DAY('web survey'!Z12),DAY('web survey'!Z12))&amp;" "&amp;IF(HOUR('web survey'!Z12)&lt;10,"0"&amp;HOUR('web survey'!Z12),HOUR('web survey'!Z12))&amp;":"&amp;IF(MINUTE('web survey'!Z12)&lt;10,"0"&amp;MINUTE('web survey'!Z12),MINUTE('web survey'!Z12))&amp;(":00'")</f>
        <v>2026-06-15 14:24:00'</v>
      </c>
      <c r="N14" s="37">
        <v>11</v>
      </c>
      <c r="O14" s="37" t="s">
        <v>27</v>
      </c>
      <c r="P14" s="38" t="s">
        <v>45</v>
      </c>
      <c r="Q14" s="43" t="s">
        <v>18</v>
      </c>
      <c r="R14" s="44" t="s">
        <v>17</v>
      </c>
      <c r="S14" s="43" t="s">
        <v>37</v>
      </c>
      <c r="T14" s="44" t="s">
        <v>17</v>
      </c>
      <c r="U14" s="43" t="s">
        <v>30</v>
      </c>
      <c r="V14" s="44" t="s">
        <v>17</v>
      </c>
      <c r="W14" s="43" t="s">
        <v>34</v>
      </c>
      <c r="X14" s="37" t="s">
        <v>46</v>
      </c>
    </row>
    <row r="15" ht="28.2" customHeight="1" spans="1:24">
      <c r="A15" s="28">
        <f>IF(B15="","",ROW()-COUNTBLANK($B$4:B15)-3)</f>
        <v>12</v>
      </c>
      <c r="B15" s="28" t="str">
        <f>'web survey'!C13</f>
        <v>FU-Z1-Eng</v>
      </c>
      <c r="C15" s="29" t="str">
        <f>'web survey'!AA13</f>
        <v>204474481</v>
      </c>
      <c r="D15" s="30" t="str">
        <f>IF(B15="FU-ACInstall",VLOOKUP(VALUE('web survey'!D13),ref!$B$6:$C$7,2,0)&amp;" ("&amp;'web survey'!D13&amp;")",VLOOKUP(VALUE('web survey'!D13),ref!$E$6:$F$10,2,0)&amp;" ("&amp;'web survey'!D13&amp;")")</f>
        <v>Good (10)</v>
      </c>
      <c r="E15" s="32" t="str">
        <f>'web survey'!S13</f>
        <v/>
      </c>
      <c r="F15" s="30" t="str">
        <f>IF(B15="FU-ACInstall",VLOOKUP(VALUE('web survey'!E13),ref!$B$10:$C$12,2,0)&amp;" ("&amp;'web survey'!E13&amp;")",VLOOKUP(VALUE('web survey'!E13),ref!$E$13:$F$17,2,0)&amp;" ("&amp;'web survey'!E13&amp;")")</f>
        <v>Very Good (10)</v>
      </c>
      <c r="G15" s="32" t="str">
        <f>'web survey'!T13</f>
        <v/>
      </c>
      <c r="H15" s="30" t="str">
        <f>IF(B15="FU-ACInstall",VLOOKUP(VALUE('web survey'!F13),ref!$B$15:$C$17,2,0)&amp;" ("&amp;'web survey'!F13&amp;")",VLOOKUP(VALUE('web survey'!F13),ref!$E$20:$F$21,2,0)&amp;" ("&amp;'web survey'!F13&amp;")")</f>
        <v>Appropriate with SAP / in Warranty (10)</v>
      </c>
      <c r="I15" s="32" t="str">
        <f>'web survey'!U13</f>
        <v/>
      </c>
      <c r="J15" s="30" t="str">
        <f>IF(B15="FU-ACInstall","-",VLOOKUP(VALUE('web survey'!G13),ref!$E$24:$F$26,2,0)&amp;" ("&amp;'web survey'!G13&amp;")")</f>
        <v>Jelas (5)</v>
      </c>
      <c r="K15" s="28" t="str">
        <f>YEAR('web survey'!Z13)&amp;"-"&amp;IF(MONTH('web survey'!Z13)&lt;10,"0"&amp;MONTH('web survey'!Z13),MONTH('web survey'!Z13))&amp;"-"&amp;IF(DAY('web survey'!Z13)&lt;10,"0"&amp;DAY('web survey'!Z13),DAY('web survey'!Z13))&amp;" "&amp;IF(HOUR('web survey'!Z13)&lt;10,"0"&amp;HOUR('web survey'!Z13),HOUR('web survey'!Z13))&amp;":"&amp;IF(MINUTE('web survey'!Z13)&lt;10,"0"&amp;MINUTE('web survey'!Z13),MINUTE('web survey'!Z13))&amp;(":00'")</f>
        <v>2026-06-15 13:37:00'</v>
      </c>
      <c r="N15" s="37">
        <v>12</v>
      </c>
      <c r="O15" s="37" t="s">
        <v>27</v>
      </c>
      <c r="P15" s="38" t="s">
        <v>47</v>
      </c>
      <c r="Q15" s="43" t="s">
        <v>18</v>
      </c>
      <c r="R15" s="44" t="s">
        <v>17</v>
      </c>
      <c r="S15" s="43" t="s">
        <v>37</v>
      </c>
      <c r="T15" s="44" t="s">
        <v>17</v>
      </c>
      <c r="U15" s="43" t="s">
        <v>30</v>
      </c>
      <c r="V15" s="44" t="s">
        <v>17</v>
      </c>
      <c r="W15" s="43" t="s">
        <v>34</v>
      </c>
      <c r="X15" s="37" t="s">
        <v>48</v>
      </c>
    </row>
    <row r="16" ht="28.2" customHeight="1" spans="1:24">
      <c r="A16" s="28">
        <f>IF(B16="","",ROW()-COUNTBLANK($B$4:B16)-3)</f>
        <v>13</v>
      </c>
      <c r="B16" s="28" t="str">
        <f>'web survey'!C14</f>
        <v>FU-Z1-Eng</v>
      </c>
      <c r="C16" s="29" t="str">
        <f>'web survey'!AA14</f>
        <v>204471365</v>
      </c>
      <c r="D16" s="30" t="str">
        <f>IF(B16="FU-ACInstall",VLOOKUP(VALUE('web survey'!D14),ref!$B$6:$C$7,2,0)&amp;" ("&amp;'web survey'!D14&amp;")",VLOOKUP(VALUE('web survey'!D14),ref!$E$6:$F$10,2,0)&amp;" ("&amp;'web survey'!D14&amp;")")</f>
        <v>Good (10)</v>
      </c>
      <c r="E16" s="32" t="str">
        <f>'web survey'!S14</f>
        <v/>
      </c>
      <c r="F16" s="30" t="str">
        <f>IF(B16="FU-ACInstall",VLOOKUP(VALUE('web survey'!E14),ref!$B$10:$C$12,2,0)&amp;" ("&amp;'web survey'!E14&amp;")",VLOOKUP(VALUE('web survey'!E14),ref!$E$13:$F$17,2,0)&amp;" ("&amp;'web survey'!E14&amp;")")</f>
        <v>Good (5)</v>
      </c>
      <c r="G16" s="32" t="str">
        <f>'web survey'!T14</f>
        <v/>
      </c>
      <c r="H16" s="30" t="str">
        <f>IF(B16="FU-ACInstall",VLOOKUP(VALUE('web survey'!F14),ref!$B$15:$C$17,2,0)&amp;" ("&amp;'web survey'!F14&amp;")",VLOOKUP(VALUE('web survey'!F14),ref!$E$20:$F$21,2,0)&amp;" ("&amp;'web survey'!F14&amp;")")</f>
        <v>Appropriate with SAP / in Warranty (10)</v>
      </c>
      <c r="I16" s="32" t="str">
        <f>'web survey'!U14</f>
        <v/>
      </c>
      <c r="J16" s="30" t="str">
        <f>IF(B16="FU-ACInstall","-",VLOOKUP(VALUE('web survey'!G14),ref!$E$24:$F$26,2,0)&amp;" ("&amp;'web survey'!G14&amp;")")</f>
        <v>Tidak ada penjelasan (-5)</v>
      </c>
      <c r="K16" s="28" t="str">
        <f>YEAR('web survey'!Z14)&amp;"-"&amp;IF(MONTH('web survey'!Z14)&lt;10,"0"&amp;MONTH('web survey'!Z14),MONTH('web survey'!Z14))&amp;"-"&amp;IF(DAY('web survey'!Z14)&lt;10,"0"&amp;DAY('web survey'!Z14),DAY('web survey'!Z14))&amp;" "&amp;IF(HOUR('web survey'!Z14)&lt;10,"0"&amp;HOUR('web survey'!Z14),HOUR('web survey'!Z14))&amp;":"&amp;IF(MINUTE('web survey'!Z14)&lt;10,"0"&amp;MINUTE('web survey'!Z14),MINUTE('web survey'!Z14))&amp;(":00'")</f>
        <v>2026-06-15 12:42:00'</v>
      </c>
      <c r="N16" s="37">
        <v>13</v>
      </c>
      <c r="O16" s="37" t="s">
        <v>27</v>
      </c>
      <c r="P16" s="38" t="s">
        <v>49</v>
      </c>
      <c r="Q16" s="43" t="s">
        <v>18</v>
      </c>
      <c r="R16" s="44" t="s">
        <v>17</v>
      </c>
      <c r="S16" s="43" t="s">
        <v>29</v>
      </c>
      <c r="T16" s="44" t="s">
        <v>17</v>
      </c>
      <c r="U16" s="43" t="s">
        <v>30</v>
      </c>
      <c r="V16" s="44" t="s">
        <v>17</v>
      </c>
      <c r="W16" s="43" t="s">
        <v>50</v>
      </c>
      <c r="X16" s="37" t="s">
        <v>51</v>
      </c>
    </row>
    <row r="17" ht="28.2" customHeight="1" spans="1:24">
      <c r="A17" s="28">
        <f>IF(B17="","",ROW()-COUNTBLANK($B$4:B17)-3)</f>
        <v>14</v>
      </c>
      <c r="B17" s="28" t="str">
        <f>'web survey'!C15</f>
        <v>FU-Z1-Eng</v>
      </c>
      <c r="C17" s="29" t="str">
        <f>'web survey'!AA15</f>
        <v>204472876</v>
      </c>
      <c r="D17" s="30" t="str">
        <f>IF(B17="FU-ACInstall",VLOOKUP(VALUE('web survey'!D15),ref!$B$6:$C$7,2,0)&amp;" ("&amp;'web survey'!D15&amp;")",VLOOKUP(VALUE('web survey'!D15),ref!$E$6:$F$10,2,0)&amp;" ("&amp;'web survey'!D15&amp;")")</f>
        <v>Good (10)</v>
      </c>
      <c r="E17" s="32" t="str">
        <f>'web survey'!S15</f>
        <v/>
      </c>
      <c r="F17" s="30" t="str">
        <f>IF(B17="FU-ACInstall",VLOOKUP(VALUE('web survey'!E15),ref!$B$10:$C$12,2,0)&amp;" ("&amp;'web survey'!E15&amp;")",VLOOKUP(VALUE('web survey'!E15),ref!$E$13:$F$17,2,0)&amp;" ("&amp;'web survey'!E15&amp;")")</f>
        <v>Very Good (10)</v>
      </c>
      <c r="G17" s="32" t="str">
        <f>'web survey'!T15</f>
        <v/>
      </c>
      <c r="H17" s="30" t="str">
        <f>IF(B17="FU-ACInstall",VLOOKUP(VALUE('web survey'!F15),ref!$B$15:$C$17,2,0)&amp;" ("&amp;'web survey'!F15&amp;")",VLOOKUP(VALUE('web survey'!F15),ref!$E$20:$F$21,2,0)&amp;" ("&amp;'web survey'!F15&amp;")")</f>
        <v>Appropriate with SAP / in Warranty (10)</v>
      </c>
      <c r="I17" s="32" t="str">
        <f>'web survey'!U15</f>
        <v/>
      </c>
      <c r="J17" s="30" t="str">
        <f>IF(B17="FU-ACInstall","-",VLOOKUP(VALUE('web survey'!G15),ref!$E$24:$F$26,2,0)&amp;" ("&amp;'web survey'!G15&amp;")")</f>
        <v>Jelas (5)</v>
      </c>
      <c r="K17" s="28" t="str">
        <f>YEAR('web survey'!Z15)&amp;"-"&amp;IF(MONTH('web survey'!Z15)&lt;10,"0"&amp;MONTH('web survey'!Z15),MONTH('web survey'!Z15))&amp;"-"&amp;IF(DAY('web survey'!Z15)&lt;10,"0"&amp;DAY('web survey'!Z15),DAY('web survey'!Z15))&amp;" "&amp;IF(HOUR('web survey'!Z15)&lt;10,"0"&amp;HOUR('web survey'!Z15),HOUR('web survey'!Z15))&amp;":"&amp;IF(MINUTE('web survey'!Z15)&lt;10,"0"&amp;MINUTE('web survey'!Z15),MINUTE('web survey'!Z15))&amp;(":00'")</f>
        <v>2026-06-15 09:58:00'</v>
      </c>
      <c r="N17" s="37">
        <v>14</v>
      </c>
      <c r="O17" s="37" t="s">
        <v>27</v>
      </c>
      <c r="P17" s="38" t="s">
        <v>52</v>
      </c>
      <c r="Q17" s="43" t="s">
        <v>18</v>
      </c>
      <c r="R17" s="44" t="s">
        <v>17</v>
      </c>
      <c r="S17" s="43" t="s">
        <v>37</v>
      </c>
      <c r="T17" s="44" t="s">
        <v>17</v>
      </c>
      <c r="U17" s="43" t="s">
        <v>30</v>
      </c>
      <c r="V17" s="44" t="s">
        <v>17</v>
      </c>
      <c r="W17" s="43" t="s">
        <v>34</v>
      </c>
      <c r="X17" s="37" t="s">
        <v>53</v>
      </c>
    </row>
    <row r="18" ht="28.2" customHeight="1" spans="1:24">
      <c r="A18" s="28">
        <f>IF(B18="","",ROW()-COUNTBLANK($B$4:B18)-3)</f>
        <v>15</v>
      </c>
      <c r="B18" s="28" t="str">
        <f>'web survey'!C16</f>
        <v>FU-Z1-Eng</v>
      </c>
      <c r="C18" s="29" t="str">
        <f>'web survey'!AA16</f>
        <v>204467113</v>
      </c>
      <c r="D18" s="30" t="str">
        <f>IF(B18="FU-ACInstall",VLOOKUP(VALUE('web survey'!D16),ref!$B$6:$C$7,2,0)&amp;" ("&amp;'web survey'!D16&amp;")",VLOOKUP(VALUE('web survey'!D16),ref!$E$6:$F$10,2,0)&amp;" ("&amp;'web survey'!D16&amp;")")</f>
        <v>Good (10)</v>
      </c>
      <c r="E18" s="32" t="str">
        <f>'web survey'!S16</f>
        <v/>
      </c>
      <c r="F18" s="30" t="str">
        <f>IF(B18="FU-ACInstall",VLOOKUP(VALUE('web survey'!E16),ref!$B$10:$C$12,2,0)&amp;" ("&amp;'web survey'!E16&amp;")",VLOOKUP(VALUE('web survey'!E16),ref!$E$13:$F$17,2,0)&amp;" ("&amp;'web survey'!E16&amp;")")</f>
        <v>Very Good (10)</v>
      </c>
      <c r="G18" s="32" t="str">
        <f>'web survey'!T16</f>
        <v/>
      </c>
      <c r="H18" s="30" t="str">
        <f>IF(B18="FU-ACInstall",VLOOKUP(VALUE('web survey'!F16),ref!$B$15:$C$17,2,0)&amp;" ("&amp;'web survey'!F16&amp;")",VLOOKUP(VALUE('web survey'!F16),ref!$E$20:$F$21,2,0)&amp;" ("&amp;'web survey'!F16&amp;")")</f>
        <v>Appropriate with SAP / in Warranty (10)</v>
      </c>
      <c r="I18" s="32" t="str">
        <f>'web survey'!U16</f>
        <v/>
      </c>
      <c r="J18" s="30" t="str">
        <f>IF(B18="FU-ACInstall","-",VLOOKUP(VALUE('web survey'!G16),ref!$E$24:$F$26,2,0)&amp;" ("&amp;'web survey'!G16&amp;")")</f>
        <v>Jelas (5)</v>
      </c>
      <c r="K18" s="28" t="str">
        <f>YEAR('web survey'!Z16)&amp;"-"&amp;IF(MONTH('web survey'!Z16)&lt;10,"0"&amp;MONTH('web survey'!Z16),MONTH('web survey'!Z16))&amp;"-"&amp;IF(DAY('web survey'!Z16)&lt;10,"0"&amp;DAY('web survey'!Z16),DAY('web survey'!Z16))&amp;" "&amp;IF(HOUR('web survey'!Z16)&lt;10,"0"&amp;HOUR('web survey'!Z16),HOUR('web survey'!Z16))&amp;":"&amp;IF(MINUTE('web survey'!Z16)&lt;10,"0"&amp;MINUTE('web survey'!Z16),MINUTE('web survey'!Z16))&amp;(":00'")</f>
        <v>2026-06-15 06:56:00'</v>
      </c>
      <c r="N18" s="37">
        <v>15</v>
      </c>
      <c r="O18" s="37" t="s">
        <v>27</v>
      </c>
      <c r="P18" s="38" t="s">
        <v>54</v>
      </c>
      <c r="Q18" s="43" t="s">
        <v>18</v>
      </c>
      <c r="R18" s="44" t="s">
        <v>17</v>
      </c>
      <c r="S18" s="43" t="s">
        <v>37</v>
      </c>
      <c r="T18" s="44" t="s">
        <v>17</v>
      </c>
      <c r="U18" s="43" t="s">
        <v>30</v>
      </c>
      <c r="V18" s="44" t="s">
        <v>17</v>
      </c>
      <c r="W18" s="43" t="s">
        <v>34</v>
      </c>
      <c r="X18" s="37" t="s">
        <v>55</v>
      </c>
    </row>
    <row r="19" ht="28.2" customHeight="1" spans="1:24">
      <c r="A19" s="28">
        <f>IF(B19="","",ROW()-COUNTBLANK($B$4:B19)-3)</f>
        <v>16</v>
      </c>
      <c r="B19" s="28" t="str">
        <f>'web survey'!C17</f>
        <v>FU-Z1-Eng</v>
      </c>
      <c r="C19" s="29" t="str">
        <f>'web survey'!AA17</f>
        <v>204462496</v>
      </c>
      <c r="D19" s="30" t="str">
        <f>IF(B19="FU-ACInstall",VLOOKUP(VALUE('web survey'!D17),ref!$B$6:$C$7,2,0)&amp;" ("&amp;'web survey'!D17&amp;")",VLOOKUP(VALUE('web survey'!D17),ref!$E$6:$F$10,2,0)&amp;" ("&amp;'web survey'!D17&amp;")")</f>
        <v>Not Good (-10)</v>
      </c>
      <c r="E19" s="32" t="str">
        <f>'web survey'!S17</f>
        <v/>
      </c>
      <c r="F19" s="30" t="str">
        <f>IF(B19="FU-ACInstall",VLOOKUP(VALUE('web survey'!E17),ref!$B$10:$C$12,2,0)&amp;" ("&amp;'web survey'!E17&amp;")",VLOOKUP(VALUE('web survey'!E17),ref!$E$13:$F$17,2,0)&amp;" ("&amp;'web survey'!E17&amp;")")</f>
        <v>Good (5)</v>
      </c>
      <c r="G19" s="32" t="str">
        <f>'web survey'!T17</f>
        <v/>
      </c>
      <c r="H19" s="30" t="str">
        <f>IF(B19="FU-ACInstall",VLOOKUP(VALUE('web survey'!F17),ref!$B$15:$C$17,2,0)&amp;" ("&amp;'web survey'!F17&amp;")",VLOOKUP(VALUE('web survey'!F17),ref!$E$20:$F$21,2,0)&amp;" ("&amp;'web survey'!F17&amp;")")</f>
        <v>Appropriate with SAP / in Warranty (10)</v>
      </c>
      <c r="I19" s="32" t="str">
        <f>'web survey'!U17</f>
        <v/>
      </c>
      <c r="J19" s="30" t="str">
        <f>IF(B19="FU-ACInstall","-",VLOOKUP(VALUE('web survey'!G17),ref!$E$24:$F$26,2,0)&amp;" ("&amp;'web survey'!G17&amp;")")</f>
        <v>Jelas (5)</v>
      </c>
      <c r="K19" s="28" t="str">
        <f>YEAR('web survey'!Z17)&amp;"-"&amp;IF(MONTH('web survey'!Z17)&lt;10,"0"&amp;MONTH('web survey'!Z17),MONTH('web survey'!Z17))&amp;"-"&amp;IF(DAY('web survey'!Z17)&lt;10,"0"&amp;DAY('web survey'!Z17),DAY('web survey'!Z17))&amp;" "&amp;IF(HOUR('web survey'!Z17)&lt;10,"0"&amp;HOUR('web survey'!Z17),HOUR('web survey'!Z17))&amp;":"&amp;IF(MINUTE('web survey'!Z17)&lt;10,"0"&amp;MINUTE('web survey'!Z17),MINUTE('web survey'!Z17))&amp;(":00'")</f>
        <v>2026-06-14 21:24:00'</v>
      </c>
      <c r="N19" s="37">
        <v>16</v>
      </c>
      <c r="O19" s="37" t="s">
        <v>27</v>
      </c>
      <c r="P19" s="38" t="s">
        <v>56</v>
      </c>
      <c r="Q19" s="43" t="s">
        <v>33</v>
      </c>
      <c r="R19" s="44" t="s">
        <v>17</v>
      </c>
      <c r="S19" s="43" t="s">
        <v>29</v>
      </c>
      <c r="T19" s="44" t="s">
        <v>17</v>
      </c>
      <c r="U19" s="43" t="s">
        <v>30</v>
      </c>
      <c r="V19" s="44" t="s">
        <v>17</v>
      </c>
      <c r="W19" s="43" t="s">
        <v>34</v>
      </c>
      <c r="X19" s="37" t="s">
        <v>57</v>
      </c>
    </row>
    <row r="20" ht="28.2" customHeight="1" spans="1:24">
      <c r="A20" s="28">
        <f>IF(B20="","",ROW()-COUNTBLANK($B$4:B20)-3)</f>
        <v>17</v>
      </c>
      <c r="B20" s="28" t="str">
        <f>'web survey'!C18</f>
        <v>FU-Z1-Eng</v>
      </c>
      <c r="C20" s="29" t="str">
        <f>'web survey'!AA18</f>
        <v>204474549</v>
      </c>
      <c r="D20" s="30" t="str">
        <f>IF(B20="FU-ACInstall",VLOOKUP(VALUE('web survey'!D18),ref!$B$6:$C$7,2,0)&amp;" ("&amp;'web survey'!D18&amp;")",VLOOKUP(VALUE('web survey'!D18),ref!$E$6:$F$10,2,0)&amp;" ("&amp;'web survey'!D18&amp;")")</f>
        <v>Good (10)</v>
      </c>
      <c r="E20" s="32" t="str">
        <f>'web survey'!S18</f>
        <v/>
      </c>
      <c r="F20" s="30" t="str">
        <f>IF(B20="FU-ACInstall",VLOOKUP(VALUE('web survey'!E18),ref!$B$10:$C$12,2,0)&amp;" ("&amp;'web survey'!E18&amp;")",VLOOKUP(VALUE('web survey'!E18),ref!$E$13:$F$17,2,0)&amp;" ("&amp;'web survey'!E18&amp;")")</f>
        <v>Very Good (10)</v>
      </c>
      <c r="G20" s="32" t="str">
        <f>'web survey'!T18</f>
        <v/>
      </c>
      <c r="H20" s="30" t="str">
        <f>IF(B20="FU-ACInstall",VLOOKUP(VALUE('web survey'!F18),ref!$B$15:$C$17,2,0)&amp;" ("&amp;'web survey'!F18&amp;")",VLOOKUP(VALUE('web survey'!F18),ref!$E$20:$F$21,2,0)&amp;" ("&amp;'web survey'!F18&amp;")")</f>
        <v>Appropriate with SAP / in Warranty (10)</v>
      </c>
      <c r="I20" s="32" t="str">
        <f>'web survey'!U18</f>
        <v/>
      </c>
      <c r="J20" s="30" t="str">
        <f>IF(B20="FU-ACInstall","-",VLOOKUP(VALUE('web survey'!G18),ref!$E$24:$F$26,2,0)&amp;" ("&amp;'web survey'!G18&amp;")")</f>
        <v>Jelas (5)</v>
      </c>
      <c r="K20" s="28" t="str">
        <f>YEAR('web survey'!Z18)&amp;"-"&amp;IF(MONTH('web survey'!Z18)&lt;10,"0"&amp;MONTH('web survey'!Z18),MONTH('web survey'!Z18))&amp;"-"&amp;IF(DAY('web survey'!Z18)&lt;10,"0"&amp;DAY('web survey'!Z18),DAY('web survey'!Z18))&amp;" "&amp;IF(HOUR('web survey'!Z18)&lt;10,"0"&amp;HOUR('web survey'!Z18),HOUR('web survey'!Z18))&amp;":"&amp;IF(MINUTE('web survey'!Z18)&lt;10,"0"&amp;MINUTE('web survey'!Z18),MINUTE('web survey'!Z18))&amp;(":00'")</f>
        <v>2026-06-14 20:56:00'</v>
      </c>
      <c r="N20" s="37">
        <v>17</v>
      </c>
      <c r="O20" s="37" t="s">
        <v>27</v>
      </c>
      <c r="P20" s="38" t="s">
        <v>58</v>
      </c>
      <c r="Q20" s="43" t="s">
        <v>18</v>
      </c>
      <c r="R20" s="44" t="s">
        <v>17</v>
      </c>
      <c r="S20" s="43" t="s">
        <v>37</v>
      </c>
      <c r="T20" s="44" t="s">
        <v>17</v>
      </c>
      <c r="U20" s="43" t="s">
        <v>30</v>
      </c>
      <c r="V20" s="44" t="s">
        <v>17</v>
      </c>
      <c r="W20" s="43" t="s">
        <v>34</v>
      </c>
      <c r="X20" s="37" t="s">
        <v>59</v>
      </c>
    </row>
    <row r="21" ht="28.2" customHeight="1" spans="1:24">
      <c r="A21" s="28">
        <f>IF(B21="","",ROW()-COUNTBLANK($B$4:B21)-3)</f>
        <v>18</v>
      </c>
      <c r="B21" s="28" t="str">
        <f>'web survey'!C19</f>
        <v>FU-Z1-Eng</v>
      </c>
      <c r="C21" s="29" t="str">
        <f>'web survey'!AA19</f>
        <v>204475658</v>
      </c>
      <c r="D21" s="30" t="str">
        <f>IF(B21="FU-ACInstall",VLOOKUP(VALUE('web survey'!D19),ref!$B$6:$C$7,2,0)&amp;" ("&amp;'web survey'!D19&amp;")",VLOOKUP(VALUE('web survey'!D19),ref!$E$6:$F$10,2,0)&amp;" ("&amp;'web survey'!D19&amp;")")</f>
        <v>Good (10)</v>
      </c>
      <c r="E21" s="32" t="str">
        <f>'web survey'!S19</f>
        <v/>
      </c>
      <c r="F21" s="30" t="str">
        <f>IF(B21="FU-ACInstall",VLOOKUP(VALUE('web survey'!E19),ref!$B$10:$C$12,2,0)&amp;" ("&amp;'web survey'!E19&amp;")",VLOOKUP(VALUE('web survey'!E19),ref!$E$13:$F$17,2,0)&amp;" ("&amp;'web survey'!E19&amp;")")</f>
        <v>Very Good (10)</v>
      </c>
      <c r="G21" s="32" t="str">
        <f>'web survey'!T19</f>
        <v/>
      </c>
      <c r="H21" s="30" t="str">
        <f>IF(B21="FU-ACInstall",VLOOKUP(VALUE('web survey'!F19),ref!$B$15:$C$17,2,0)&amp;" ("&amp;'web survey'!F19&amp;")",VLOOKUP(VALUE('web survey'!F19),ref!$E$20:$F$21,2,0)&amp;" ("&amp;'web survey'!F19&amp;")")</f>
        <v>Appropriate with SAP / in Warranty (10)</v>
      </c>
      <c r="I21" s="32" t="str">
        <f>'web survey'!U19</f>
        <v/>
      </c>
      <c r="J21" s="30" t="str">
        <f>IF(B21="FU-ACInstall","-",VLOOKUP(VALUE('web survey'!G19),ref!$E$24:$F$26,2,0)&amp;" ("&amp;'web survey'!G19&amp;")")</f>
        <v>Jelas (5)</v>
      </c>
      <c r="K21" s="28" t="str">
        <f>YEAR('web survey'!Z19)&amp;"-"&amp;IF(MONTH('web survey'!Z19)&lt;10,"0"&amp;MONTH('web survey'!Z19),MONTH('web survey'!Z19))&amp;"-"&amp;IF(DAY('web survey'!Z19)&lt;10,"0"&amp;DAY('web survey'!Z19),DAY('web survey'!Z19))&amp;" "&amp;IF(HOUR('web survey'!Z19)&lt;10,"0"&amp;HOUR('web survey'!Z19),HOUR('web survey'!Z19))&amp;":"&amp;IF(MINUTE('web survey'!Z19)&lt;10,"0"&amp;MINUTE('web survey'!Z19),MINUTE('web survey'!Z19))&amp;(":00'")</f>
        <v>2026-06-14 20:31:00'</v>
      </c>
      <c r="N21" s="37">
        <v>18</v>
      </c>
      <c r="O21" s="37" t="s">
        <v>27</v>
      </c>
      <c r="P21" s="38" t="s">
        <v>60</v>
      </c>
      <c r="Q21" s="43" t="s">
        <v>18</v>
      </c>
      <c r="R21" s="44" t="s">
        <v>17</v>
      </c>
      <c r="S21" s="43" t="s">
        <v>37</v>
      </c>
      <c r="T21" s="44" t="s">
        <v>17</v>
      </c>
      <c r="U21" s="43" t="s">
        <v>30</v>
      </c>
      <c r="V21" s="44" t="s">
        <v>17</v>
      </c>
      <c r="W21" s="43" t="s">
        <v>34</v>
      </c>
      <c r="X21" s="37" t="s">
        <v>61</v>
      </c>
    </row>
    <row r="22" ht="28.2" customHeight="1" spans="1:24">
      <c r="A22" s="28">
        <f>IF(B22="","",ROW()-COUNTBLANK($B$4:B22)-3)</f>
        <v>19</v>
      </c>
      <c r="B22" s="28" t="str">
        <f>'web survey'!C20</f>
        <v>FU-Z1-Eng</v>
      </c>
      <c r="C22" s="29" t="str">
        <f>'web survey'!AA20</f>
        <v>100986986</v>
      </c>
      <c r="D22" s="30" t="str">
        <f>IF(B22="FU-ACInstall",VLOOKUP(VALUE('web survey'!D20),ref!$B$6:$C$7,2,0)&amp;" ("&amp;'web survey'!D20&amp;")",VLOOKUP(VALUE('web survey'!D20),ref!$E$6:$F$10,2,0)&amp;" ("&amp;'web survey'!D20&amp;")")</f>
        <v>Not Good (-10)</v>
      </c>
      <c r="E22" s="32" t="str">
        <f>'web survey'!S20</f>
        <v/>
      </c>
      <c r="F22" s="30" t="str">
        <f>IF(B22="FU-ACInstall",VLOOKUP(VALUE('web survey'!E20),ref!$B$10:$C$12,2,0)&amp;" ("&amp;'web survey'!E20&amp;")",VLOOKUP(VALUE('web survey'!E20),ref!$E$13:$F$17,2,0)&amp;" ("&amp;'web survey'!E20&amp;")")</f>
        <v>Good (5)</v>
      </c>
      <c r="G22" s="32" t="str">
        <f>'web survey'!T20</f>
        <v/>
      </c>
      <c r="H22" s="30" t="str">
        <f>IF(B22="FU-ACInstall",VLOOKUP(VALUE('web survey'!F20),ref!$B$15:$C$17,2,0)&amp;" ("&amp;'web survey'!F20&amp;")",VLOOKUP(VALUE('web survey'!F20),ref!$E$20:$F$21,2,0)&amp;" ("&amp;'web survey'!F20&amp;")")</f>
        <v>Appropriate with SAP / in Warranty (10)</v>
      </c>
      <c r="I22" s="32" t="str">
        <f>'web survey'!U20</f>
        <v/>
      </c>
      <c r="J22" s="30" t="str">
        <f>IF(B22="FU-ACInstall","-",VLOOKUP(VALUE('web survey'!G20),ref!$E$24:$F$26,2,0)&amp;" ("&amp;'web survey'!G20&amp;")")</f>
        <v>Jelas (5)</v>
      </c>
      <c r="K22" s="28" t="str">
        <f>YEAR('web survey'!Z20)&amp;"-"&amp;IF(MONTH('web survey'!Z20)&lt;10,"0"&amp;MONTH('web survey'!Z20),MONTH('web survey'!Z20))&amp;"-"&amp;IF(DAY('web survey'!Z20)&lt;10,"0"&amp;DAY('web survey'!Z20),DAY('web survey'!Z20))&amp;" "&amp;IF(HOUR('web survey'!Z20)&lt;10,"0"&amp;HOUR('web survey'!Z20),HOUR('web survey'!Z20))&amp;":"&amp;IF(MINUTE('web survey'!Z20)&lt;10,"0"&amp;MINUTE('web survey'!Z20),MINUTE('web survey'!Z20))&amp;(":00'")</f>
        <v>2026-06-14 20:03:00'</v>
      </c>
      <c r="N22" s="37">
        <v>19</v>
      </c>
      <c r="O22" s="37" t="s">
        <v>27</v>
      </c>
      <c r="P22" s="38" t="s">
        <v>62</v>
      </c>
      <c r="Q22" s="43" t="s">
        <v>33</v>
      </c>
      <c r="R22" s="44" t="s">
        <v>17</v>
      </c>
      <c r="S22" s="43" t="s">
        <v>29</v>
      </c>
      <c r="T22" s="44" t="s">
        <v>17</v>
      </c>
      <c r="U22" s="43" t="s">
        <v>30</v>
      </c>
      <c r="V22" s="44" t="s">
        <v>17</v>
      </c>
      <c r="W22" s="43" t="s">
        <v>34</v>
      </c>
      <c r="X22" s="37" t="s">
        <v>63</v>
      </c>
    </row>
    <row r="23" ht="28.2" customHeight="1" spans="1:24">
      <c r="A23" s="28">
        <f>IF(B23="","",ROW()-COUNTBLANK($B$4:B23)-3)</f>
        <v>20</v>
      </c>
      <c r="B23" s="28" t="str">
        <f>'web survey'!C21</f>
        <v>FU-Z1-Eng</v>
      </c>
      <c r="C23" s="29" t="str">
        <f>'web survey'!AA21</f>
        <v>204469290</v>
      </c>
      <c r="D23" s="30" t="str">
        <f>IF(B23="FU-ACInstall",VLOOKUP(VALUE('web survey'!D21),ref!$B$6:$C$7,2,0)&amp;" ("&amp;'web survey'!D21&amp;")",VLOOKUP(VALUE('web survey'!D21),ref!$E$6:$F$10,2,0)&amp;" ("&amp;'web survey'!D21&amp;")")</f>
        <v>Good (10)</v>
      </c>
      <c r="E23" s="32" t="str">
        <f>'web survey'!S21</f>
        <v/>
      </c>
      <c r="F23" s="30" t="str">
        <f>IF(B23="FU-ACInstall",VLOOKUP(VALUE('web survey'!E21),ref!$B$10:$C$12,2,0)&amp;" ("&amp;'web survey'!E21&amp;")",VLOOKUP(VALUE('web survey'!E21),ref!$E$13:$F$17,2,0)&amp;" ("&amp;'web survey'!E21&amp;")")</f>
        <v>Good (5)</v>
      </c>
      <c r="G23" s="32" t="str">
        <f>'web survey'!T21</f>
        <v/>
      </c>
      <c r="H23" s="30" t="str">
        <f>IF(B23="FU-ACInstall",VLOOKUP(VALUE('web survey'!F21),ref!$B$15:$C$17,2,0)&amp;" ("&amp;'web survey'!F21&amp;")",VLOOKUP(VALUE('web survey'!F21),ref!$E$20:$F$21,2,0)&amp;" ("&amp;'web survey'!F21&amp;")")</f>
        <v>Appropriate with SAP / in Warranty (10)</v>
      </c>
      <c r="I23" s="32" t="str">
        <f>'web survey'!U21</f>
        <v/>
      </c>
      <c r="J23" s="30" t="str">
        <f>IF(B23="FU-ACInstall","-",VLOOKUP(VALUE('web survey'!G21),ref!$E$24:$F$26,2,0)&amp;" ("&amp;'web survey'!G21&amp;")")</f>
        <v>Tidak ada penjelasan (-5)</v>
      </c>
      <c r="K23" s="28" t="str">
        <f>YEAR('web survey'!Z21)&amp;"-"&amp;IF(MONTH('web survey'!Z21)&lt;10,"0"&amp;MONTH('web survey'!Z21),MONTH('web survey'!Z21))&amp;"-"&amp;IF(DAY('web survey'!Z21)&lt;10,"0"&amp;DAY('web survey'!Z21),DAY('web survey'!Z21))&amp;" "&amp;IF(HOUR('web survey'!Z21)&lt;10,"0"&amp;HOUR('web survey'!Z21),HOUR('web survey'!Z21))&amp;":"&amp;IF(MINUTE('web survey'!Z21)&lt;10,"0"&amp;MINUTE('web survey'!Z21),MINUTE('web survey'!Z21))&amp;(":00'")</f>
        <v>2026-06-14 18:34:00'</v>
      </c>
      <c r="N23" s="37">
        <v>20</v>
      </c>
      <c r="O23" s="37" t="s">
        <v>27</v>
      </c>
      <c r="P23" s="38" t="s">
        <v>64</v>
      </c>
      <c r="Q23" s="43" t="s">
        <v>18</v>
      </c>
      <c r="R23" s="44" t="s">
        <v>17</v>
      </c>
      <c r="S23" s="43" t="s">
        <v>29</v>
      </c>
      <c r="T23" s="44" t="s">
        <v>17</v>
      </c>
      <c r="U23" s="43" t="s">
        <v>30</v>
      </c>
      <c r="V23" s="44" t="s">
        <v>17</v>
      </c>
      <c r="W23" s="43" t="s">
        <v>50</v>
      </c>
      <c r="X23" s="37" t="s">
        <v>65</v>
      </c>
    </row>
    <row r="24" ht="28.2" customHeight="1" spans="1:24">
      <c r="A24" s="28">
        <f>IF(B24="","",ROW()-COUNTBLANK($B$4:B24)-3)</f>
        <v>21</v>
      </c>
      <c r="B24" s="28" t="str">
        <f>'web survey'!C22</f>
        <v>FU-Z1-Eng</v>
      </c>
      <c r="C24" s="29" t="str">
        <f>'web survey'!AA22</f>
        <v>204472872</v>
      </c>
      <c r="D24" s="30" t="str">
        <f>IF(B24="FU-ACInstall",VLOOKUP(VALUE('web survey'!D22),ref!$B$6:$C$7,2,0)&amp;" ("&amp;'web survey'!D22&amp;")",VLOOKUP(VALUE('web survey'!D22),ref!$E$6:$F$10,2,0)&amp;" ("&amp;'web survey'!D22&amp;")")</f>
        <v>Good (10)</v>
      </c>
      <c r="E24" s="32" t="str">
        <f>'web survey'!S22</f>
        <v/>
      </c>
      <c r="F24" s="30" t="str">
        <f>IF(B24="FU-ACInstall",VLOOKUP(VALUE('web survey'!E22),ref!$B$10:$C$12,2,0)&amp;" ("&amp;'web survey'!E22&amp;")",VLOOKUP(VALUE('web survey'!E22),ref!$E$13:$F$17,2,0)&amp;" ("&amp;'web survey'!E22&amp;")")</f>
        <v>Very Good (10)</v>
      </c>
      <c r="G24" s="32" t="str">
        <f>'web survey'!T22</f>
        <v/>
      </c>
      <c r="H24" s="30" t="str">
        <f>IF(B24="FU-ACInstall",VLOOKUP(VALUE('web survey'!F22),ref!$B$15:$C$17,2,0)&amp;" ("&amp;'web survey'!F22&amp;")",VLOOKUP(VALUE('web survey'!F22),ref!$E$20:$F$21,2,0)&amp;" ("&amp;'web survey'!F22&amp;")")</f>
        <v>Appropriate with SAP / in Warranty (10)</v>
      </c>
      <c r="I24" s="32" t="str">
        <f>'web survey'!U22</f>
        <v/>
      </c>
      <c r="J24" s="30" t="str">
        <f>IF(B24="FU-ACInstall","-",VLOOKUP(VALUE('web survey'!G22),ref!$E$24:$F$26,2,0)&amp;" ("&amp;'web survey'!G22&amp;")")</f>
        <v>Jelas (5)</v>
      </c>
      <c r="K24" s="28" t="str">
        <f>YEAR('web survey'!Z22)&amp;"-"&amp;IF(MONTH('web survey'!Z22)&lt;10,"0"&amp;MONTH('web survey'!Z22),MONTH('web survey'!Z22))&amp;"-"&amp;IF(DAY('web survey'!Z22)&lt;10,"0"&amp;DAY('web survey'!Z22),DAY('web survey'!Z22))&amp;" "&amp;IF(HOUR('web survey'!Z22)&lt;10,"0"&amp;HOUR('web survey'!Z22),HOUR('web survey'!Z22))&amp;":"&amp;IF(MINUTE('web survey'!Z22)&lt;10,"0"&amp;MINUTE('web survey'!Z22),MINUTE('web survey'!Z22))&amp;(":00'")</f>
        <v>2026-06-14 18:09:00'</v>
      </c>
      <c r="N24" s="37">
        <v>21</v>
      </c>
      <c r="O24" s="37" t="s">
        <v>27</v>
      </c>
      <c r="P24" s="38" t="s">
        <v>66</v>
      </c>
      <c r="Q24" s="43" t="s">
        <v>18</v>
      </c>
      <c r="R24" s="44" t="s">
        <v>17</v>
      </c>
      <c r="S24" s="43" t="s">
        <v>37</v>
      </c>
      <c r="T24" s="44" t="s">
        <v>17</v>
      </c>
      <c r="U24" s="43" t="s">
        <v>30</v>
      </c>
      <c r="V24" s="44" t="s">
        <v>17</v>
      </c>
      <c r="W24" s="43" t="s">
        <v>34</v>
      </c>
      <c r="X24" s="37" t="s">
        <v>67</v>
      </c>
    </row>
    <row r="25" ht="28.2" customHeight="1" spans="1:24">
      <c r="A25" s="28">
        <f>IF(B25="","",ROW()-COUNTBLANK($B$4:B25)-3)</f>
        <v>22</v>
      </c>
      <c r="B25" s="28" t="str">
        <f>'web survey'!C23</f>
        <v>FU-Z1-Eng</v>
      </c>
      <c r="C25" s="29" t="str">
        <f>'web survey'!AA23</f>
        <v>204473377</v>
      </c>
      <c r="D25" s="30" t="str">
        <f>IF(B25="FU-ACInstall",VLOOKUP(VALUE('web survey'!D23),ref!$B$6:$C$7,2,0)&amp;" ("&amp;'web survey'!D23&amp;")",VLOOKUP(VALUE('web survey'!D23),ref!$E$6:$F$10,2,0)&amp;" ("&amp;'web survey'!D23&amp;")")</f>
        <v>Good (10)</v>
      </c>
      <c r="E25" s="32" t="str">
        <f>'web survey'!S23</f>
        <v/>
      </c>
      <c r="F25" s="30" t="str">
        <f>IF(B25="FU-ACInstall",VLOOKUP(VALUE('web survey'!E23),ref!$B$10:$C$12,2,0)&amp;" ("&amp;'web survey'!E23&amp;")",VLOOKUP(VALUE('web survey'!E23),ref!$E$13:$F$17,2,0)&amp;" ("&amp;'web survey'!E23&amp;")")</f>
        <v>Very Good (10)</v>
      </c>
      <c r="G25" s="32" t="str">
        <f>'web survey'!T23</f>
        <v/>
      </c>
      <c r="H25" s="30" t="str">
        <f>IF(B25="FU-ACInstall",VLOOKUP(VALUE('web survey'!F23),ref!$B$15:$C$17,2,0)&amp;" ("&amp;'web survey'!F23&amp;")",VLOOKUP(VALUE('web survey'!F23),ref!$E$20:$F$21,2,0)&amp;" ("&amp;'web survey'!F23&amp;")")</f>
        <v>Appropriate with SAP / in Warranty (10)</v>
      </c>
      <c r="I25" s="32" t="str">
        <f>'web survey'!U23</f>
        <v/>
      </c>
      <c r="J25" s="30" t="str">
        <f>IF(B25="FU-ACInstall","-",VLOOKUP(VALUE('web survey'!G23),ref!$E$24:$F$26,2,0)&amp;" ("&amp;'web survey'!G23&amp;")")</f>
        <v>Jelas (5)</v>
      </c>
      <c r="K25" s="28" t="str">
        <f>YEAR('web survey'!Z23)&amp;"-"&amp;IF(MONTH('web survey'!Z23)&lt;10,"0"&amp;MONTH('web survey'!Z23),MONTH('web survey'!Z23))&amp;"-"&amp;IF(DAY('web survey'!Z23)&lt;10,"0"&amp;DAY('web survey'!Z23),DAY('web survey'!Z23))&amp;" "&amp;IF(HOUR('web survey'!Z23)&lt;10,"0"&amp;HOUR('web survey'!Z23),HOUR('web survey'!Z23))&amp;":"&amp;IF(MINUTE('web survey'!Z23)&lt;10,"0"&amp;MINUTE('web survey'!Z23),MINUTE('web survey'!Z23))&amp;(":00'")</f>
        <v>2026-06-14 17:43:00'</v>
      </c>
      <c r="N25" s="37">
        <v>22</v>
      </c>
      <c r="O25" s="37" t="s">
        <v>27</v>
      </c>
      <c r="P25" s="38" t="s">
        <v>68</v>
      </c>
      <c r="Q25" s="43" t="s">
        <v>18</v>
      </c>
      <c r="R25" s="44" t="s">
        <v>17</v>
      </c>
      <c r="S25" s="43" t="s">
        <v>37</v>
      </c>
      <c r="T25" s="44" t="s">
        <v>17</v>
      </c>
      <c r="U25" s="43" t="s">
        <v>30</v>
      </c>
      <c r="V25" s="44" t="s">
        <v>17</v>
      </c>
      <c r="W25" s="43" t="s">
        <v>34</v>
      </c>
      <c r="X25" s="37" t="s">
        <v>69</v>
      </c>
    </row>
    <row r="26" ht="28.2" customHeight="1" spans="1:24">
      <c r="A26" s="28">
        <f>IF(B26="","",ROW()-COUNTBLANK($B$4:B26)-3)</f>
        <v>23</v>
      </c>
      <c r="B26" s="28" t="str">
        <f>'web survey'!C24</f>
        <v>FU-Z1-Eng</v>
      </c>
      <c r="C26" s="29" t="str">
        <f>'web survey'!AA24</f>
        <v>204462975</v>
      </c>
      <c r="D26" s="30" t="str">
        <f>IF(B26="FU-ACInstall",VLOOKUP(VALUE('web survey'!D24),ref!$B$6:$C$7,2,0)&amp;" ("&amp;'web survey'!D24&amp;")",VLOOKUP(VALUE('web survey'!D24),ref!$E$6:$F$10,2,0)&amp;" ("&amp;'web survey'!D24&amp;")")</f>
        <v>Good (10)</v>
      </c>
      <c r="E26" s="32" t="str">
        <f>'web survey'!S24</f>
        <v/>
      </c>
      <c r="F26" s="30" t="str">
        <f>IF(B26="FU-ACInstall",VLOOKUP(VALUE('web survey'!E24),ref!$B$10:$C$12,2,0)&amp;" ("&amp;'web survey'!E24&amp;")",VLOOKUP(VALUE('web survey'!E24),ref!$E$13:$F$17,2,0)&amp;" ("&amp;'web survey'!E24&amp;")")</f>
        <v>Good (5)</v>
      </c>
      <c r="G26" s="32" t="str">
        <f>'web survey'!T24</f>
        <v/>
      </c>
      <c r="H26" s="30" t="str">
        <f>IF(B26="FU-ACInstall",VLOOKUP(VALUE('web survey'!F24),ref!$B$15:$C$17,2,0)&amp;" ("&amp;'web survey'!F24&amp;")",VLOOKUP(VALUE('web survey'!F24),ref!$E$20:$F$21,2,0)&amp;" ("&amp;'web survey'!F24&amp;")")</f>
        <v>Appropriate with SAP / in Warranty (10)</v>
      </c>
      <c r="I26" s="32" t="str">
        <f>'web survey'!U24</f>
        <v/>
      </c>
      <c r="J26" s="30" t="str">
        <f>IF(B26="FU-ACInstall","-",VLOOKUP(VALUE('web survey'!G24),ref!$E$24:$F$26,2,0)&amp;" ("&amp;'web survey'!G24&amp;")")</f>
        <v>Jelas (5)</v>
      </c>
      <c r="K26" s="28" t="str">
        <f>YEAR('web survey'!Z24)&amp;"-"&amp;IF(MONTH('web survey'!Z24)&lt;10,"0"&amp;MONTH('web survey'!Z24),MONTH('web survey'!Z24))&amp;"-"&amp;IF(DAY('web survey'!Z24)&lt;10,"0"&amp;DAY('web survey'!Z24),DAY('web survey'!Z24))&amp;" "&amp;IF(HOUR('web survey'!Z24)&lt;10,"0"&amp;HOUR('web survey'!Z24),HOUR('web survey'!Z24))&amp;":"&amp;IF(MINUTE('web survey'!Z24)&lt;10,"0"&amp;MINUTE('web survey'!Z24),MINUTE('web survey'!Z24))&amp;(":00'")</f>
        <v>2026-06-14 17:39:00'</v>
      </c>
      <c r="N26" s="37">
        <v>23</v>
      </c>
      <c r="O26" s="37" t="s">
        <v>27</v>
      </c>
      <c r="P26" s="38" t="s">
        <v>70</v>
      </c>
      <c r="Q26" s="43" t="s">
        <v>18</v>
      </c>
      <c r="R26" s="44" t="s">
        <v>17</v>
      </c>
      <c r="S26" s="43" t="s">
        <v>29</v>
      </c>
      <c r="T26" s="44" t="s">
        <v>17</v>
      </c>
      <c r="U26" s="43" t="s">
        <v>30</v>
      </c>
      <c r="V26" s="44" t="s">
        <v>17</v>
      </c>
      <c r="W26" s="43" t="s">
        <v>34</v>
      </c>
      <c r="X26" s="37" t="s">
        <v>71</v>
      </c>
    </row>
    <row r="27" ht="28.2" customHeight="1" spans="1:24">
      <c r="A27" s="28">
        <f>IF(B27="","",ROW()-COUNTBLANK($B$4:B27)-3)</f>
        <v>24</v>
      </c>
      <c r="B27" s="28" t="str">
        <f>'web survey'!C25</f>
        <v>FU-Z1-Eng</v>
      </c>
      <c r="C27" s="29" t="str">
        <f>'web survey'!AA25</f>
        <v>204476230</v>
      </c>
      <c r="D27" s="30" t="str">
        <f>IF(B27="FU-ACInstall",VLOOKUP(VALUE('web survey'!D25),ref!$B$6:$C$7,2,0)&amp;" ("&amp;'web survey'!D25&amp;")",VLOOKUP(VALUE('web survey'!D25),ref!$E$6:$F$10,2,0)&amp;" ("&amp;'web survey'!D25&amp;")")</f>
        <v>Good (10)</v>
      </c>
      <c r="E27" s="32" t="str">
        <f>'web survey'!S25</f>
        <v/>
      </c>
      <c r="F27" s="30" t="str">
        <f>IF(B27="FU-ACInstall",VLOOKUP(VALUE('web survey'!E25),ref!$B$10:$C$12,2,0)&amp;" ("&amp;'web survey'!E25&amp;")",VLOOKUP(VALUE('web survey'!E25),ref!$E$13:$F$17,2,0)&amp;" ("&amp;'web survey'!E25&amp;")")</f>
        <v>Very Good (10)</v>
      </c>
      <c r="G27" s="32" t="str">
        <f>'web survey'!T25</f>
        <v/>
      </c>
      <c r="H27" s="30" t="str">
        <f>IF(B27="FU-ACInstall",VLOOKUP(VALUE('web survey'!F25),ref!$B$15:$C$17,2,0)&amp;" ("&amp;'web survey'!F25&amp;")",VLOOKUP(VALUE('web survey'!F25),ref!$E$20:$F$21,2,0)&amp;" ("&amp;'web survey'!F25&amp;")")</f>
        <v>Appropriate with SAP / in Warranty (10)</v>
      </c>
      <c r="I27" s="32" t="str">
        <f>'web survey'!U25</f>
        <v/>
      </c>
      <c r="J27" s="30" t="str">
        <f>IF(B27="FU-ACInstall","-",VLOOKUP(VALUE('web survey'!G25),ref!$E$24:$F$26,2,0)&amp;" ("&amp;'web survey'!G25&amp;")")</f>
        <v>Jelas (5)</v>
      </c>
      <c r="K27" s="28" t="str">
        <f>YEAR('web survey'!Z25)&amp;"-"&amp;IF(MONTH('web survey'!Z25)&lt;10,"0"&amp;MONTH('web survey'!Z25),MONTH('web survey'!Z25))&amp;"-"&amp;IF(DAY('web survey'!Z25)&lt;10,"0"&amp;DAY('web survey'!Z25),DAY('web survey'!Z25))&amp;" "&amp;IF(HOUR('web survey'!Z25)&lt;10,"0"&amp;HOUR('web survey'!Z25),HOUR('web survey'!Z25))&amp;":"&amp;IF(MINUTE('web survey'!Z25)&lt;10,"0"&amp;MINUTE('web survey'!Z25),MINUTE('web survey'!Z25))&amp;(":00'")</f>
        <v>2026-06-14 17:37:00'</v>
      </c>
      <c r="N27" s="37">
        <v>24</v>
      </c>
      <c r="O27" s="37" t="s">
        <v>27</v>
      </c>
      <c r="P27" s="38" t="s">
        <v>72</v>
      </c>
      <c r="Q27" s="43" t="s">
        <v>18</v>
      </c>
      <c r="R27" s="44" t="s">
        <v>17</v>
      </c>
      <c r="S27" s="43" t="s">
        <v>37</v>
      </c>
      <c r="T27" s="44" t="s">
        <v>17</v>
      </c>
      <c r="U27" s="43" t="s">
        <v>30</v>
      </c>
      <c r="V27" s="44" t="s">
        <v>17</v>
      </c>
      <c r="W27" s="43" t="s">
        <v>34</v>
      </c>
      <c r="X27" s="37" t="s">
        <v>73</v>
      </c>
    </row>
    <row r="28" ht="28.2" customHeight="1" spans="1:24">
      <c r="A28" s="28">
        <f>IF(B28="","",ROW()-COUNTBLANK($B$4:B28)-3)</f>
        <v>25</v>
      </c>
      <c r="B28" s="28" t="str">
        <f>'web survey'!C26</f>
        <v>FU-Z1-Eng</v>
      </c>
      <c r="C28" s="29" t="str">
        <f>'web survey'!AA26</f>
        <v>1611A2600507</v>
      </c>
      <c r="D28" s="30" t="str">
        <f>IF(B28="FU-ACInstall",VLOOKUP(VALUE('web survey'!D26),ref!$B$6:$C$7,2,0)&amp;" ("&amp;'web survey'!D26&amp;")",VLOOKUP(VALUE('web survey'!D26),ref!$E$6:$F$10,2,0)&amp;" ("&amp;'web survey'!D26&amp;")")</f>
        <v>Good (10)</v>
      </c>
      <c r="E28" s="32" t="str">
        <f>'web survey'!S26</f>
        <v/>
      </c>
      <c r="F28" s="30" t="str">
        <f>IF(B28="FU-ACInstall",VLOOKUP(VALUE('web survey'!E26),ref!$B$10:$C$12,2,0)&amp;" ("&amp;'web survey'!E26&amp;")",VLOOKUP(VALUE('web survey'!E26),ref!$E$13:$F$17,2,0)&amp;" ("&amp;'web survey'!E26&amp;")")</f>
        <v>Very Good (10)</v>
      </c>
      <c r="G28" s="32" t="str">
        <f>'web survey'!T26</f>
        <v/>
      </c>
      <c r="H28" s="30" t="str">
        <f>IF(B28="FU-ACInstall",VLOOKUP(VALUE('web survey'!F26),ref!$B$15:$C$17,2,0)&amp;" ("&amp;'web survey'!F26&amp;")",VLOOKUP(VALUE('web survey'!F26),ref!$E$20:$F$21,2,0)&amp;" ("&amp;'web survey'!F26&amp;")")</f>
        <v>Appropriate with SAP / in Warranty (10)</v>
      </c>
      <c r="I28" s="32" t="str">
        <f>'web survey'!U26</f>
        <v/>
      </c>
      <c r="J28" s="30" t="str">
        <f>IF(B28="FU-ACInstall","-",VLOOKUP(VALUE('web survey'!G26),ref!$E$24:$F$26,2,0)&amp;" ("&amp;'web survey'!G26&amp;")")</f>
        <v>Jelas (5)</v>
      </c>
      <c r="K28" s="28" t="str">
        <f>YEAR('web survey'!Z26)&amp;"-"&amp;IF(MONTH('web survey'!Z26)&lt;10,"0"&amp;MONTH('web survey'!Z26),MONTH('web survey'!Z26))&amp;"-"&amp;IF(DAY('web survey'!Z26)&lt;10,"0"&amp;DAY('web survey'!Z26),DAY('web survey'!Z26))&amp;" "&amp;IF(HOUR('web survey'!Z26)&lt;10,"0"&amp;HOUR('web survey'!Z26),HOUR('web survey'!Z26))&amp;":"&amp;IF(MINUTE('web survey'!Z26)&lt;10,"0"&amp;MINUTE('web survey'!Z26),MINUTE('web survey'!Z26))&amp;(":00'")</f>
        <v>2026-06-14 17:13:00'</v>
      </c>
      <c r="N28" s="37">
        <v>25</v>
      </c>
      <c r="O28" s="37" t="s">
        <v>27</v>
      </c>
      <c r="P28" s="38" t="s">
        <v>74</v>
      </c>
      <c r="Q28" s="43" t="s">
        <v>18</v>
      </c>
      <c r="R28" s="44" t="s">
        <v>17</v>
      </c>
      <c r="S28" s="43" t="s">
        <v>37</v>
      </c>
      <c r="T28" s="44" t="s">
        <v>17</v>
      </c>
      <c r="U28" s="43" t="s">
        <v>30</v>
      </c>
      <c r="V28" s="44" t="s">
        <v>17</v>
      </c>
      <c r="W28" s="43" t="s">
        <v>34</v>
      </c>
      <c r="X28" s="37" t="s">
        <v>75</v>
      </c>
    </row>
    <row r="29" ht="28.2" customHeight="1" spans="1:24">
      <c r="A29" s="28">
        <f>IF(B29="","",ROW()-COUNTBLANK($B$4:B29)-3)</f>
        <v>26</v>
      </c>
      <c r="B29" s="28" t="str">
        <f>'web survey'!C27</f>
        <v>FU-Z1-Eng</v>
      </c>
      <c r="C29" s="29" t="str">
        <f>'web survey'!AA27</f>
        <v>204469495</v>
      </c>
      <c r="D29" s="30" t="str">
        <f>IF(B29="FU-ACInstall",VLOOKUP(VALUE('web survey'!D27),ref!$B$6:$C$7,2,0)&amp;" ("&amp;'web survey'!D27&amp;")",VLOOKUP(VALUE('web survey'!D27),ref!$E$6:$F$10,2,0)&amp;" ("&amp;'web survey'!D27&amp;")")</f>
        <v>Good (10)</v>
      </c>
      <c r="E29" s="32" t="str">
        <f>'web survey'!S27</f>
        <v/>
      </c>
      <c r="F29" s="30" t="str">
        <f>IF(B29="FU-ACInstall",VLOOKUP(VALUE('web survey'!E27),ref!$B$10:$C$12,2,0)&amp;" ("&amp;'web survey'!E27&amp;")",VLOOKUP(VALUE('web survey'!E27),ref!$E$13:$F$17,2,0)&amp;" ("&amp;'web survey'!E27&amp;")")</f>
        <v>Good (5)</v>
      </c>
      <c r="G29" s="32" t="str">
        <f>'web survey'!T27</f>
        <v/>
      </c>
      <c r="H29" s="30" t="str">
        <f>IF(B29="FU-ACInstall",VLOOKUP(VALUE('web survey'!F27),ref!$B$15:$C$17,2,0)&amp;" ("&amp;'web survey'!F27&amp;")",VLOOKUP(VALUE('web survey'!F27),ref!$E$20:$F$21,2,0)&amp;" ("&amp;'web survey'!F27&amp;")")</f>
        <v>Appropriate with SAP / in Warranty (10)</v>
      </c>
      <c r="I29" s="32" t="str">
        <f>'web survey'!U27</f>
        <v/>
      </c>
      <c r="J29" s="30" t="str">
        <f>IF(B29="FU-ACInstall","-",VLOOKUP(VALUE('web survey'!G27),ref!$E$24:$F$26,2,0)&amp;" ("&amp;'web survey'!G27&amp;")")</f>
        <v>Jelas (5)</v>
      </c>
      <c r="K29" s="28" t="str">
        <f>YEAR('web survey'!Z27)&amp;"-"&amp;IF(MONTH('web survey'!Z27)&lt;10,"0"&amp;MONTH('web survey'!Z27),MONTH('web survey'!Z27))&amp;"-"&amp;IF(DAY('web survey'!Z27)&lt;10,"0"&amp;DAY('web survey'!Z27),DAY('web survey'!Z27))&amp;" "&amp;IF(HOUR('web survey'!Z27)&lt;10,"0"&amp;HOUR('web survey'!Z27),HOUR('web survey'!Z27))&amp;":"&amp;IF(MINUTE('web survey'!Z27)&lt;10,"0"&amp;MINUTE('web survey'!Z27),MINUTE('web survey'!Z27))&amp;(":00'")</f>
        <v>2026-06-14 17:07:00'</v>
      </c>
      <c r="N29" s="37">
        <v>26</v>
      </c>
      <c r="O29" s="37" t="s">
        <v>27</v>
      </c>
      <c r="P29" s="38" t="s">
        <v>76</v>
      </c>
      <c r="Q29" s="43" t="s">
        <v>18</v>
      </c>
      <c r="R29" s="44" t="s">
        <v>17</v>
      </c>
      <c r="S29" s="43" t="s">
        <v>29</v>
      </c>
      <c r="T29" s="44" t="s">
        <v>17</v>
      </c>
      <c r="U29" s="43" t="s">
        <v>30</v>
      </c>
      <c r="V29" s="44" t="s">
        <v>17</v>
      </c>
      <c r="W29" s="43" t="s">
        <v>34</v>
      </c>
      <c r="X29" s="37" t="s">
        <v>77</v>
      </c>
    </row>
    <row r="30" ht="28.2" customHeight="1" spans="1:24">
      <c r="A30" s="28">
        <f>IF(B30="","",ROW()-COUNTBLANK($B$4:B30)-3)</f>
        <v>27</v>
      </c>
      <c r="B30" s="28" t="str">
        <f>'web survey'!C28</f>
        <v>FU-Z1-Eng</v>
      </c>
      <c r="C30" s="29" t="str">
        <f>'web survey'!AA28</f>
        <v>204471996</v>
      </c>
      <c r="D30" s="30" t="str">
        <f>IF(B30="FU-ACInstall",VLOOKUP(VALUE('web survey'!D28),ref!$B$6:$C$7,2,0)&amp;" ("&amp;'web survey'!D28&amp;")",VLOOKUP(VALUE('web survey'!D28),ref!$E$6:$F$10,2,0)&amp;" ("&amp;'web survey'!D28&amp;")")</f>
        <v>Good (10)</v>
      </c>
      <c r="E30" s="32" t="str">
        <f>'web survey'!S28</f>
        <v/>
      </c>
      <c r="F30" s="30" t="str">
        <f>IF(B30="FU-ACInstall",VLOOKUP(VALUE('web survey'!E28),ref!$B$10:$C$12,2,0)&amp;" ("&amp;'web survey'!E28&amp;")",VLOOKUP(VALUE('web survey'!E28),ref!$E$13:$F$17,2,0)&amp;" ("&amp;'web survey'!E28&amp;")")</f>
        <v>Very Good (10)</v>
      </c>
      <c r="G30" s="32" t="str">
        <f>'web survey'!T28</f>
        <v/>
      </c>
      <c r="H30" s="30" t="str">
        <f>IF(B30="FU-ACInstall",VLOOKUP(VALUE('web survey'!F28),ref!$B$15:$C$17,2,0)&amp;" ("&amp;'web survey'!F28&amp;")",VLOOKUP(VALUE('web survey'!F28),ref!$E$20:$F$21,2,0)&amp;" ("&amp;'web survey'!F28&amp;")")</f>
        <v>Appropriate with SAP / in Warranty (10)</v>
      </c>
      <c r="I30" s="32" t="str">
        <f>'web survey'!U28</f>
        <v/>
      </c>
      <c r="J30" s="30" t="str">
        <f>IF(B30="FU-ACInstall","-",VLOOKUP(VALUE('web survey'!G28),ref!$E$24:$F$26,2,0)&amp;" ("&amp;'web survey'!G28&amp;")")</f>
        <v>Jelas (5)</v>
      </c>
      <c r="K30" s="28" t="str">
        <f>YEAR('web survey'!Z28)&amp;"-"&amp;IF(MONTH('web survey'!Z28)&lt;10,"0"&amp;MONTH('web survey'!Z28),MONTH('web survey'!Z28))&amp;"-"&amp;IF(DAY('web survey'!Z28)&lt;10,"0"&amp;DAY('web survey'!Z28),DAY('web survey'!Z28))&amp;" "&amp;IF(HOUR('web survey'!Z28)&lt;10,"0"&amp;HOUR('web survey'!Z28),HOUR('web survey'!Z28))&amp;":"&amp;IF(MINUTE('web survey'!Z28)&lt;10,"0"&amp;MINUTE('web survey'!Z28),MINUTE('web survey'!Z28))&amp;(":00'")</f>
        <v>2026-06-14 16:50:00'</v>
      </c>
      <c r="N30" s="37">
        <v>27</v>
      </c>
      <c r="O30" s="37" t="s">
        <v>27</v>
      </c>
      <c r="P30" s="38" t="s">
        <v>78</v>
      </c>
      <c r="Q30" s="43" t="s">
        <v>18</v>
      </c>
      <c r="R30" s="44" t="s">
        <v>17</v>
      </c>
      <c r="S30" s="43" t="s">
        <v>37</v>
      </c>
      <c r="T30" s="44" t="s">
        <v>17</v>
      </c>
      <c r="U30" s="43" t="s">
        <v>30</v>
      </c>
      <c r="V30" s="44" t="s">
        <v>17</v>
      </c>
      <c r="W30" s="43" t="s">
        <v>34</v>
      </c>
      <c r="X30" s="37" t="s">
        <v>79</v>
      </c>
    </row>
    <row r="31" ht="28.2" customHeight="1" spans="1:24">
      <c r="A31" s="28">
        <f>IF(B31="","",ROW()-COUNTBLANK($B$4:B31)-3)</f>
        <v>28</v>
      </c>
      <c r="B31" s="28" t="str">
        <f>'web survey'!C29</f>
        <v>FU-Z1-Eng</v>
      </c>
      <c r="C31" s="29" t="str">
        <f>'web survey'!AA29</f>
        <v>1119A2600302</v>
      </c>
      <c r="D31" s="30" t="str">
        <f>IF(B31="FU-ACInstall",VLOOKUP(VALUE('web survey'!D29),ref!$B$6:$C$7,2,0)&amp;" ("&amp;'web survey'!D29&amp;")",VLOOKUP(VALUE('web survey'!D29),ref!$E$6:$F$10,2,0)&amp;" ("&amp;'web survey'!D29&amp;")")</f>
        <v>Good (10)</v>
      </c>
      <c r="E31" s="32" t="str">
        <f>'web survey'!S29</f>
        <v/>
      </c>
      <c r="F31" s="30" t="str">
        <f>IF(B31="FU-ACInstall",VLOOKUP(VALUE('web survey'!E29),ref!$B$10:$C$12,2,0)&amp;" ("&amp;'web survey'!E29&amp;")",VLOOKUP(VALUE('web survey'!E29),ref!$E$13:$F$17,2,0)&amp;" ("&amp;'web survey'!E29&amp;")")</f>
        <v>Very Good (10)</v>
      </c>
      <c r="G31" s="32" t="str">
        <f>'web survey'!T29</f>
        <v/>
      </c>
      <c r="H31" s="30" t="str">
        <f>IF(B31="FU-ACInstall",VLOOKUP(VALUE('web survey'!F29),ref!$B$15:$C$17,2,0)&amp;" ("&amp;'web survey'!F29&amp;")",VLOOKUP(VALUE('web survey'!F29),ref!$E$20:$F$21,2,0)&amp;" ("&amp;'web survey'!F29&amp;")")</f>
        <v>Appropriate with SAP / in Warranty (10)</v>
      </c>
      <c r="I31" s="32" t="str">
        <f>'web survey'!U29</f>
        <v/>
      </c>
      <c r="J31" s="30" t="str">
        <f>IF(B31="FU-ACInstall","-",VLOOKUP(VALUE('web survey'!G29),ref!$E$24:$F$26,2,0)&amp;" ("&amp;'web survey'!G29&amp;")")</f>
        <v>Jelas (5)</v>
      </c>
      <c r="K31" s="28" t="str">
        <f>YEAR('web survey'!Z29)&amp;"-"&amp;IF(MONTH('web survey'!Z29)&lt;10,"0"&amp;MONTH('web survey'!Z29),MONTH('web survey'!Z29))&amp;"-"&amp;IF(DAY('web survey'!Z29)&lt;10,"0"&amp;DAY('web survey'!Z29),DAY('web survey'!Z29))&amp;" "&amp;IF(HOUR('web survey'!Z29)&lt;10,"0"&amp;HOUR('web survey'!Z29),HOUR('web survey'!Z29))&amp;":"&amp;IF(MINUTE('web survey'!Z29)&lt;10,"0"&amp;MINUTE('web survey'!Z29),MINUTE('web survey'!Z29))&amp;(":00'")</f>
        <v>2026-06-14 16:36:00'</v>
      </c>
      <c r="N31" s="37">
        <v>28</v>
      </c>
      <c r="O31" s="37" t="s">
        <v>27</v>
      </c>
      <c r="P31" s="38" t="s">
        <v>80</v>
      </c>
      <c r="Q31" s="43" t="s">
        <v>18</v>
      </c>
      <c r="R31" s="44" t="s">
        <v>17</v>
      </c>
      <c r="S31" s="43" t="s">
        <v>37</v>
      </c>
      <c r="T31" s="44" t="s">
        <v>17</v>
      </c>
      <c r="U31" s="43" t="s">
        <v>30</v>
      </c>
      <c r="V31" s="44" t="s">
        <v>17</v>
      </c>
      <c r="W31" s="43" t="s">
        <v>34</v>
      </c>
      <c r="X31" s="37" t="s">
        <v>81</v>
      </c>
    </row>
    <row r="32" ht="28.2" customHeight="1" spans="1:24">
      <c r="A32" s="28">
        <f>IF(B32="","",ROW()-COUNTBLANK($B$4:B32)-3)</f>
        <v>29</v>
      </c>
      <c r="B32" s="28" t="str">
        <f>'web survey'!C30</f>
        <v>FU-Z1-Eng</v>
      </c>
      <c r="C32" s="29" t="str">
        <f>'web survey'!AA30</f>
        <v>204474356</v>
      </c>
      <c r="D32" s="30" t="str">
        <f>IF(B32="FU-ACInstall",VLOOKUP(VALUE('web survey'!D30),ref!$B$6:$C$7,2,0)&amp;" ("&amp;'web survey'!D30&amp;")",VLOOKUP(VALUE('web survey'!D30),ref!$E$6:$F$10,2,0)&amp;" ("&amp;'web survey'!D30&amp;")")</f>
        <v>Good (10)</v>
      </c>
      <c r="E32" s="32" t="str">
        <f>'web survey'!S30</f>
        <v/>
      </c>
      <c r="F32" s="30" t="str">
        <f>IF(B32="FU-ACInstall",VLOOKUP(VALUE('web survey'!E30),ref!$B$10:$C$12,2,0)&amp;" ("&amp;'web survey'!E30&amp;")",VLOOKUP(VALUE('web survey'!E30),ref!$E$13:$F$17,2,0)&amp;" ("&amp;'web survey'!E30&amp;")")</f>
        <v>Very Good (10)</v>
      </c>
      <c r="G32" s="32" t="str">
        <f>'web survey'!T30</f>
        <v/>
      </c>
      <c r="H32" s="30" t="str">
        <f>IF(B32="FU-ACInstall",VLOOKUP(VALUE('web survey'!F30),ref!$B$15:$C$17,2,0)&amp;" ("&amp;'web survey'!F30&amp;")",VLOOKUP(VALUE('web survey'!F30),ref!$E$20:$F$21,2,0)&amp;" ("&amp;'web survey'!F30&amp;")")</f>
        <v>Appropriate with SAP / in Warranty (10)</v>
      </c>
      <c r="I32" s="32" t="str">
        <f>'web survey'!U30</f>
        <v/>
      </c>
      <c r="J32" s="30" t="str">
        <f>IF(B32="FU-ACInstall","-",VLOOKUP(VALUE('web survey'!G30),ref!$E$24:$F$26,2,0)&amp;" ("&amp;'web survey'!G30&amp;")")</f>
        <v>Jelas (5)</v>
      </c>
      <c r="K32" s="28" t="str">
        <f>YEAR('web survey'!Z30)&amp;"-"&amp;IF(MONTH('web survey'!Z30)&lt;10,"0"&amp;MONTH('web survey'!Z30),MONTH('web survey'!Z30))&amp;"-"&amp;IF(DAY('web survey'!Z30)&lt;10,"0"&amp;DAY('web survey'!Z30),DAY('web survey'!Z30))&amp;" "&amp;IF(HOUR('web survey'!Z30)&lt;10,"0"&amp;HOUR('web survey'!Z30),HOUR('web survey'!Z30))&amp;":"&amp;IF(MINUTE('web survey'!Z30)&lt;10,"0"&amp;MINUTE('web survey'!Z30),MINUTE('web survey'!Z30))&amp;(":00'")</f>
        <v>2026-06-14 16:29:00'</v>
      </c>
      <c r="N32" s="37">
        <v>29</v>
      </c>
      <c r="O32" s="37" t="s">
        <v>27</v>
      </c>
      <c r="P32" s="38" t="s">
        <v>82</v>
      </c>
      <c r="Q32" s="43" t="s">
        <v>18</v>
      </c>
      <c r="R32" s="44" t="s">
        <v>17</v>
      </c>
      <c r="S32" s="43" t="s">
        <v>37</v>
      </c>
      <c r="T32" s="44" t="s">
        <v>17</v>
      </c>
      <c r="U32" s="43" t="s">
        <v>30</v>
      </c>
      <c r="V32" s="44" t="s">
        <v>17</v>
      </c>
      <c r="W32" s="43" t="s">
        <v>34</v>
      </c>
      <c r="X32" s="37" t="s">
        <v>83</v>
      </c>
    </row>
    <row r="33" ht="28.2" customHeight="1" spans="1:24">
      <c r="A33" s="28">
        <f>IF(B33="","",ROW()-COUNTBLANK($B$4:B33)-3)</f>
        <v>30</v>
      </c>
      <c r="B33" s="28" t="str">
        <f>'web survey'!C31</f>
        <v>FU-Z1-Eng</v>
      </c>
      <c r="C33" s="29" t="str">
        <f>'web survey'!AA31</f>
        <v>204474225</v>
      </c>
      <c r="D33" s="30" t="str">
        <f>IF(B33="FU-ACInstall",VLOOKUP(VALUE('web survey'!D31),ref!$B$6:$C$7,2,0)&amp;" ("&amp;'web survey'!D31&amp;")",VLOOKUP(VALUE('web survey'!D31),ref!$E$6:$F$10,2,0)&amp;" ("&amp;'web survey'!D31&amp;")")</f>
        <v>Good (10)</v>
      </c>
      <c r="E33" s="32" t="str">
        <f>'web survey'!S31</f>
        <v/>
      </c>
      <c r="F33" s="30" t="str">
        <f>IF(B33="FU-ACInstall",VLOOKUP(VALUE('web survey'!E31),ref!$B$10:$C$12,2,0)&amp;" ("&amp;'web survey'!E31&amp;")",VLOOKUP(VALUE('web survey'!E31),ref!$E$13:$F$17,2,0)&amp;" ("&amp;'web survey'!E31&amp;")")</f>
        <v>Very Good (10)</v>
      </c>
      <c r="G33" s="32" t="str">
        <f>'web survey'!T31</f>
        <v/>
      </c>
      <c r="H33" s="30" t="str">
        <f>IF(B33="FU-ACInstall",VLOOKUP(VALUE('web survey'!F31),ref!$B$15:$C$17,2,0)&amp;" ("&amp;'web survey'!F31&amp;")",VLOOKUP(VALUE('web survey'!F31),ref!$E$20:$F$21,2,0)&amp;" ("&amp;'web survey'!F31&amp;")")</f>
        <v>Appropriate with SAP / in Warranty (10)</v>
      </c>
      <c r="I33" s="32" t="str">
        <f>'web survey'!U31</f>
        <v/>
      </c>
      <c r="J33" s="30" t="str">
        <f>IF(B33="FU-ACInstall","-",VLOOKUP(VALUE('web survey'!G31),ref!$E$24:$F$26,2,0)&amp;" ("&amp;'web survey'!G31&amp;")")</f>
        <v>Jelas (5)</v>
      </c>
      <c r="K33" s="28" t="str">
        <f>YEAR('web survey'!Z31)&amp;"-"&amp;IF(MONTH('web survey'!Z31)&lt;10,"0"&amp;MONTH('web survey'!Z31),MONTH('web survey'!Z31))&amp;"-"&amp;IF(DAY('web survey'!Z31)&lt;10,"0"&amp;DAY('web survey'!Z31),DAY('web survey'!Z31))&amp;" "&amp;IF(HOUR('web survey'!Z31)&lt;10,"0"&amp;HOUR('web survey'!Z31),HOUR('web survey'!Z31))&amp;":"&amp;IF(MINUTE('web survey'!Z31)&lt;10,"0"&amp;MINUTE('web survey'!Z31),MINUTE('web survey'!Z31))&amp;(":00'")</f>
        <v>2026-06-14 16:13:00'</v>
      </c>
      <c r="N33" s="37">
        <v>30</v>
      </c>
      <c r="O33" s="37" t="s">
        <v>27</v>
      </c>
      <c r="P33" s="38" t="s">
        <v>84</v>
      </c>
      <c r="Q33" s="43" t="s">
        <v>18</v>
      </c>
      <c r="R33" s="44" t="s">
        <v>17</v>
      </c>
      <c r="S33" s="43" t="s">
        <v>37</v>
      </c>
      <c r="T33" s="44" t="s">
        <v>17</v>
      </c>
      <c r="U33" s="43" t="s">
        <v>30</v>
      </c>
      <c r="V33" s="44" t="s">
        <v>17</v>
      </c>
      <c r="W33" s="43" t="s">
        <v>34</v>
      </c>
      <c r="X33" s="37" t="s">
        <v>85</v>
      </c>
    </row>
    <row r="34" ht="28.2" customHeight="1" spans="1:24">
      <c r="A34" s="28">
        <f>IF(B34="","",ROW()-COUNTBLANK($B$4:B34)-3)</f>
        <v>31</v>
      </c>
      <c r="B34" s="28" t="str">
        <f>'web survey'!C32</f>
        <v>FU-Z1-Eng</v>
      </c>
      <c r="C34" s="29" t="str">
        <f>'web survey'!AA32</f>
        <v>1033A2601367</v>
      </c>
      <c r="D34" s="30" t="str">
        <f>IF(B34="FU-ACInstall",VLOOKUP(VALUE('web survey'!D32),ref!$B$6:$C$7,2,0)&amp;" ("&amp;'web survey'!D32&amp;")",VLOOKUP(VALUE('web survey'!D32),ref!$E$6:$F$10,2,0)&amp;" ("&amp;'web survey'!D32&amp;")")</f>
        <v>Good (10)</v>
      </c>
      <c r="E34" s="32" t="str">
        <f>'web survey'!S32</f>
        <v/>
      </c>
      <c r="F34" s="30" t="str">
        <f>IF(B34="FU-ACInstall",VLOOKUP(VALUE('web survey'!E32),ref!$B$10:$C$12,2,0)&amp;" ("&amp;'web survey'!E32&amp;")",VLOOKUP(VALUE('web survey'!E32),ref!$E$13:$F$17,2,0)&amp;" ("&amp;'web survey'!E32&amp;")")</f>
        <v>Good (5)</v>
      </c>
      <c r="G34" s="32" t="str">
        <f>'web survey'!T32</f>
        <v/>
      </c>
      <c r="H34" s="30" t="str">
        <f>IF(B34="FU-ACInstall",VLOOKUP(VALUE('web survey'!F32),ref!$B$15:$C$17,2,0)&amp;" ("&amp;'web survey'!F32&amp;")",VLOOKUP(VALUE('web survey'!F32),ref!$E$20:$F$21,2,0)&amp;" ("&amp;'web survey'!F32&amp;")")</f>
        <v>Different with SAP (-10)</v>
      </c>
      <c r="I34" s="32" t="str">
        <f>'web survey'!U32</f>
        <v/>
      </c>
      <c r="J34" s="30" t="str">
        <f>IF(B34="FU-ACInstall","-",VLOOKUP(VALUE('web survey'!G32),ref!$E$24:$F$26,2,0)&amp;" ("&amp;'web survey'!G32&amp;")")</f>
        <v>Jelas (5)</v>
      </c>
      <c r="K34" s="28" t="str">
        <f>YEAR('web survey'!Z32)&amp;"-"&amp;IF(MONTH('web survey'!Z32)&lt;10,"0"&amp;MONTH('web survey'!Z32),MONTH('web survey'!Z32))&amp;"-"&amp;IF(DAY('web survey'!Z32)&lt;10,"0"&amp;DAY('web survey'!Z32),DAY('web survey'!Z32))&amp;" "&amp;IF(HOUR('web survey'!Z32)&lt;10,"0"&amp;HOUR('web survey'!Z32),HOUR('web survey'!Z32))&amp;":"&amp;IF(MINUTE('web survey'!Z32)&lt;10,"0"&amp;MINUTE('web survey'!Z32),MINUTE('web survey'!Z32))&amp;(":00'")</f>
        <v>2026-06-14 16:06:00'</v>
      </c>
      <c r="N34" s="37">
        <v>31</v>
      </c>
      <c r="O34" s="37" t="s">
        <v>27</v>
      </c>
      <c r="P34" s="38" t="s">
        <v>86</v>
      </c>
      <c r="Q34" s="43" t="s">
        <v>18</v>
      </c>
      <c r="R34" s="44" t="s">
        <v>17</v>
      </c>
      <c r="S34" s="43" t="s">
        <v>29</v>
      </c>
      <c r="T34" s="44" t="s">
        <v>17</v>
      </c>
      <c r="U34" s="43" t="s">
        <v>87</v>
      </c>
      <c r="V34" s="44" t="s">
        <v>17</v>
      </c>
      <c r="W34" s="43" t="s">
        <v>34</v>
      </c>
      <c r="X34" s="37" t="s">
        <v>88</v>
      </c>
    </row>
    <row r="35" ht="28.2" customHeight="1" spans="1:24">
      <c r="A35" s="28">
        <f>IF(B35="","",ROW()-COUNTBLANK($B$4:B35)-3)</f>
        <v>32</v>
      </c>
      <c r="B35" s="28" t="str">
        <f>'web survey'!C33</f>
        <v>FU-Z1-Eng</v>
      </c>
      <c r="C35" s="29" t="str">
        <f>'web survey'!AA33</f>
        <v>204469760</v>
      </c>
      <c r="D35" s="30" t="str">
        <f>IF(B35="FU-ACInstall",VLOOKUP(VALUE('web survey'!D33),ref!$B$6:$C$7,2,0)&amp;" ("&amp;'web survey'!D33&amp;")",VLOOKUP(VALUE('web survey'!D33),ref!$E$6:$F$10,2,0)&amp;" ("&amp;'web survey'!D33&amp;")")</f>
        <v>Not Good (-10)</v>
      </c>
      <c r="E35" s="32" t="str">
        <f>'web survey'!S33</f>
        <v/>
      </c>
      <c r="F35" s="30" t="str">
        <f>IF(B35="FU-ACInstall",VLOOKUP(VALUE('web survey'!E33),ref!$B$10:$C$12,2,0)&amp;" ("&amp;'web survey'!E33&amp;")",VLOOKUP(VALUE('web survey'!E33),ref!$E$13:$F$17,2,0)&amp;" ("&amp;'web survey'!E33&amp;")")</f>
        <v>Very Good (10)</v>
      </c>
      <c r="G35" s="32" t="str">
        <f>'web survey'!T33</f>
        <v/>
      </c>
      <c r="H35" s="30" t="str">
        <f>IF(B35="FU-ACInstall",VLOOKUP(VALUE('web survey'!F33),ref!$B$15:$C$17,2,0)&amp;" ("&amp;'web survey'!F33&amp;")",VLOOKUP(VALUE('web survey'!F33),ref!$E$20:$F$21,2,0)&amp;" ("&amp;'web survey'!F33&amp;")")</f>
        <v>Appropriate with SAP / in Warranty (10)</v>
      </c>
      <c r="I35" s="32" t="str">
        <f>'web survey'!U33</f>
        <v/>
      </c>
      <c r="J35" s="30" t="str">
        <f>IF(B35="FU-ACInstall","-",VLOOKUP(VALUE('web survey'!G33),ref!$E$24:$F$26,2,0)&amp;" ("&amp;'web survey'!G33&amp;")")</f>
        <v>Jelas (5)</v>
      </c>
      <c r="K35" s="28" t="str">
        <f>YEAR('web survey'!Z33)&amp;"-"&amp;IF(MONTH('web survey'!Z33)&lt;10,"0"&amp;MONTH('web survey'!Z33),MONTH('web survey'!Z33))&amp;"-"&amp;IF(DAY('web survey'!Z33)&lt;10,"0"&amp;DAY('web survey'!Z33),DAY('web survey'!Z33))&amp;" "&amp;IF(HOUR('web survey'!Z33)&lt;10,"0"&amp;HOUR('web survey'!Z33),HOUR('web survey'!Z33))&amp;":"&amp;IF(MINUTE('web survey'!Z33)&lt;10,"0"&amp;MINUTE('web survey'!Z33),MINUTE('web survey'!Z33))&amp;(":00'")</f>
        <v>2026-06-14 16:06:00'</v>
      </c>
      <c r="N35" s="37">
        <v>32</v>
      </c>
      <c r="O35" s="37" t="s">
        <v>27</v>
      </c>
      <c r="P35" s="38" t="s">
        <v>89</v>
      </c>
      <c r="Q35" s="43" t="s">
        <v>33</v>
      </c>
      <c r="R35" s="44" t="s">
        <v>17</v>
      </c>
      <c r="S35" s="43" t="s">
        <v>37</v>
      </c>
      <c r="T35" s="44" t="s">
        <v>17</v>
      </c>
      <c r="U35" s="43" t="s">
        <v>30</v>
      </c>
      <c r="V35" s="44" t="s">
        <v>17</v>
      </c>
      <c r="W35" s="43" t="s">
        <v>34</v>
      </c>
      <c r="X35" s="37" t="s">
        <v>88</v>
      </c>
    </row>
    <row r="36" ht="28.2" customHeight="1" spans="1:24">
      <c r="A36" s="28">
        <f>IF(B36="","",ROW()-COUNTBLANK($B$4:B36)-3)</f>
        <v>33</v>
      </c>
      <c r="B36" s="28" t="str">
        <f>'web survey'!C34</f>
        <v>FU-Z1-Eng</v>
      </c>
      <c r="C36" s="29" t="str">
        <f>'web survey'!AA34</f>
        <v>204472219</v>
      </c>
      <c r="D36" s="30" t="str">
        <f>IF(B36="FU-ACInstall",VLOOKUP(VALUE('web survey'!D34),ref!$B$6:$C$7,2,0)&amp;" ("&amp;'web survey'!D34&amp;")",VLOOKUP(VALUE('web survey'!D34),ref!$E$6:$F$10,2,0)&amp;" ("&amp;'web survey'!D34&amp;")")</f>
        <v>Good (10)</v>
      </c>
      <c r="E36" s="32" t="str">
        <f>'web survey'!S34</f>
        <v/>
      </c>
      <c r="F36" s="30" t="str">
        <f>IF(B36="FU-ACInstall",VLOOKUP(VALUE('web survey'!E34),ref!$B$10:$C$12,2,0)&amp;" ("&amp;'web survey'!E34&amp;")",VLOOKUP(VALUE('web survey'!E34),ref!$E$13:$F$17,2,0)&amp;" ("&amp;'web survey'!E34&amp;")")</f>
        <v>Very Good (10)</v>
      </c>
      <c r="G36" s="32" t="str">
        <f>'web survey'!T34</f>
        <v/>
      </c>
      <c r="H36" s="30" t="str">
        <f>IF(B36="FU-ACInstall",VLOOKUP(VALUE('web survey'!F34),ref!$B$15:$C$17,2,0)&amp;" ("&amp;'web survey'!F34&amp;")",VLOOKUP(VALUE('web survey'!F34),ref!$E$20:$F$21,2,0)&amp;" ("&amp;'web survey'!F34&amp;")")</f>
        <v>Appropriate with SAP / in Warranty (10)</v>
      </c>
      <c r="I36" s="32" t="str">
        <f>'web survey'!U34</f>
        <v/>
      </c>
      <c r="J36" s="30" t="str">
        <f>IF(B36="FU-ACInstall","-",VLOOKUP(VALUE('web survey'!G34),ref!$E$24:$F$26,2,0)&amp;" ("&amp;'web survey'!G34&amp;")")</f>
        <v>Jelas (5)</v>
      </c>
      <c r="K36" s="28" t="str">
        <f>YEAR('web survey'!Z34)&amp;"-"&amp;IF(MONTH('web survey'!Z34)&lt;10,"0"&amp;MONTH('web survey'!Z34),MONTH('web survey'!Z34))&amp;"-"&amp;IF(DAY('web survey'!Z34)&lt;10,"0"&amp;DAY('web survey'!Z34),DAY('web survey'!Z34))&amp;" "&amp;IF(HOUR('web survey'!Z34)&lt;10,"0"&amp;HOUR('web survey'!Z34),HOUR('web survey'!Z34))&amp;":"&amp;IF(MINUTE('web survey'!Z34)&lt;10,"0"&amp;MINUTE('web survey'!Z34),MINUTE('web survey'!Z34))&amp;(":00'")</f>
        <v>2026-06-14 15:57:00'</v>
      </c>
      <c r="N36" s="37">
        <v>33</v>
      </c>
      <c r="O36" s="37" t="s">
        <v>27</v>
      </c>
      <c r="P36" s="38" t="s">
        <v>90</v>
      </c>
      <c r="Q36" s="43" t="s">
        <v>18</v>
      </c>
      <c r="R36" s="44" t="s">
        <v>17</v>
      </c>
      <c r="S36" s="43" t="s">
        <v>37</v>
      </c>
      <c r="T36" s="44" t="s">
        <v>17</v>
      </c>
      <c r="U36" s="43" t="s">
        <v>30</v>
      </c>
      <c r="V36" s="44" t="s">
        <v>17</v>
      </c>
      <c r="W36" s="43" t="s">
        <v>34</v>
      </c>
      <c r="X36" s="37" t="s">
        <v>91</v>
      </c>
    </row>
    <row r="37" ht="28.2" customHeight="1" spans="1:24">
      <c r="A37" s="28">
        <f>IF(B37="","",ROW()-COUNTBLANK($B$4:B37)-3)</f>
        <v>34</v>
      </c>
      <c r="B37" s="28" t="str">
        <f>'web survey'!C35</f>
        <v>FU-Z1-Eng</v>
      </c>
      <c r="C37" s="29" t="str">
        <f>'web survey'!AA35</f>
        <v>1611A2600502</v>
      </c>
      <c r="D37" s="30" t="str">
        <f>IF(B37="FU-ACInstall",VLOOKUP(VALUE('web survey'!D35),ref!$B$6:$C$7,2,0)&amp;" ("&amp;'web survey'!D35&amp;")",VLOOKUP(VALUE('web survey'!D35),ref!$E$6:$F$10,2,0)&amp;" ("&amp;'web survey'!D35&amp;")")</f>
        <v>Good (10)</v>
      </c>
      <c r="E37" s="32" t="str">
        <f>'web survey'!S35</f>
        <v/>
      </c>
      <c r="F37" s="30" t="str">
        <f>IF(B37="FU-ACInstall",VLOOKUP(VALUE('web survey'!E35),ref!$B$10:$C$12,2,0)&amp;" ("&amp;'web survey'!E35&amp;")",VLOOKUP(VALUE('web survey'!E35),ref!$E$13:$F$17,2,0)&amp;" ("&amp;'web survey'!E35&amp;")")</f>
        <v>Very Good (10)</v>
      </c>
      <c r="G37" s="32" t="str">
        <f>'web survey'!T35</f>
        <v/>
      </c>
      <c r="H37" s="30" t="str">
        <f>IF(B37="FU-ACInstall",VLOOKUP(VALUE('web survey'!F35),ref!$B$15:$C$17,2,0)&amp;" ("&amp;'web survey'!F35&amp;")",VLOOKUP(VALUE('web survey'!F35),ref!$E$20:$F$21,2,0)&amp;" ("&amp;'web survey'!F35&amp;")")</f>
        <v>Appropriate with SAP / in Warranty (10)</v>
      </c>
      <c r="I37" s="32" t="str">
        <f>'web survey'!U35</f>
        <v/>
      </c>
      <c r="J37" s="30" t="str">
        <f>IF(B37="FU-ACInstall","-",VLOOKUP(VALUE('web survey'!G35),ref!$E$24:$F$26,2,0)&amp;" ("&amp;'web survey'!G35&amp;")")</f>
        <v>Jelas (5)</v>
      </c>
      <c r="K37" s="28" t="str">
        <f>YEAR('web survey'!Z35)&amp;"-"&amp;IF(MONTH('web survey'!Z35)&lt;10,"0"&amp;MONTH('web survey'!Z35),MONTH('web survey'!Z35))&amp;"-"&amp;IF(DAY('web survey'!Z35)&lt;10,"0"&amp;DAY('web survey'!Z35),DAY('web survey'!Z35))&amp;" "&amp;IF(HOUR('web survey'!Z35)&lt;10,"0"&amp;HOUR('web survey'!Z35),HOUR('web survey'!Z35))&amp;":"&amp;IF(MINUTE('web survey'!Z35)&lt;10,"0"&amp;MINUTE('web survey'!Z35),MINUTE('web survey'!Z35))&amp;(":00'")</f>
        <v>2026-06-14 15:53:00'</v>
      </c>
      <c r="N37" s="37">
        <v>34</v>
      </c>
      <c r="O37" s="37" t="s">
        <v>27</v>
      </c>
      <c r="P37" s="38" t="s">
        <v>92</v>
      </c>
      <c r="Q37" s="43" t="s">
        <v>18</v>
      </c>
      <c r="R37" s="44" t="s">
        <v>17</v>
      </c>
      <c r="S37" s="43" t="s">
        <v>37</v>
      </c>
      <c r="T37" s="44" t="s">
        <v>17</v>
      </c>
      <c r="U37" s="43" t="s">
        <v>30</v>
      </c>
      <c r="V37" s="44" t="s">
        <v>17</v>
      </c>
      <c r="W37" s="43" t="s">
        <v>34</v>
      </c>
      <c r="X37" s="37" t="s">
        <v>93</v>
      </c>
    </row>
    <row r="38" ht="28.2" customHeight="1" spans="1:24">
      <c r="A38" s="28">
        <f>IF(B38="","",ROW()-COUNTBLANK($B$4:B38)-3)</f>
        <v>35</v>
      </c>
      <c r="B38" s="28" t="str">
        <f>'web survey'!C36</f>
        <v>FU-Z1-Eng</v>
      </c>
      <c r="C38" s="29" t="str">
        <f>'web survey'!AA36</f>
        <v>204473727</v>
      </c>
      <c r="D38" s="30" t="str">
        <f>IF(B38="FU-ACInstall",VLOOKUP(VALUE('web survey'!D36),ref!$B$6:$C$7,2,0)&amp;" ("&amp;'web survey'!D36&amp;")",VLOOKUP(VALUE('web survey'!D36),ref!$E$6:$F$10,2,0)&amp;" ("&amp;'web survey'!D36&amp;")")</f>
        <v>Good (10)</v>
      </c>
      <c r="E38" s="32" t="str">
        <f>'web survey'!S36</f>
        <v/>
      </c>
      <c r="F38" s="30" t="str">
        <f>IF(B38="FU-ACInstall",VLOOKUP(VALUE('web survey'!E36),ref!$B$10:$C$12,2,0)&amp;" ("&amp;'web survey'!E36&amp;")",VLOOKUP(VALUE('web survey'!E36),ref!$E$13:$F$17,2,0)&amp;" ("&amp;'web survey'!E36&amp;")")</f>
        <v>Very Good (10)</v>
      </c>
      <c r="G38" s="32" t="str">
        <f>'web survey'!T36</f>
        <v/>
      </c>
      <c r="H38" s="30" t="str">
        <f>IF(B38="FU-ACInstall",VLOOKUP(VALUE('web survey'!F36),ref!$B$15:$C$17,2,0)&amp;" ("&amp;'web survey'!F36&amp;")",VLOOKUP(VALUE('web survey'!F36),ref!$E$20:$F$21,2,0)&amp;" ("&amp;'web survey'!F36&amp;")")</f>
        <v>Appropriate with SAP / in Warranty (10)</v>
      </c>
      <c r="I38" s="32" t="str">
        <f>'web survey'!U36</f>
        <v/>
      </c>
      <c r="J38" s="30" t="str">
        <f>IF(B38="FU-ACInstall","-",VLOOKUP(VALUE('web survey'!G36),ref!$E$24:$F$26,2,0)&amp;" ("&amp;'web survey'!G36&amp;")")</f>
        <v>Jelas (5)</v>
      </c>
      <c r="K38" s="28" t="str">
        <f>YEAR('web survey'!Z36)&amp;"-"&amp;IF(MONTH('web survey'!Z36)&lt;10,"0"&amp;MONTH('web survey'!Z36),MONTH('web survey'!Z36))&amp;"-"&amp;IF(DAY('web survey'!Z36)&lt;10,"0"&amp;DAY('web survey'!Z36),DAY('web survey'!Z36))&amp;" "&amp;IF(HOUR('web survey'!Z36)&lt;10,"0"&amp;HOUR('web survey'!Z36),HOUR('web survey'!Z36))&amp;":"&amp;IF(MINUTE('web survey'!Z36)&lt;10,"0"&amp;MINUTE('web survey'!Z36),MINUTE('web survey'!Z36))&amp;(":00'")</f>
        <v>2026-06-14 15:49:00'</v>
      </c>
      <c r="N38" s="37">
        <v>35</v>
      </c>
      <c r="O38" s="37" t="s">
        <v>27</v>
      </c>
      <c r="P38" s="38" t="s">
        <v>94</v>
      </c>
      <c r="Q38" s="43" t="s">
        <v>18</v>
      </c>
      <c r="R38" s="44" t="s">
        <v>17</v>
      </c>
      <c r="S38" s="43" t="s">
        <v>37</v>
      </c>
      <c r="T38" s="44" t="s">
        <v>17</v>
      </c>
      <c r="U38" s="43" t="s">
        <v>30</v>
      </c>
      <c r="V38" s="44" t="s">
        <v>17</v>
      </c>
      <c r="W38" s="43" t="s">
        <v>34</v>
      </c>
      <c r="X38" s="37" t="s">
        <v>95</v>
      </c>
    </row>
    <row r="39" ht="28.2" customHeight="1" spans="1:24">
      <c r="A39" s="28">
        <f>IF(B39="","",ROW()-COUNTBLANK($B$4:B39)-3)</f>
        <v>36</v>
      </c>
      <c r="B39" s="28" t="str">
        <f>'web survey'!C37</f>
        <v>FU-Z1-Eng</v>
      </c>
      <c r="C39" s="29" t="str">
        <f>'web survey'!AA37</f>
        <v>204465612</v>
      </c>
      <c r="D39" s="30" t="str">
        <f>IF(B39="FU-ACInstall",VLOOKUP(VALUE('web survey'!D37),ref!$B$6:$C$7,2,0)&amp;" ("&amp;'web survey'!D37&amp;")",VLOOKUP(VALUE('web survey'!D37),ref!$E$6:$F$10,2,0)&amp;" ("&amp;'web survey'!D37&amp;")")</f>
        <v>Good (10)</v>
      </c>
      <c r="E39" s="32" t="str">
        <f>'web survey'!S37</f>
        <v/>
      </c>
      <c r="F39" s="30" t="str">
        <f>IF(B39="FU-ACInstall",VLOOKUP(VALUE('web survey'!E37),ref!$B$10:$C$12,2,0)&amp;" ("&amp;'web survey'!E37&amp;")",VLOOKUP(VALUE('web survey'!E37),ref!$E$13:$F$17,2,0)&amp;" ("&amp;'web survey'!E37&amp;")")</f>
        <v>Good (5)</v>
      </c>
      <c r="G39" s="32" t="str">
        <f>'web survey'!T37</f>
        <v/>
      </c>
      <c r="H39" s="30" t="str">
        <f>IF(B39="FU-ACInstall",VLOOKUP(VALUE('web survey'!F37),ref!$B$15:$C$17,2,0)&amp;" ("&amp;'web survey'!F37&amp;")",VLOOKUP(VALUE('web survey'!F37),ref!$E$20:$F$21,2,0)&amp;" ("&amp;'web survey'!F37&amp;")")</f>
        <v>Appropriate with SAP / in Warranty (10)</v>
      </c>
      <c r="I39" s="32" t="str">
        <f>'web survey'!U37</f>
        <v/>
      </c>
      <c r="J39" s="30" t="str">
        <f>IF(B39="FU-ACInstall","-",VLOOKUP(VALUE('web survey'!G37),ref!$E$24:$F$26,2,0)&amp;" ("&amp;'web survey'!G37&amp;")")</f>
        <v>Jelas (5)</v>
      </c>
      <c r="K39" s="28" t="str">
        <f>YEAR('web survey'!Z37)&amp;"-"&amp;IF(MONTH('web survey'!Z37)&lt;10,"0"&amp;MONTH('web survey'!Z37),MONTH('web survey'!Z37))&amp;"-"&amp;IF(DAY('web survey'!Z37)&lt;10,"0"&amp;DAY('web survey'!Z37),DAY('web survey'!Z37))&amp;" "&amp;IF(HOUR('web survey'!Z37)&lt;10,"0"&amp;HOUR('web survey'!Z37),HOUR('web survey'!Z37))&amp;":"&amp;IF(MINUTE('web survey'!Z37)&lt;10,"0"&amp;MINUTE('web survey'!Z37),MINUTE('web survey'!Z37))&amp;(":00'")</f>
        <v>2026-06-14 15:37:00'</v>
      </c>
      <c r="N39" s="37">
        <v>36</v>
      </c>
      <c r="O39" s="37" t="s">
        <v>27</v>
      </c>
      <c r="P39" s="38" t="s">
        <v>96</v>
      </c>
      <c r="Q39" s="43" t="s">
        <v>18</v>
      </c>
      <c r="R39" s="44" t="s">
        <v>17</v>
      </c>
      <c r="S39" s="43" t="s">
        <v>29</v>
      </c>
      <c r="T39" s="44" t="s">
        <v>17</v>
      </c>
      <c r="U39" s="43" t="s">
        <v>30</v>
      </c>
      <c r="V39" s="44" t="s">
        <v>17</v>
      </c>
      <c r="W39" s="43" t="s">
        <v>34</v>
      </c>
      <c r="X39" s="37" t="s">
        <v>97</v>
      </c>
    </row>
    <row r="40" ht="28.2" customHeight="1" spans="1:24">
      <c r="A40" s="28">
        <f>IF(B40="","",ROW()-COUNTBLANK($B$4:B40)-3)</f>
        <v>37</v>
      </c>
      <c r="B40" s="28" t="str">
        <f>'web survey'!C38</f>
        <v>FU-Z1-Eng</v>
      </c>
      <c r="C40" s="29" t="str">
        <f>'web survey'!AA38</f>
        <v>204472810</v>
      </c>
      <c r="D40" s="30" t="str">
        <f>IF(B40="FU-ACInstall",VLOOKUP(VALUE('web survey'!D38),ref!$B$6:$C$7,2,0)&amp;" ("&amp;'web survey'!D38&amp;")",VLOOKUP(VALUE('web survey'!D38),ref!$E$6:$F$10,2,0)&amp;" ("&amp;'web survey'!D38&amp;")")</f>
        <v>Good (10)</v>
      </c>
      <c r="E40" s="32" t="str">
        <f>'web survey'!S38</f>
        <v/>
      </c>
      <c r="F40" s="30" t="str">
        <f>IF(B40="FU-ACInstall",VLOOKUP(VALUE('web survey'!E38),ref!$B$10:$C$12,2,0)&amp;" ("&amp;'web survey'!E38&amp;")",VLOOKUP(VALUE('web survey'!E38),ref!$E$13:$F$17,2,0)&amp;" ("&amp;'web survey'!E38&amp;")")</f>
        <v>Very Good (10)</v>
      </c>
      <c r="G40" s="32" t="str">
        <f>'web survey'!T38</f>
        <v/>
      </c>
      <c r="H40" s="30" t="str">
        <f>IF(B40="FU-ACInstall",VLOOKUP(VALUE('web survey'!F38),ref!$B$15:$C$17,2,0)&amp;" ("&amp;'web survey'!F38&amp;")",VLOOKUP(VALUE('web survey'!F38),ref!$E$20:$F$21,2,0)&amp;" ("&amp;'web survey'!F38&amp;")")</f>
        <v>Appropriate with SAP / in Warranty (10)</v>
      </c>
      <c r="I40" s="32" t="str">
        <f>'web survey'!U38</f>
        <v/>
      </c>
      <c r="J40" s="30" t="str">
        <f>IF(B40="FU-ACInstall","-",VLOOKUP(VALUE('web survey'!G38),ref!$E$24:$F$26,2,0)&amp;" ("&amp;'web survey'!G38&amp;")")</f>
        <v>Jelas (5)</v>
      </c>
      <c r="K40" s="28" t="str">
        <f>YEAR('web survey'!Z38)&amp;"-"&amp;IF(MONTH('web survey'!Z38)&lt;10,"0"&amp;MONTH('web survey'!Z38),MONTH('web survey'!Z38))&amp;"-"&amp;IF(DAY('web survey'!Z38)&lt;10,"0"&amp;DAY('web survey'!Z38),DAY('web survey'!Z38))&amp;" "&amp;IF(HOUR('web survey'!Z38)&lt;10,"0"&amp;HOUR('web survey'!Z38),HOUR('web survey'!Z38))&amp;":"&amp;IF(MINUTE('web survey'!Z38)&lt;10,"0"&amp;MINUTE('web survey'!Z38),MINUTE('web survey'!Z38))&amp;(":00'")</f>
        <v>2026-06-14 15:35:00'</v>
      </c>
      <c r="N40" s="37">
        <v>37</v>
      </c>
      <c r="O40" s="37" t="s">
        <v>27</v>
      </c>
      <c r="P40" s="38" t="s">
        <v>98</v>
      </c>
      <c r="Q40" s="43" t="s">
        <v>18</v>
      </c>
      <c r="R40" s="44" t="s">
        <v>17</v>
      </c>
      <c r="S40" s="43" t="s">
        <v>37</v>
      </c>
      <c r="T40" s="44" t="s">
        <v>17</v>
      </c>
      <c r="U40" s="43" t="s">
        <v>30</v>
      </c>
      <c r="V40" s="44" t="s">
        <v>17</v>
      </c>
      <c r="W40" s="43" t="s">
        <v>34</v>
      </c>
      <c r="X40" s="37" t="s">
        <v>99</v>
      </c>
    </row>
    <row r="41" ht="28.2" customHeight="1" spans="1:24">
      <c r="A41" s="28">
        <f>IF(B41="","",ROW()-COUNTBLANK($B$4:B41)-3)</f>
        <v>38</v>
      </c>
      <c r="B41" s="28" t="str">
        <f>'web survey'!C39</f>
        <v>FU-Z1-Eng</v>
      </c>
      <c r="C41" s="29" t="str">
        <f>'web survey'!AA39</f>
        <v>204475439</v>
      </c>
      <c r="D41" s="30" t="str">
        <f>IF(B41="FU-ACInstall",VLOOKUP(VALUE('web survey'!D39),ref!$B$6:$C$7,2,0)&amp;" ("&amp;'web survey'!D39&amp;")",VLOOKUP(VALUE('web survey'!D39),ref!$E$6:$F$10,2,0)&amp;" ("&amp;'web survey'!D39&amp;")")</f>
        <v>Good (10)</v>
      </c>
      <c r="E41" s="32" t="str">
        <f>'web survey'!S39</f>
        <v/>
      </c>
      <c r="F41" s="30" t="str">
        <f>IF(B41="FU-ACInstall",VLOOKUP(VALUE('web survey'!E39),ref!$B$10:$C$12,2,0)&amp;" ("&amp;'web survey'!E39&amp;")",VLOOKUP(VALUE('web survey'!E39),ref!$E$13:$F$17,2,0)&amp;" ("&amp;'web survey'!E39&amp;")")</f>
        <v>Very Good (10)</v>
      </c>
      <c r="G41" s="32" t="str">
        <f>'web survey'!T39</f>
        <v/>
      </c>
      <c r="H41" s="30" t="str">
        <f>IF(B41="FU-ACInstall",VLOOKUP(VALUE('web survey'!F39),ref!$B$15:$C$17,2,0)&amp;" ("&amp;'web survey'!F39&amp;")",VLOOKUP(VALUE('web survey'!F39),ref!$E$20:$F$21,2,0)&amp;" ("&amp;'web survey'!F39&amp;")")</f>
        <v>Appropriate with SAP / in Warranty (10)</v>
      </c>
      <c r="I41" s="32" t="str">
        <f>'web survey'!U39</f>
        <v/>
      </c>
      <c r="J41" s="30" t="str">
        <f>IF(B41="FU-ACInstall","-",VLOOKUP(VALUE('web survey'!G39),ref!$E$24:$F$26,2,0)&amp;" ("&amp;'web survey'!G39&amp;")")</f>
        <v>Jelas (5)</v>
      </c>
      <c r="K41" s="28" t="str">
        <f>YEAR('web survey'!Z39)&amp;"-"&amp;IF(MONTH('web survey'!Z39)&lt;10,"0"&amp;MONTH('web survey'!Z39),MONTH('web survey'!Z39))&amp;"-"&amp;IF(DAY('web survey'!Z39)&lt;10,"0"&amp;DAY('web survey'!Z39),DAY('web survey'!Z39))&amp;" "&amp;IF(HOUR('web survey'!Z39)&lt;10,"0"&amp;HOUR('web survey'!Z39),HOUR('web survey'!Z39))&amp;":"&amp;IF(MINUTE('web survey'!Z39)&lt;10,"0"&amp;MINUTE('web survey'!Z39),MINUTE('web survey'!Z39))&amp;(":00'")</f>
        <v>2026-06-14 15:34:00'</v>
      </c>
      <c r="N41" s="37">
        <v>38</v>
      </c>
      <c r="O41" s="37" t="s">
        <v>27</v>
      </c>
      <c r="P41" s="38" t="s">
        <v>100</v>
      </c>
      <c r="Q41" s="43" t="s">
        <v>18</v>
      </c>
      <c r="R41" s="44" t="s">
        <v>17</v>
      </c>
      <c r="S41" s="43" t="s">
        <v>37</v>
      </c>
      <c r="T41" s="44" t="s">
        <v>17</v>
      </c>
      <c r="U41" s="43" t="s">
        <v>30</v>
      </c>
      <c r="V41" s="44" t="s">
        <v>17</v>
      </c>
      <c r="W41" s="43" t="s">
        <v>34</v>
      </c>
      <c r="X41" s="37" t="s">
        <v>101</v>
      </c>
    </row>
    <row r="42" ht="28.2" customHeight="1" spans="1:24">
      <c r="A42" s="28">
        <f>IF(B42="","",ROW()-COUNTBLANK($B$4:B42)-3)</f>
        <v>39</v>
      </c>
      <c r="B42" s="28" t="str">
        <f>'web survey'!C40</f>
        <v>FU-Z1-Eng</v>
      </c>
      <c r="C42" s="29" t="str">
        <f>'web survey'!AA40</f>
        <v>204470374</v>
      </c>
      <c r="D42" s="30" t="str">
        <f>IF(B42="FU-ACInstall",VLOOKUP(VALUE('web survey'!D40),ref!$B$6:$C$7,2,0)&amp;" ("&amp;'web survey'!D40&amp;")",VLOOKUP(VALUE('web survey'!D40),ref!$E$6:$F$10,2,0)&amp;" ("&amp;'web survey'!D40&amp;")")</f>
        <v>Good (10)</v>
      </c>
      <c r="E42" s="32" t="str">
        <f>'web survey'!S40</f>
        <v/>
      </c>
      <c r="F42" s="30" t="str">
        <f>IF(B42="FU-ACInstall",VLOOKUP(VALUE('web survey'!E40),ref!$B$10:$C$12,2,0)&amp;" ("&amp;'web survey'!E40&amp;")",VLOOKUP(VALUE('web survey'!E40),ref!$E$13:$F$17,2,0)&amp;" ("&amp;'web survey'!E40&amp;")")</f>
        <v>Very Good (10)</v>
      </c>
      <c r="G42" s="32" t="str">
        <f>'web survey'!T40</f>
        <v/>
      </c>
      <c r="H42" s="30" t="str">
        <f>IF(B42="FU-ACInstall",VLOOKUP(VALUE('web survey'!F40),ref!$B$15:$C$17,2,0)&amp;" ("&amp;'web survey'!F40&amp;")",VLOOKUP(VALUE('web survey'!F40),ref!$E$20:$F$21,2,0)&amp;" ("&amp;'web survey'!F40&amp;")")</f>
        <v>Appropriate with SAP / in Warranty (10)</v>
      </c>
      <c r="I42" s="32" t="str">
        <f>'web survey'!U40</f>
        <v/>
      </c>
      <c r="J42" s="30" t="str">
        <f>IF(B42="FU-ACInstall","-",VLOOKUP(VALUE('web survey'!G40),ref!$E$24:$F$26,2,0)&amp;" ("&amp;'web survey'!G40&amp;")")</f>
        <v>Jelas (5)</v>
      </c>
      <c r="K42" s="28" t="str">
        <f>YEAR('web survey'!Z40)&amp;"-"&amp;IF(MONTH('web survey'!Z40)&lt;10,"0"&amp;MONTH('web survey'!Z40),MONTH('web survey'!Z40))&amp;"-"&amp;IF(DAY('web survey'!Z40)&lt;10,"0"&amp;DAY('web survey'!Z40),DAY('web survey'!Z40))&amp;" "&amp;IF(HOUR('web survey'!Z40)&lt;10,"0"&amp;HOUR('web survey'!Z40),HOUR('web survey'!Z40))&amp;":"&amp;IF(MINUTE('web survey'!Z40)&lt;10,"0"&amp;MINUTE('web survey'!Z40),MINUTE('web survey'!Z40))&amp;(":00'")</f>
        <v>2026-06-14 15:28:00'</v>
      </c>
      <c r="N42" s="37">
        <v>39</v>
      </c>
      <c r="O42" s="37" t="s">
        <v>27</v>
      </c>
      <c r="P42" s="38" t="s">
        <v>102</v>
      </c>
      <c r="Q42" s="43" t="s">
        <v>18</v>
      </c>
      <c r="R42" s="44" t="s">
        <v>17</v>
      </c>
      <c r="S42" s="43" t="s">
        <v>37</v>
      </c>
      <c r="T42" s="44" t="s">
        <v>17</v>
      </c>
      <c r="U42" s="43" t="s">
        <v>30</v>
      </c>
      <c r="V42" s="44" t="s">
        <v>17</v>
      </c>
      <c r="W42" s="43" t="s">
        <v>34</v>
      </c>
      <c r="X42" s="37" t="s">
        <v>103</v>
      </c>
    </row>
    <row r="43" ht="28.2" customHeight="1" spans="1:24">
      <c r="A43" s="28">
        <f>IF(B43="","",ROW()-COUNTBLANK($B$4:B43)-3)</f>
        <v>40</v>
      </c>
      <c r="B43" s="28" t="str">
        <f>'web survey'!C41</f>
        <v>FU-Z1-Eng</v>
      </c>
      <c r="C43" s="29" t="str">
        <f>'web survey'!AA41</f>
        <v>204474668</v>
      </c>
      <c r="D43" s="30" t="str">
        <f>IF(B43="FU-ACInstall",VLOOKUP(VALUE('web survey'!D41),ref!$B$6:$C$7,2,0)&amp;" ("&amp;'web survey'!D41&amp;")",VLOOKUP(VALUE('web survey'!D41),ref!$E$6:$F$10,2,0)&amp;" ("&amp;'web survey'!D41&amp;")")</f>
        <v>Good (10)</v>
      </c>
      <c r="E43" s="32" t="str">
        <f>'web survey'!S41</f>
        <v/>
      </c>
      <c r="F43" s="30" t="str">
        <f>IF(B43="FU-ACInstall",VLOOKUP(VALUE('web survey'!E41),ref!$B$10:$C$12,2,0)&amp;" ("&amp;'web survey'!E41&amp;")",VLOOKUP(VALUE('web survey'!E41),ref!$E$13:$F$17,2,0)&amp;" ("&amp;'web survey'!E41&amp;")")</f>
        <v>Good (5)</v>
      </c>
      <c r="G43" s="32" t="str">
        <f>'web survey'!T41</f>
        <v/>
      </c>
      <c r="H43" s="30" t="str">
        <f>IF(B43="FU-ACInstall",VLOOKUP(VALUE('web survey'!F41),ref!$B$15:$C$17,2,0)&amp;" ("&amp;'web survey'!F41&amp;")",VLOOKUP(VALUE('web survey'!F41),ref!$E$20:$F$21,2,0)&amp;" ("&amp;'web survey'!F41&amp;")")</f>
        <v>Appropriate with SAP / in Warranty (10)</v>
      </c>
      <c r="I43" s="32" t="str">
        <f>'web survey'!U41</f>
        <v/>
      </c>
      <c r="J43" s="30" t="str">
        <f>IF(B43="FU-ACInstall","-",VLOOKUP(VALUE('web survey'!G41),ref!$E$24:$F$26,2,0)&amp;" ("&amp;'web survey'!G41&amp;")")</f>
        <v>Jelas (5)</v>
      </c>
      <c r="K43" s="28" t="str">
        <f>YEAR('web survey'!Z41)&amp;"-"&amp;IF(MONTH('web survey'!Z41)&lt;10,"0"&amp;MONTH('web survey'!Z41),MONTH('web survey'!Z41))&amp;"-"&amp;IF(DAY('web survey'!Z41)&lt;10,"0"&amp;DAY('web survey'!Z41),DAY('web survey'!Z41))&amp;" "&amp;IF(HOUR('web survey'!Z41)&lt;10,"0"&amp;HOUR('web survey'!Z41),HOUR('web survey'!Z41))&amp;":"&amp;IF(MINUTE('web survey'!Z41)&lt;10,"0"&amp;MINUTE('web survey'!Z41),MINUTE('web survey'!Z41))&amp;(":00'")</f>
        <v>2026-06-14 15:28:00'</v>
      </c>
      <c r="N43" s="37">
        <v>40</v>
      </c>
      <c r="O43" s="37" t="s">
        <v>27</v>
      </c>
      <c r="P43" s="38" t="s">
        <v>104</v>
      </c>
      <c r="Q43" s="43" t="s">
        <v>18</v>
      </c>
      <c r="R43" s="44" t="s">
        <v>17</v>
      </c>
      <c r="S43" s="43" t="s">
        <v>29</v>
      </c>
      <c r="T43" s="44" t="s">
        <v>17</v>
      </c>
      <c r="U43" s="43" t="s">
        <v>30</v>
      </c>
      <c r="V43" s="44" t="s">
        <v>17</v>
      </c>
      <c r="W43" s="43" t="s">
        <v>34</v>
      </c>
      <c r="X43" s="37" t="s">
        <v>103</v>
      </c>
    </row>
    <row r="44" ht="28.2" customHeight="1" spans="1:24">
      <c r="A44" s="28">
        <f>IF(B44="","",ROW()-COUNTBLANK($B$4:B44)-3)</f>
        <v>41</v>
      </c>
      <c r="B44" s="28" t="str">
        <f>'web survey'!C42</f>
        <v>FU-Z1-Eng</v>
      </c>
      <c r="C44" s="29" t="str">
        <f>'web survey'!AA42</f>
        <v>204474296</v>
      </c>
      <c r="D44" s="30" t="str">
        <f>IF(B44="FU-ACInstall",VLOOKUP(VALUE('web survey'!D42),ref!$B$6:$C$7,2,0)&amp;" ("&amp;'web survey'!D42&amp;")",VLOOKUP(VALUE('web survey'!D42),ref!$E$6:$F$10,2,0)&amp;" ("&amp;'web survey'!D42&amp;")")</f>
        <v>Good (10)</v>
      </c>
      <c r="E44" s="32" t="str">
        <f>'web survey'!S42</f>
        <v/>
      </c>
      <c r="F44" s="30" t="str">
        <f>IF(B44="FU-ACInstall",VLOOKUP(VALUE('web survey'!E42),ref!$B$10:$C$12,2,0)&amp;" ("&amp;'web survey'!E42&amp;")",VLOOKUP(VALUE('web survey'!E42),ref!$E$13:$F$17,2,0)&amp;" ("&amp;'web survey'!E42&amp;")")</f>
        <v>Very Good (10)</v>
      </c>
      <c r="G44" s="32" t="str">
        <f>'web survey'!T42</f>
        <v/>
      </c>
      <c r="H44" s="30" t="str">
        <f>IF(B44="FU-ACInstall",VLOOKUP(VALUE('web survey'!F42),ref!$B$15:$C$17,2,0)&amp;" ("&amp;'web survey'!F42&amp;")",VLOOKUP(VALUE('web survey'!F42),ref!$E$20:$F$21,2,0)&amp;" ("&amp;'web survey'!F42&amp;")")</f>
        <v>Appropriate with SAP / in Warranty (10)</v>
      </c>
      <c r="I44" s="32" t="str">
        <f>'web survey'!U42</f>
        <v/>
      </c>
      <c r="J44" s="30" t="str">
        <f>IF(B44="FU-ACInstall","-",VLOOKUP(VALUE('web survey'!G42),ref!$E$24:$F$26,2,0)&amp;" ("&amp;'web survey'!G42&amp;")")</f>
        <v>Jelas (5)</v>
      </c>
      <c r="K44" s="28" t="str">
        <f>YEAR('web survey'!Z42)&amp;"-"&amp;IF(MONTH('web survey'!Z42)&lt;10,"0"&amp;MONTH('web survey'!Z42),MONTH('web survey'!Z42))&amp;"-"&amp;IF(DAY('web survey'!Z42)&lt;10,"0"&amp;DAY('web survey'!Z42),DAY('web survey'!Z42))&amp;" "&amp;IF(HOUR('web survey'!Z42)&lt;10,"0"&amp;HOUR('web survey'!Z42),HOUR('web survey'!Z42))&amp;":"&amp;IF(MINUTE('web survey'!Z42)&lt;10,"0"&amp;MINUTE('web survey'!Z42),MINUTE('web survey'!Z42))&amp;(":00'")</f>
        <v>2026-06-14 15:27:00'</v>
      </c>
      <c r="N44" s="37">
        <v>41</v>
      </c>
      <c r="O44" s="37" t="s">
        <v>27</v>
      </c>
      <c r="P44" s="38" t="s">
        <v>105</v>
      </c>
      <c r="Q44" s="43" t="s">
        <v>18</v>
      </c>
      <c r="R44" s="44" t="s">
        <v>17</v>
      </c>
      <c r="S44" s="43" t="s">
        <v>37</v>
      </c>
      <c r="T44" s="44" t="s">
        <v>17</v>
      </c>
      <c r="U44" s="43" t="s">
        <v>30</v>
      </c>
      <c r="V44" s="44" t="s">
        <v>17</v>
      </c>
      <c r="W44" s="43" t="s">
        <v>34</v>
      </c>
      <c r="X44" s="37" t="s">
        <v>106</v>
      </c>
    </row>
    <row r="45" ht="28.2" customHeight="1" spans="1:24">
      <c r="A45" s="28">
        <f>IF(B45="","",ROW()-COUNTBLANK($B$4:B45)-3)</f>
        <v>42</v>
      </c>
      <c r="B45" s="28" t="str">
        <f>'web survey'!C43</f>
        <v>FU-Z1-Eng</v>
      </c>
      <c r="C45" s="29" t="str">
        <f>'web survey'!AA43</f>
        <v>204476057</v>
      </c>
      <c r="D45" s="30" t="str">
        <f>IF(B45="FU-ACInstall",VLOOKUP(VALUE('web survey'!D43),ref!$B$6:$C$7,2,0)&amp;" ("&amp;'web survey'!D43&amp;")",VLOOKUP(VALUE('web survey'!D43),ref!$E$6:$F$10,2,0)&amp;" ("&amp;'web survey'!D43&amp;")")</f>
        <v>Good (10)</v>
      </c>
      <c r="E45" s="32" t="str">
        <f>'web survey'!S43</f>
        <v/>
      </c>
      <c r="F45" s="30" t="str">
        <f>IF(B45="FU-ACInstall",VLOOKUP(VALUE('web survey'!E43),ref!$B$10:$C$12,2,0)&amp;" ("&amp;'web survey'!E43&amp;")",VLOOKUP(VALUE('web survey'!E43),ref!$E$13:$F$17,2,0)&amp;" ("&amp;'web survey'!E43&amp;")")</f>
        <v>Very Good (10)</v>
      </c>
      <c r="G45" s="32" t="str">
        <f>'web survey'!T43</f>
        <v/>
      </c>
      <c r="H45" s="30" t="str">
        <f>IF(B45="FU-ACInstall",VLOOKUP(VALUE('web survey'!F43),ref!$B$15:$C$17,2,0)&amp;" ("&amp;'web survey'!F43&amp;")",VLOOKUP(VALUE('web survey'!F43),ref!$E$20:$F$21,2,0)&amp;" ("&amp;'web survey'!F43&amp;")")</f>
        <v>Appropriate with SAP / in Warranty (10)</v>
      </c>
      <c r="I45" s="32" t="str">
        <f>'web survey'!U43</f>
        <v/>
      </c>
      <c r="J45" s="30" t="str">
        <f>IF(B45="FU-ACInstall","-",VLOOKUP(VALUE('web survey'!G43),ref!$E$24:$F$26,2,0)&amp;" ("&amp;'web survey'!G43&amp;")")</f>
        <v>Jelas (5)</v>
      </c>
      <c r="K45" s="28" t="str">
        <f>YEAR('web survey'!Z43)&amp;"-"&amp;IF(MONTH('web survey'!Z43)&lt;10,"0"&amp;MONTH('web survey'!Z43),MONTH('web survey'!Z43))&amp;"-"&amp;IF(DAY('web survey'!Z43)&lt;10,"0"&amp;DAY('web survey'!Z43),DAY('web survey'!Z43))&amp;" "&amp;IF(HOUR('web survey'!Z43)&lt;10,"0"&amp;HOUR('web survey'!Z43),HOUR('web survey'!Z43))&amp;":"&amp;IF(MINUTE('web survey'!Z43)&lt;10,"0"&amp;MINUTE('web survey'!Z43),MINUTE('web survey'!Z43))&amp;(":00'")</f>
        <v>2026-06-14 15:27:00'</v>
      </c>
      <c r="N45" s="37">
        <v>42</v>
      </c>
      <c r="O45" s="37" t="s">
        <v>27</v>
      </c>
      <c r="P45" s="38" t="s">
        <v>107</v>
      </c>
      <c r="Q45" s="43" t="s">
        <v>18</v>
      </c>
      <c r="R45" s="44" t="s">
        <v>17</v>
      </c>
      <c r="S45" s="43" t="s">
        <v>37</v>
      </c>
      <c r="T45" s="44" t="s">
        <v>17</v>
      </c>
      <c r="U45" s="43" t="s">
        <v>30</v>
      </c>
      <c r="V45" s="44" t="s">
        <v>17</v>
      </c>
      <c r="W45" s="43" t="s">
        <v>34</v>
      </c>
      <c r="X45" s="37" t="s">
        <v>106</v>
      </c>
    </row>
    <row r="46" ht="28.2" customHeight="1" spans="1:24">
      <c r="A46" s="28">
        <f>IF(B46="","",ROW()-COUNTBLANK($B$4:B46)-3)</f>
        <v>43</v>
      </c>
      <c r="B46" s="28" t="str">
        <f>'web survey'!C44</f>
        <v>FU-Z1-Eng</v>
      </c>
      <c r="C46" s="29" t="str">
        <f>'web survey'!AA44</f>
        <v>204474948</v>
      </c>
      <c r="D46" s="30" t="str">
        <f>IF(B46="FU-ACInstall",VLOOKUP(VALUE('web survey'!D44),ref!$B$6:$C$7,2,0)&amp;" ("&amp;'web survey'!D44&amp;")",VLOOKUP(VALUE('web survey'!D44),ref!$E$6:$F$10,2,0)&amp;" ("&amp;'web survey'!D44&amp;")")</f>
        <v>Good (10)</v>
      </c>
      <c r="E46" s="32" t="str">
        <f>'web survey'!S44</f>
        <v/>
      </c>
      <c r="F46" s="30" t="str">
        <f>IF(B46="FU-ACInstall",VLOOKUP(VALUE('web survey'!E44),ref!$B$10:$C$12,2,0)&amp;" ("&amp;'web survey'!E44&amp;")",VLOOKUP(VALUE('web survey'!E44),ref!$E$13:$F$17,2,0)&amp;" ("&amp;'web survey'!E44&amp;")")</f>
        <v>Very Good (10)</v>
      </c>
      <c r="G46" s="32" t="str">
        <f>'web survey'!T44</f>
        <v/>
      </c>
      <c r="H46" s="30" t="str">
        <f>IF(B46="FU-ACInstall",VLOOKUP(VALUE('web survey'!F44),ref!$B$15:$C$17,2,0)&amp;" ("&amp;'web survey'!F44&amp;")",VLOOKUP(VALUE('web survey'!F44),ref!$E$20:$F$21,2,0)&amp;" ("&amp;'web survey'!F44&amp;")")</f>
        <v>Appropriate with SAP / in Warranty (10)</v>
      </c>
      <c r="I46" s="32" t="str">
        <f>'web survey'!U44</f>
        <v/>
      </c>
      <c r="J46" s="30" t="str">
        <f>IF(B46="FU-ACInstall","-",VLOOKUP(VALUE('web survey'!G44),ref!$E$24:$F$26,2,0)&amp;" ("&amp;'web survey'!G44&amp;")")</f>
        <v>Jelas (5)</v>
      </c>
      <c r="K46" s="28" t="str">
        <f>YEAR('web survey'!Z44)&amp;"-"&amp;IF(MONTH('web survey'!Z44)&lt;10,"0"&amp;MONTH('web survey'!Z44),MONTH('web survey'!Z44))&amp;"-"&amp;IF(DAY('web survey'!Z44)&lt;10,"0"&amp;DAY('web survey'!Z44),DAY('web survey'!Z44))&amp;" "&amp;IF(HOUR('web survey'!Z44)&lt;10,"0"&amp;HOUR('web survey'!Z44),HOUR('web survey'!Z44))&amp;":"&amp;IF(MINUTE('web survey'!Z44)&lt;10,"0"&amp;MINUTE('web survey'!Z44),MINUTE('web survey'!Z44))&amp;(":00'")</f>
        <v>2026-06-14 15:26:00'</v>
      </c>
      <c r="N46" s="37">
        <v>43</v>
      </c>
      <c r="O46" s="37" t="s">
        <v>27</v>
      </c>
      <c r="P46" s="38" t="s">
        <v>108</v>
      </c>
      <c r="Q46" s="43" t="s">
        <v>18</v>
      </c>
      <c r="R46" s="44" t="s">
        <v>17</v>
      </c>
      <c r="S46" s="43" t="s">
        <v>37</v>
      </c>
      <c r="T46" s="44" t="s">
        <v>17</v>
      </c>
      <c r="U46" s="43" t="s">
        <v>30</v>
      </c>
      <c r="V46" s="44" t="s">
        <v>17</v>
      </c>
      <c r="W46" s="43" t="s">
        <v>34</v>
      </c>
      <c r="X46" s="37" t="s">
        <v>109</v>
      </c>
    </row>
    <row r="47" ht="28.2" customHeight="1" spans="1:24">
      <c r="A47" s="28">
        <f>IF(B47="","",ROW()-COUNTBLANK($B$4:B47)-3)</f>
        <v>44</v>
      </c>
      <c r="B47" s="28" t="str">
        <f>'web survey'!C45</f>
        <v>FU-Z1-Eng</v>
      </c>
      <c r="C47" s="29" t="str">
        <f>'web survey'!AA45</f>
        <v>1105A2603413</v>
      </c>
      <c r="D47" s="30" t="str">
        <f>IF(B47="FU-ACInstall",VLOOKUP(VALUE('web survey'!D45),ref!$B$6:$C$7,2,0)&amp;" ("&amp;'web survey'!D45&amp;")",VLOOKUP(VALUE('web survey'!D45),ref!$E$6:$F$10,2,0)&amp;" ("&amp;'web survey'!D45&amp;")")</f>
        <v>Good (10)</v>
      </c>
      <c r="E47" s="32" t="str">
        <f>'web survey'!S45</f>
        <v/>
      </c>
      <c r="F47" s="30" t="str">
        <f>IF(B47="FU-ACInstall",VLOOKUP(VALUE('web survey'!E45),ref!$B$10:$C$12,2,0)&amp;" ("&amp;'web survey'!E45&amp;")",VLOOKUP(VALUE('web survey'!E45),ref!$E$13:$F$17,2,0)&amp;" ("&amp;'web survey'!E45&amp;")")</f>
        <v>Very Good (10)</v>
      </c>
      <c r="G47" s="32" t="str">
        <f>'web survey'!T45</f>
        <v/>
      </c>
      <c r="H47" s="30" t="str">
        <f>IF(B47="FU-ACInstall",VLOOKUP(VALUE('web survey'!F45),ref!$B$15:$C$17,2,0)&amp;" ("&amp;'web survey'!F45&amp;")",VLOOKUP(VALUE('web survey'!F45),ref!$E$20:$F$21,2,0)&amp;" ("&amp;'web survey'!F45&amp;")")</f>
        <v>Appropriate with SAP / in Warranty (10)</v>
      </c>
      <c r="I47" s="32" t="str">
        <f>'web survey'!U45</f>
        <v/>
      </c>
      <c r="J47" s="30" t="str">
        <f>IF(B47="FU-ACInstall","-",VLOOKUP(VALUE('web survey'!G45),ref!$E$24:$F$26,2,0)&amp;" ("&amp;'web survey'!G45&amp;")")</f>
        <v>Jelas (5)</v>
      </c>
      <c r="K47" s="28" t="str">
        <f>YEAR('web survey'!Z45)&amp;"-"&amp;IF(MONTH('web survey'!Z45)&lt;10,"0"&amp;MONTH('web survey'!Z45),MONTH('web survey'!Z45))&amp;"-"&amp;IF(DAY('web survey'!Z45)&lt;10,"0"&amp;DAY('web survey'!Z45),DAY('web survey'!Z45))&amp;" "&amp;IF(HOUR('web survey'!Z45)&lt;10,"0"&amp;HOUR('web survey'!Z45),HOUR('web survey'!Z45))&amp;":"&amp;IF(MINUTE('web survey'!Z45)&lt;10,"0"&amp;MINUTE('web survey'!Z45),MINUTE('web survey'!Z45))&amp;(":00'")</f>
        <v>2026-06-14 15:25:00'</v>
      </c>
      <c r="N47" s="37">
        <v>44</v>
      </c>
      <c r="O47" s="37" t="s">
        <v>27</v>
      </c>
      <c r="P47" s="38" t="s">
        <v>110</v>
      </c>
      <c r="Q47" s="43" t="s">
        <v>18</v>
      </c>
      <c r="R47" s="44" t="s">
        <v>17</v>
      </c>
      <c r="S47" s="43" t="s">
        <v>37</v>
      </c>
      <c r="T47" s="44" t="s">
        <v>17</v>
      </c>
      <c r="U47" s="43" t="s">
        <v>30</v>
      </c>
      <c r="V47" s="44" t="s">
        <v>17</v>
      </c>
      <c r="W47" s="43" t="s">
        <v>34</v>
      </c>
      <c r="X47" s="37" t="s">
        <v>111</v>
      </c>
    </row>
    <row r="48" ht="28.2" customHeight="1" spans="1:24">
      <c r="A48" s="28">
        <f>IF(B48="","",ROW()-COUNTBLANK($B$4:B48)-3)</f>
        <v>45</v>
      </c>
      <c r="B48" s="28" t="str">
        <f>'web survey'!C46</f>
        <v>FU-Z1-Eng</v>
      </c>
      <c r="C48" s="29" t="str">
        <f>'web survey'!AA46</f>
        <v>100986808</v>
      </c>
      <c r="D48" s="30" t="str">
        <f>IF(B48="FU-ACInstall",VLOOKUP(VALUE('web survey'!D46),ref!$B$6:$C$7,2,0)&amp;" ("&amp;'web survey'!D46&amp;")",VLOOKUP(VALUE('web survey'!D46),ref!$E$6:$F$10,2,0)&amp;" ("&amp;'web survey'!D46&amp;")")</f>
        <v>Good (10)</v>
      </c>
      <c r="E48" s="32" t="str">
        <f>'web survey'!S46</f>
        <v/>
      </c>
      <c r="F48" s="30" t="str">
        <f>IF(B48="FU-ACInstall",VLOOKUP(VALUE('web survey'!E46),ref!$B$10:$C$12,2,0)&amp;" ("&amp;'web survey'!E46&amp;")",VLOOKUP(VALUE('web survey'!E46),ref!$E$13:$F$17,2,0)&amp;" ("&amp;'web survey'!E46&amp;")")</f>
        <v>Good (5)</v>
      </c>
      <c r="G48" s="32" t="str">
        <f>'web survey'!T46</f>
        <v/>
      </c>
      <c r="H48" s="30" t="str">
        <f>IF(B48="FU-ACInstall",VLOOKUP(VALUE('web survey'!F46),ref!$B$15:$C$17,2,0)&amp;" ("&amp;'web survey'!F46&amp;")",VLOOKUP(VALUE('web survey'!F46),ref!$E$20:$F$21,2,0)&amp;" ("&amp;'web survey'!F46&amp;")")</f>
        <v>Appropriate with SAP / in Warranty (10)</v>
      </c>
      <c r="I48" s="32" t="str">
        <f>'web survey'!U46</f>
        <v/>
      </c>
      <c r="J48" s="30" t="str">
        <f>IF(B48="FU-ACInstall","-",VLOOKUP(VALUE('web survey'!G46),ref!$E$24:$F$26,2,0)&amp;" ("&amp;'web survey'!G46&amp;")")</f>
        <v>Jelas (5)</v>
      </c>
      <c r="K48" s="28" t="str">
        <f>YEAR('web survey'!Z46)&amp;"-"&amp;IF(MONTH('web survey'!Z46)&lt;10,"0"&amp;MONTH('web survey'!Z46),MONTH('web survey'!Z46))&amp;"-"&amp;IF(DAY('web survey'!Z46)&lt;10,"0"&amp;DAY('web survey'!Z46),DAY('web survey'!Z46))&amp;" "&amp;IF(HOUR('web survey'!Z46)&lt;10,"0"&amp;HOUR('web survey'!Z46),HOUR('web survey'!Z46))&amp;":"&amp;IF(MINUTE('web survey'!Z46)&lt;10,"0"&amp;MINUTE('web survey'!Z46),MINUTE('web survey'!Z46))&amp;(":00'")</f>
        <v>2026-06-14 15:24:00'</v>
      </c>
      <c r="N48" s="37">
        <v>45</v>
      </c>
      <c r="O48" s="37" t="s">
        <v>27</v>
      </c>
      <c r="P48" s="38" t="s">
        <v>112</v>
      </c>
      <c r="Q48" s="43" t="s">
        <v>18</v>
      </c>
      <c r="R48" s="44" t="s">
        <v>17</v>
      </c>
      <c r="S48" s="43" t="s">
        <v>29</v>
      </c>
      <c r="T48" s="44" t="s">
        <v>17</v>
      </c>
      <c r="U48" s="43" t="s">
        <v>30</v>
      </c>
      <c r="V48" s="44" t="s">
        <v>17</v>
      </c>
      <c r="W48" s="43" t="s">
        <v>34</v>
      </c>
      <c r="X48" s="37" t="s">
        <v>113</v>
      </c>
    </row>
    <row r="49" ht="28.2" customHeight="1" spans="1:24">
      <c r="A49" s="28">
        <f>IF(B49="","",ROW()-COUNTBLANK($B$4:B49)-3)</f>
        <v>46</v>
      </c>
      <c r="B49" s="28" t="str">
        <f>'web survey'!C47</f>
        <v>FU-Z1-Eng</v>
      </c>
      <c r="C49" s="29" t="str">
        <f>'web survey'!AA47</f>
        <v>204464398</v>
      </c>
      <c r="D49" s="30" t="str">
        <f>IF(B49="FU-ACInstall",VLOOKUP(VALUE('web survey'!D47),ref!$B$6:$C$7,2,0)&amp;" ("&amp;'web survey'!D47&amp;")",VLOOKUP(VALUE('web survey'!D47),ref!$E$6:$F$10,2,0)&amp;" ("&amp;'web survey'!D47&amp;")")</f>
        <v>Good (10)</v>
      </c>
      <c r="E49" s="32" t="str">
        <f>'web survey'!S47</f>
        <v/>
      </c>
      <c r="F49" s="30" t="str">
        <f>IF(B49="FU-ACInstall",VLOOKUP(VALUE('web survey'!E47),ref!$B$10:$C$12,2,0)&amp;" ("&amp;'web survey'!E47&amp;")",VLOOKUP(VALUE('web survey'!E47),ref!$E$13:$F$17,2,0)&amp;" ("&amp;'web survey'!E47&amp;")")</f>
        <v>Very Good (10)</v>
      </c>
      <c r="G49" s="32" t="str">
        <f>'web survey'!T47</f>
        <v/>
      </c>
      <c r="H49" s="30" t="str">
        <f>IF(B49="FU-ACInstall",VLOOKUP(VALUE('web survey'!F47),ref!$B$15:$C$17,2,0)&amp;" ("&amp;'web survey'!F47&amp;")",VLOOKUP(VALUE('web survey'!F47),ref!$E$20:$F$21,2,0)&amp;" ("&amp;'web survey'!F47&amp;")")</f>
        <v>Appropriate with SAP / in Warranty (10)</v>
      </c>
      <c r="I49" s="32" t="str">
        <f>'web survey'!U47</f>
        <v/>
      </c>
      <c r="J49" s="30" t="str">
        <f>IF(B49="FU-ACInstall","-",VLOOKUP(VALUE('web survey'!G47),ref!$E$24:$F$26,2,0)&amp;" ("&amp;'web survey'!G47&amp;")")</f>
        <v>Jelas (5)</v>
      </c>
      <c r="K49" s="28" t="str">
        <f>YEAR('web survey'!Z47)&amp;"-"&amp;IF(MONTH('web survey'!Z47)&lt;10,"0"&amp;MONTH('web survey'!Z47),MONTH('web survey'!Z47))&amp;"-"&amp;IF(DAY('web survey'!Z47)&lt;10,"0"&amp;DAY('web survey'!Z47),DAY('web survey'!Z47))&amp;" "&amp;IF(HOUR('web survey'!Z47)&lt;10,"0"&amp;HOUR('web survey'!Z47),HOUR('web survey'!Z47))&amp;":"&amp;IF(MINUTE('web survey'!Z47)&lt;10,"0"&amp;MINUTE('web survey'!Z47),MINUTE('web survey'!Z47))&amp;(":00'")</f>
        <v>2026-06-14 15:16:00'</v>
      </c>
      <c r="N49" s="37">
        <v>46</v>
      </c>
      <c r="O49" s="37" t="s">
        <v>27</v>
      </c>
      <c r="P49" s="38" t="s">
        <v>114</v>
      </c>
      <c r="Q49" s="43" t="s">
        <v>18</v>
      </c>
      <c r="R49" s="44" t="s">
        <v>17</v>
      </c>
      <c r="S49" s="43" t="s">
        <v>37</v>
      </c>
      <c r="T49" s="44" t="s">
        <v>17</v>
      </c>
      <c r="U49" s="43" t="s">
        <v>30</v>
      </c>
      <c r="V49" s="44" t="s">
        <v>17</v>
      </c>
      <c r="W49" s="43" t="s">
        <v>34</v>
      </c>
      <c r="X49" s="37" t="s">
        <v>115</v>
      </c>
    </row>
    <row r="50" ht="28.2" customHeight="1" spans="1:24">
      <c r="A50" s="28">
        <f>IF(B50="","",ROW()-COUNTBLANK($B$4:B50)-3)</f>
        <v>47</v>
      </c>
      <c r="B50" s="28" t="str">
        <f>'web survey'!C48</f>
        <v>FU-Z1-Eng</v>
      </c>
      <c r="C50" s="29" t="str">
        <f>'web survey'!AA48</f>
        <v>204476281</v>
      </c>
      <c r="D50" s="30" t="str">
        <f>IF(B50="FU-ACInstall",VLOOKUP(VALUE('web survey'!D48),ref!$B$6:$C$7,2,0)&amp;" ("&amp;'web survey'!D48&amp;")",VLOOKUP(VALUE('web survey'!D48),ref!$E$6:$F$10,2,0)&amp;" ("&amp;'web survey'!D48&amp;")")</f>
        <v>Good (10)</v>
      </c>
      <c r="E50" s="32" t="str">
        <f>'web survey'!S48</f>
        <v/>
      </c>
      <c r="F50" s="30" t="str">
        <f>IF(B50="FU-ACInstall",VLOOKUP(VALUE('web survey'!E48),ref!$B$10:$C$12,2,0)&amp;" ("&amp;'web survey'!E48&amp;")",VLOOKUP(VALUE('web survey'!E48),ref!$E$13:$F$17,2,0)&amp;" ("&amp;'web survey'!E48&amp;")")</f>
        <v>Very Good (10)</v>
      </c>
      <c r="G50" s="32" t="str">
        <f>'web survey'!T48</f>
        <v/>
      </c>
      <c r="H50" s="30" t="str">
        <f>IF(B50="FU-ACInstall",VLOOKUP(VALUE('web survey'!F48),ref!$B$15:$C$17,2,0)&amp;" ("&amp;'web survey'!F48&amp;")",VLOOKUP(VALUE('web survey'!F48),ref!$E$20:$F$21,2,0)&amp;" ("&amp;'web survey'!F48&amp;")")</f>
        <v>Appropriate with SAP / in Warranty (10)</v>
      </c>
      <c r="I50" s="32" t="str">
        <f>'web survey'!U48</f>
        <v/>
      </c>
      <c r="J50" s="30" t="str">
        <f>IF(B50="FU-ACInstall","-",VLOOKUP(VALUE('web survey'!G48),ref!$E$24:$F$26,2,0)&amp;" ("&amp;'web survey'!G48&amp;")")</f>
        <v>Jelas (5)</v>
      </c>
      <c r="K50" s="28" t="str">
        <f>YEAR('web survey'!Z48)&amp;"-"&amp;IF(MONTH('web survey'!Z48)&lt;10,"0"&amp;MONTH('web survey'!Z48),MONTH('web survey'!Z48))&amp;"-"&amp;IF(DAY('web survey'!Z48)&lt;10,"0"&amp;DAY('web survey'!Z48),DAY('web survey'!Z48))&amp;" "&amp;IF(HOUR('web survey'!Z48)&lt;10,"0"&amp;HOUR('web survey'!Z48),HOUR('web survey'!Z48))&amp;":"&amp;IF(MINUTE('web survey'!Z48)&lt;10,"0"&amp;MINUTE('web survey'!Z48),MINUTE('web survey'!Z48))&amp;(":00'")</f>
        <v>2026-06-14 15:15:00'</v>
      </c>
      <c r="N50" s="37">
        <v>47</v>
      </c>
      <c r="O50" s="37" t="s">
        <v>27</v>
      </c>
      <c r="P50" s="38" t="s">
        <v>116</v>
      </c>
      <c r="Q50" s="43" t="s">
        <v>18</v>
      </c>
      <c r="R50" s="44" t="s">
        <v>17</v>
      </c>
      <c r="S50" s="43" t="s">
        <v>37</v>
      </c>
      <c r="T50" s="44" t="s">
        <v>17</v>
      </c>
      <c r="U50" s="43" t="s">
        <v>30</v>
      </c>
      <c r="V50" s="44" t="s">
        <v>17</v>
      </c>
      <c r="W50" s="43" t="s">
        <v>34</v>
      </c>
      <c r="X50" s="37" t="s">
        <v>117</v>
      </c>
    </row>
    <row r="51" ht="28.2" customHeight="1" spans="1:24">
      <c r="A51" s="28">
        <f>IF(B51="","",ROW()-COUNTBLANK($B$4:B51)-3)</f>
        <v>48</v>
      </c>
      <c r="B51" s="28" t="str">
        <f>'web survey'!C49</f>
        <v>FU-Z1-Eng</v>
      </c>
      <c r="C51" s="29" t="str">
        <f>'web survey'!AA49</f>
        <v>1033A2601370</v>
      </c>
      <c r="D51" s="30" t="str">
        <f>IF(B51="FU-ACInstall",VLOOKUP(VALUE('web survey'!D49),ref!$B$6:$C$7,2,0)&amp;" ("&amp;'web survey'!D49&amp;")",VLOOKUP(VALUE('web survey'!D49),ref!$E$6:$F$10,2,0)&amp;" ("&amp;'web survey'!D49&amp;")")</f>
        <v>Good (10)</v>
      </c>
      <c r="E51" s="32" t="str">
        <f>'web survey'!S49</f>
        <v/>
      </c>
      <c r="F51" s="30" t="str">
        <f>IF(B51="FU-ACInstall",VLOOKUP(VALUE('web survey'!E49),ref!$B$10:$C$12,2,0)&amp;" ("&amp;'web survey'!E49&amp;")",VLOOKUP(VALUE('web survey'!E49),ref!$E$13:$F$17,2,0)&amp;" ("&amp;'web survey'!E49&amp;")")</f>
        <v>Very Good (10)</v>
      </c>
      <c r="G51" s="32" t="str">
        <f>'web survey'!T49</f>
        <v/>
      </c>
      <c r="H51" s="30" t="str">
        <f>IF(B51="FU-ACInstall",VLOOKUP(VALUE('web survey'!F49),ref!$B$15:$C$17,2,0)&amp;" ("&amp;'web survey'!F49&amp;")",VLOOKUP(VALUE('web survey'!F49),ref!$E$20:$F$21,2,0)&amp;" ("&amp;'web survey'!F49&amp;")")</f>
        <v>Different with SAP (-10)</v>
      </c>
      <c r="I51" s="32" t="str">
        <f>'web survey'!U49</f>
        <v/>
      </c>
      <c r="J51" s="30" t="str">
        <f>IF(B51="FU-ACInstall","-",VLOOKUP(VALUE('web survey'!G49),ref!$E$24:$F$26,2,0)&amp;" ("&amp;'web survey'!G49&amp;")")</f>
        <v>Jelas (5)</v>
      </c>
      <c r="K51" s="28" t="str">
        <f>YEAR('web survey'!Z49)&amp;"-"&amp;IF(MONTH('web survey'!Z49)&lt;10,"0"&amp;MONTH('web survey'!Z49),MONTH('web survey'!Z49))&amp;"-"&amp;IF(DAY('web survey'!Z49)&lt;10,"0"&amp;DAY('web survey'!Z49),DAY('web survey'!Z49))&amp;" "&amp;IF(HOUR('web survey'!Z49)&lt;10,"0"&amp;HOUR('web survey'!Z49),HOUR('web survey'!Z49))&amp;":"&amp;IF(MINUTE('web survey'!Z49)&lt;10,"0"&amp;MINUTE('web survey'!Z49),MINUTE('web survey'!Z49))&amp;(":00'")</f>
        <v>2026-06-14 15:10:00'</v>
      </c>
      <c r="N51" s="37">
        <v>48</v>
      </c>
      <c r="O51" s="37" t="s">
        <v>27</v>
      </c>
      <c r="P51" s="38" t="s">
        <v>118</v>
      </c>
      <c r="Q51" s="43" t="s">
        <v>18</v>
      </c>
      <c r="R51" s="44" t="s">
        <v>17</v>
      </c>
      <c r="S51" s="43" t="s">
        <v>37</v>
      </c>
      <c r="T51" s="44" t="s">
        <v>17</v>
      </c>
      <c r="U51" s="43" t="s">
        <v>87</v>
      </c>
      <c r="V51" s="44" t="s">
        <v>17</v>
      </c>
      <c r="W51" s="43" t="s">
        <v>34</v>
      </c>
      <c r="X51" s="37" t="s">
        <v>119</v>
      </c>
    </row>
    <row r="52" ht="28.2" customHeight="1" spans="1:24">
      <c r="A52" s="28">
        <f>IF(B52="","",ROW()-COUNTBLANK($B$4:B52)-3)</f>
        <v>49</v>
      </c>
      <c r="B52" s="28" t="str">
        <f>'web survey'!C50</f>
        <v>FU-Z1-Eng</v>
      </c>
      <c r="C52" s="29" t="str">
        <f>'web survey'!AA50</f>
        <v>204474491</v>
      </c>
      <c r="D52" s="30" t="str">
        <f>IF(B52="FU-ACInstall",VLOOKUP(VALUE('web survey'!D50),ref!$B$6:$C$7,2,0)&amp;" ("&amp;'web survey'!D50&amp;")",VLOOKUP(VALUE('web survey'!D50),ref!$E$6:$F$10,2,0)&amp;" ("&amp;'web survey'!D50&amp;")")</f>
        <v>Good (10)</v>
      </c>
      <c r="E52" s="32" t="str">
        <f>'web survey'!S50</f>
        <v/>
      </c>
      <c r="F52" s="30" t="str">
        <f>IF(B52="FU-ACInstall",VLOOKUP(VALUE('web survey'!E50),ref!$B$10:$C$12,2,0)&amp;" ("&amp;'web survey'!E50&amp;")",VLOOKUP(VALUE('web survey'!E50),ref!$E$13:$F$17,2,0)&amp;" ("&amp;'web survey'!E50&amp;")")</f>
        <v>Very Good (10)</v>
      </c>
      <c r="G52" s="32" t="str">
        <f>'web survey'!T50</f>
        <v/>
      </c>
      <c r="H52" s="30" t="str">
        <f>IF(B52="FU-ACInstall",VLOOKUP(VALUE('web survey'!F50),ref!$B$15:$C$17,2,0)&amp;" ("&amp;'web survey'!F50&amp;")",VLOOKUP(VALUE('web survey'!F50),ref!$E$20:$F$21,2,0)&amp;" ("&amp;'web survey'!F50&amp;")")</f>
        <v>Appropriate with SAP / in Warranty (10)</v>
      </c>
      <c r="I52" s="32" t="str">
        <f>'web survey'!U50</f>
        <v/>
      </c>
      <c r="J52" s="30" t="str">
        <f>IF(B52="FU-ACInstall","-",VLOOKUP(VALUE('web survey'!G50),ref!$E$24:$F$26,2,0)&amp;" ("&amp;'web survey'!G50&amp;")")</f>
        <v>Jelas (5)</v>
      </c>
      <c r="K52" s="28" t="str">
        <f>YEAR('web survey'!Z50)&amp;"-"&amp;IF(MONTH('web survey'!Z50)&lt;10,"0"&amp;MONTH('web survey'!Z50),MONTH('web survey'!Z50))&amp;"-"&amp;IF(DAY('web survey'!Z50)&lt;10,"0"&amp;DAY('web survey'!Z50),DAY('web survey'!Z50))&amp;" "&amp;IF(HOUR('web survey'!Z50)&lt;10,"0"&amp;HOUR('web survey'!Z50),HOUR('web survey'!Z50))&amp;":"&amp;IF(MINUTE('web survey'!Z50)&lt;10,"0"&amp;MINUTE('web survey'!Z50),MINUTE('web survey'!Z50))&amp;(":00'")</f>
        <v>2026-06-14 15:06:00'</v>
      </c>
      <c r="N52" s="37">
        <v>49</v>
      </c>
      <c r="O52" s="37" t="s">
        <v>27</v>
      </c>
      <c r="P52" s="38" t="s">
        <v>120</v>
      </c>
      <c r="Q52" s="43" t="s">
        <v>18</v>
      </c>
      <c r="R52" s="44" t="s">
        <v>17</v>
      </c>
      <c r="S52" s="43" t="s">
        <v>37</v>
      </c>
      <c r="T52" s="44" t="s">
        <v>17</v>
      </c>
      <c r="U52" s="43" t="s">
        <v>30</v>
      </c>
      <c r="V52" s="44" t="s">
        <v>17</v>
      </c>
      <c r="W52" s="43" t="s">
        <v>34</v>
      </c>
      <c r="X52" s="37" t="s">
        <v>121</v>
      </c>
    </row>
    <row r="53" ht="28.2" customHeight="1" spans="1:24">
      <c r="A53" s="28">
        <f>IF(B53="","",ROW()-COUNTBLANK($B$4:B53)-3)</f>
        <v>50</v>
      </c>
      <c r="B53" s="28" t="str">
        <f>'web survey'!C51</f>
        <v>FU-Z1-Eng</v>
      </c>
      <c r="C53" s="29" t="str">
        <f>'web survey'!AA51</f>
        <v>1105A2603415</v>
      </c>
      <c r="D53" s="30" t="str">
        <f>IF(B53="FU-ACInstall",VLOOKUP(VALUE('web survey'!D51),ref!$B$6:$C$7,2,0)&amp;" ("&amp;'web survey'!D51&amp;")",VLOOKUP(VALUE('web survey'!D51),ref!$E$6:$F$10,2,0)&amp;" ("&amp;'web survey'!D51&amp;")")</f>
        <v>Good (10)</v>
      </c>
      <c r="E53" s="32" t="str">
        <f>'web survey'!S51</f>
        <v/>
      </c>
      <c r="F53" s="30" t="str">
        <f>IF(B53="FU-ACInstall",VLOOKUP(VALUE('web survey'!E51),ref!$B$10:$C$12,2,0)&amp;" ("&amp;'web survey'!E51&amp;")",VLOOKUP(VALUE('web survey'!E51),ref!$E$13:$F$17,2,0)&amp;" ("&amp;'web survey'!E51&amp;")")</f>
        <v>Bad (-10)</v>
      </c>
      <c r="G53" s="32" t="str">
        <f>'web survey'!T51</f>
        <v>Saya harusnya dpt garansi unit serta prion tapi pada saat unit di ganti preoin saya tidak di isi karena saya sdh beli sendiri namun tidak ada ganti dr pihak teknisi shap dgn alasan sdh saya isi .knp saya isi karena kelamaan menunggu umit garansi dr shapr nya</v>
      </c>
      <c r="H53" s="30" t="str">
        <f>IF(B53="FU-ACInstall",VLOOKUP(VALUE('web survey'!F51),ref!$B$15:$C$17,2,0)&amp;" ("&amp;'web survey'!F51&amp;")",VLOOKUP(VALUE('web survey'!F51),ref!$E$20:$F$21,2,0)&amp;" ("&amp;'web survey'!F51&amp;")")</f>
        <v>Appropriate with SAP / in Warranty (10)</v>
      </c>
      <c r="I53" s="32" t="str">
        <f>'web survey'!U51</f>
        <v/>
      </c>
      <c r="J53" s="30" t="str">
        <f>IF(B53="FU-ACInstall","-",VLOOKUP(VALUE('web survey'!G51),ref!$E$24:$F$26,2,0)&amp;" ("&amp;'web survey'!G51&amp;")")</f>
        <v>Tidak ada penjelasan (-5)</v>
      </c>
      <c r="K53" s="28" t="str">
        <f>YEAR('web survey'!Z51)&amp;"-"&amp;IF(MONTH('web survey'!Z51)&lt;10,"0"&amp;MONTH('web survey'!Z51),MONTH('web survey'!Z51))&amp;"-"&amp;IF(DAY('web survey'!Z51)&lt;10,"0"&amp;DAY('web survey'!Z51),DAY('web survey'!Z51))&amp;" "&amp;IF(HOUR('web survey'!Z51)&lt;10,"0"&amp;HOUR('web survey'!Z51),HOUR('web survey'!Z51))&amp;":"&amp;IF(MINUTE('web survey'!Z51)&lt;10,"0"&amp;MINUTE('web survey'!Z51),MINUTE('web survey'!Z51))&amp;(":00'")</f>
        <v>2026-06-14 15:06:00'</v>
      </c>
      <c r="N53" s="37">
        <v>50</v>
      </c>
      <c r="O53" s="37" t="s">
        <v>27</v>
      </c>
      <c r="P53" s="38" t="s">
        <v>122</v>
      </c>
      <c r="Q53" s="43" t="s">
        <v>18</v>
      </c>
      <c r="R53" s="44" t="s">
        <v>17</v>
      </c>
      <c r="S53" s="43" t="s">
        <v>123</v>
      </c>
      <c r="T53" s="44" t="s">
        <v>124</v>
      </c>
      <c r="U53" s="43" t="s">
        <v>30</v>
      </c>
      <c r="V53" s="44" t="s">
        <v>17</v>
      </c>
      <c r="W53" s="43" t="s">
        <v>50</v>
      </c>
      <c r="X53" s="37" t="s">
        <v>121</v>
      </c>
    </row>
    <row r="54" ht="28.2" customHeight="1" spans="1:24">
      <c r="A54" s="28">
        <f>IF(B54="","",ROW()-COUNTBLANK($B$4:B54)-3)</f>
        <v>51</v>
      </c>
      <c r="B54" s="28" t="str">
        <f>'web survey'!C52</f>
        <v>FU-Z1-Eng</v>
      </c>
      <c r="C54" s="29" t="str">
        <f>'web survey'!AA52</f>
        <v>204473783</v>
      </c>
      <c r="D54" s="30" t="str">
        <f>IF(B54="FU-ACInstall",VLOOKUP(VALUE('web survey'!D52),ref!$B$6:$C$7,2,0)&amp;" ("&amp;'web survey'!D52&amp;")",VLOOKUP(VALUE('web survey'!D52),ref!$E$6:$F$10,2,0)&amp;" ("&amp;'web survey'!D52&amp;")")</f>
        <v>Good (10)</v>
      </c>
      <c r="E54" s="32" t="str">
        <f>'web survey'!S52</f>
        <v/>
      </c>
      <c r="F54" s="30" t="str">
        <f>IF(B54="FU-ACInstall",VLOOKUP(VALUE('web survey'!E52),ref!$B$10:$C$12,2,0)&amp;" ("&amp;'web survey'!E52&amp;")",VLOOKUP(VALUE('web survey'!E52),ref!$E$13:$F$17,2,0)&amp;" ("&amp;'web survey'!E52&amp;")")</f>
        <v>Very Good (10)</v>
      </c>
      <c r="G54" s="32" t="str">
        <f>'web survey'!T52</f>
        <v/>
      </c>
      <c r="H54" s="30" t="str">
        <f>IF(B54="FU-ACInstall",VLOOKUP(VALUE('web survey'!F52),ref!$B$15:$C$17,2,0)&amp;" ("&amp;'web survey'!F52&amp;")",VLOOKUP(VALUE('web survey'!F52),ref!$E$20:$F$21,2,0)&amp;" ("&amp;'web survey'!F52&amp;")")</f>
        <v>Appropriate with SAP / in Warranty (10)</v>
      </c>
      <c r="I54" s="32" t="str">
        <f>'web survey'!U52</f>
        <v/>
      </c>
      <c r="J54" s="30" t="str">
        <f>IF(B54="FU-ACInstall","-",VLOOKUP(VALUE('web survey'!G52),ref!$E$24:$F$26,2,0)&amp;" ("&amp;'web survey'!G52&amp;")")</f>
        <v>Jelas (5)</v>
      </c>
      <c r="K54" s="28" t="str">
        <f>YEAR('web survey'!Z52)&amp;"-"&amp;IF(MONTH('web survey'!Z52)&lt;10,"0"&amp;MONTH('web survey'!Z52),MONTH('web survey'!Z52))&amp;"-"&amp;IF(DAY('web survey'!Z52)&lt;10,"0"&amp;DAY('web survey'!Z52),DAY('web survey'!Z52))&amp;" "&amp;IF(HOUR('web survey'!Z52)&lt;10,"0"&amp;HOUR('web survey'!Z52),HOUR('web survey'!Z52))&amp;":"&amp;IF(MINUTE('web survey'!Z52)&lt;10,"0"&amp;MINUTE('web survey'!Z52),MINUTE('web survey'!Z52))&amp;(":00'")</f>
        <v>2026-06-14 15:06:00'</v>
      </c>
      <c r="N54" s="37">
        <v>51</v>
      </c>
      <c r="O54" s="37" t="s">
        <v>27</v>
      </c>
      <c r="P54" s="38" t="s">
        <v>125</v>
      </c>
      <c r="Q54" s="43" t="s">
        <v>18</v>
      </c>
      <c r="R54" s="44" t="s">
        <v>17</v>
      </c>
      <c r="S54" s="43" t="s">
        <v>37</v>
      </c>
      <c r="T54" s="44" t="s">
        <v>17</v>
      </c>
      <c r="U54" s="43" t="s">
        <v>30</v>
      </c>
      <c r="V54" s="44" t="s">
        <v>17</v>
      </c>
      <c r="W54" s="43" t="s">
        <v>34</v>
      </c>
      <c r="X54" s="37" t="s">
        <v>121</v>
      </c>
    </row>
    <row r="55" ht="28.2" customHeight="1" spans="1:24">
      <c r="A55" s="28">
        <f>IF(B55="","",ROW()-COUNTBLANK($B$4:B55)-3)</f>
        <v>52</v>
      </c>
      <c r="B55" s="28" t="str">
        <f>'web survey'!C53</f>
        <v>FU-Z1-Eng</v>
      </c>
      <c r="C55" s="29" t="str">
        <f>'web survey'!AA53</f>
        <v>100988786</v>
      </c>
      <c r="D55" s="30" t="str">
        <f>IF(B55="FU-ACInstall",VLOOKUP(VALUE('web survey'!D53),ref!$B$6:$C$7,2,0)&amp;" ("&amp;'web survey'!D53&amp;")",VLOOKUP(VALUE('web survey'!D53),ref!$E$6:$F$10,2,0)&amp;" ("&amp;'web survey'!D53&amp;")")</f>
        <v>Good (10)</v>
      </c>
      <c r="E55" s="32" t="str">
        <f>'web survey'!S53</f>
        <v/>
      </c>
      <c r="F55" s="30" t="str">
        <f>IF(B55="FU-ACInstall",VLOOKUP(VALUE('web survey'!E53),ref!$B$10:$C$12,2,0)&amp;" ("&amp;'web survey'!E53&amp;")",VLOOKUP(VALUE('web survey'!E53),ref!$E$13:$F$17,2,0)&amp;" ("&amp;'web survey'!E53&amp;")")</f>
        <v>Very Good (10)</v>
      </c>
      <c r="G55" s="32" t="str">
        <f>'web survey'!T53</f>
        <v/>
      </c>
      <c r="H55" s="30" t="str">
        <f>IF(B55="FU-ACInstall",VLOOKUP(VALUE('web survey'!F53),ref!$B$15:$C$17,2,0)&amp;" ("&amp;'web survey'!F53&amp;")",VLOOKUP(VALUE('web survey'!F53),ref!$E$20:$F$21,2,0)&amp;" ("&amp;'web survey'!F53&amp;")")</f>
        <v>Appropriate with SAP / in Warranty (10)</v>
      </c>
      <c r="I55" s="32" t="str">
        <f>'web survey'!U53</f>
        <v/>
      </c>
      <c r="J55" s="30" t="str">
        <f>IF(B55="FU-ACInstall","-",VLOOKUP(VALUE('web survey'!G53),ref!$E$24:$F$26,2,0)&amp;" ("&amp;'web survey'!G53&amp;")")</f>
        <v>Jelas (5)</v>
      </c>
      <c r="K55" s="28" t="str">
        <f>YEAR('web survey'!Z53)&amp;"-"&amp;IF(MONTH('web survey'!Z53)&lt;10,"0"&amp;MONTH('web survey'!Z53),MONTH('web survey'!Z53))&amp;"-"&amp;IF(DAY('web survey'!Z53)&lt;10,"0"&amp;DAY('web survey'!Z53),DAY('web survey'!Z53))&amp;" "&amp;IF(HOUR('web survey'!Z53)&lt;10,"0"&amp;HOUR('web survey'!Z53),HOUR('web survey'!Z53))&amp;":"&amp;IF(MINUTE('web survey'!Z53)&lt;10,"0"&amp;MINUTE('web survey'!Z53),MINUTE('web survey'!Z53))&amp;(":00'")</f>
        <v>2026-06-14 15:05:00'</v>
      </c>
      <c r="N55" s="37">
        <v>52</v>
      </c>
      <c r="O55" s="37" t="s">
        <v>27</v>
      </c>
      <c r="P55" s="38" t="s">
        <v>126</v>
      </c>
      <c r="Q55" s="43" t="s">
        <v>18</v>
      </c>
      <c r="R55" s="44" t="s">
        <v>17</v>
      </c>
      <c r="S55" s="43" t="s">
        <v>37</v>
      </c>
      <c r="T55" s="44" t="s">
        <v>17</v>
      </c>
      <c r="U55" s="43" t="s">
        <v>30</v>
      </c>
      <c r="V55" s="44" t="s">
        <v>17</v>
      </c>
      <c r="W55" s="43" t="s">
        <v>34</v>
      </c>
      <c r="X55" s="37" t="s">
        <v>127</v>
      </c>
    </row>
    <row r="56" ht="28.2" customHeight="1" spans="1:24">
      <c r="A56" s="28">
        <f>IF(B56="","",ROW()-COUNTBLANK($B$4:B56)-3)</f>
        <v>53</v>
      </c>
      <c r="B56" s="28" t="str">
        <f>'web survey'!C54</f>
        <v>FU-Z1-Eng</v>
      </c>
      <c r="C56" s="29" t="str">
        <f>'web survey'!AA54</f>
        <v>204474358</v>
      </c>
      <c r="D56" s="30" t="str">
        <f>IF(B56="FU-ACInstall",VLOOKUP(VALUE('web survey'!D54),ref!$B$6:$C$7,2,0)&amp;" ("&amp;'web survey'!D54&amp;")",VLOOKUP(VALUE('web survey'!D54),ref!$E$6:$F$10,2,0)&amp;" ("&amp;'web survey'!D54&amp;")")</f>
        <v>Good (10)</v>
      </c>
      <c r="E56" s="32" t="str">
        <f>'web survey'!S54</f>
        <v/>
      </c>
      <c r="F56" s="30" t="str">
        <f>IF(B56="FU-ACInstall",VLOOKUP(VALUE('web survey'!E54),ref!$B$10:$C$12,2,0)&amp;" ("&amp;'web survey'!E54&amp;")",VLOOKUP(VALUE('web survey'!E54),ref!$E$13:$F$17,2,0)&amp;" ("&amp;'web survey'!E54&amp;")")</f>
        <v>Very Good (10)</v>
      </c>
      <c r="G56" s="32" t="str">
        <f>'web survey'!T54</f>
        <v/>
      </c>
      <c r="H56" s="30" t="str">
        <f>IF(B56="FU-ACInstall",VLOOKUP(VALUE('web survey'!F54),ref!$B$15:$C$17,2,0)&amp;" ("&amp;'web survey'!F54&amp;")",VLOOKUP(VALUE('web survey'!F54),ref!$E$20:$F$21,2,0)&amp;" ("&amp;'web survey'!F54&amp;")")</f>
        <v>Appropriate with SAP / in Warranty (10)</v>
      </c>
      <c r="I56" s="32" t="str">
        <f>'web survey'!U54</f>
        <v/>
      </c>
      <c r="J56" s="30" t="str">
        <f>IF(B56="FU-ACInstall","-",VLOOKUP(VALUE('web survey'!G54),ref!$E$24:$F$26,2,0)&amp;" ("&amp;'web survey'!G54&amp;")")</f>
        <v>Jelas (5)</v>
      </c>
      <c r="K56" s="28" t="str">
        <f>YEAR('web survey'!Z54)&amp;"-"&amp;IF(MONTH('web survey'!Z54)&lt;10,"0"&amp;MONTH('web survey'!Z54),MONTH('web survey'!Z54))&amp;"-"&amp;IF(DAY('web survey'!Z54)&lt;10,"0"&amp;DAY('web survey'!Z54),DAY('web survey'!Z54))&amp;" "&amp;IF(HOUR('web survey'!Z54)&lt;10,"0"&amp;HOUR('web survey'!Z54),HOUR('web survey'!Z54))&amp;":"&amp;IF(MINUTE('web survey'!Z54)&lt;10,"0"&amp;MINUTE('web survey'!Z54),MINUTE('web survey'!Z54))&amp;(":00'")</f>
        <v>2026-06-14 15:04:00'</v>
      </c>
      <c r="N56" s="37">
        <v>53</v>
      </c>
      <c r="O56" s="37" t="s">
        <v>27</v>
      </c>
      <c r="P56" s="38" t="s">
        <v>128</v>
      </c>
      <c r="Q56" s="43" t="s">
        <v>18</v>
      </c>
      <c r="R56" s="44" t="s">
        <v>17</v>
      </c>
      <c r="S56" s="43" t="s">
        <v>37</v>
      </c>
      <c r="T56" s="44" t="s">
        <v>17</v>
      </c>
      <c r="U56" s="43" t="s">
        <v>30</v>
      </c>
      <c r="V56" s="44" t="s">
        <v>17</v>
      </c>
      <c r="W56" s="43" t="s">
        <v>34</v>
      </c>
      <c r="X56" s="37" t="s">
        <v>129</v>
      </c>
    </row>
    <row r="57" ht="28.2" customHeight="1" spans="1:24">
      <c r="A57" s="28">
        <f>IF(B57="","",ROW()-COUNTBLANK($B$4:B57)-3)</f>
        <v>54</v>
      </c>
      <c r="B57" s="28" t="str">
        <f>'web survey'!C55</f>
        <v>FU-Z1-Eng</v>
      </c>
      <c r="C57" s="29" t="str">
        <f>'web survey'!AA55</f>
        <v>204474434</v>
      </c>
      <c r="D57" s="30" t="str">
        <f>IF(B57="FU-ACInstall",VLOOKUP(VALUE('web survey'!D55),ref!$B$6:$C$7,2,0)&amp;" ("&amp;'web survey'!D55&amp;")",VLOOKUP(VALUE('web survey'!D55),ref!$E$6:$F$10,2,0)&amp;" ("&amp;'web survey'!D55&amp;")")</f>
        <v>Good (10)</v>
      </c>
      <c r="E57" s="32" t="str">
        <f>'web survey'!S55</f>
        <v/>
      </c>
      <c r="F57" s="30" t="str">
        <f>IF(B57="FU-ACInstall",VLOOKUP(VALUE('web survey'!E55),ref!$B$10:$C$12,2,0)&amp;" ("&amp;'web survey'!E55&amp;")",VLOOKUP(VALUE('web survey'!E55),ref!$E$13:$F$17,2,0)&amp;" ("&amp;'web survey'!E55&amp;")")</f>
        <v>Very Good (10)</v>
      </c>
      <c r="G57" s="32" t="str">
        <f>'web survey'!T55</f>
        <v/>
      </c>
      <c r="H57" s="30" t="str">
        <f>IF(B57="FU-ACInstall",VLOOKUP(VALUE('web survey'!F55),ref!$B$15:$C$17,2,0)&amp;" ("&amp;'web survey'!F55&amp;")",VLOOKUP(VALUE('web survey'!F55),ref!$E$20:$F$21,2,0)&amp;" ("&amp;'web survey'!F55&amp;")")</f>
        <v>Appropriate with SAP / in Warranty (10)</v>
      </c>
      <c r="I57" s="32" t="str">
        <f>'web survey'!U55</f>
        <v/>
      </c>
      <c r="J57" s="30" t="str">
        <f>IF(B57="FU-ACInstall","-",VLOOKUP(VALUE('web survey'!G55),ref!$E$24:$F$26,2,0)&amp;" ("&amp;'web survey'!G55&amp;")")</f>
        <v>Jelas (5)</v>
      </c>
      <c r="K57" s="28" t="str">
        <f>YEAR('web survey'!Z55)&amp;"-"&amp;IF(MONTH('web survey'!Z55)&lt;10,"0"&amp;MONTH('web survey'!Z55),MONTH('web survey'!Z55))&amp;"-"&amp;IF(DAY('web survey'!Z55)&lt;10,"0"&amp;DAY('web survey'!Z55),DAY('web survey'!Z55))&amp;" "&amp;IF(HOUR('web survey'!Z55)&lt;10,"0"&amp;HOUR('web survey'!Z55),HOUR('web survey'!Z55))&amp;":"&amp;IF(MINUTE('web survey'!Z55)&lt;10,"0"&amp;MINUTE('web survey'!Z55),MINUTE('web survey'!Z55))&amp;(":00'")</f>
        <v>2026-06-14 15:03:00'</v>
      </c>
      <c r="N57" s="37">
        <v>54</v>
      </c>
      <c r="O57" s="37" t="s">
        <v>27</v>
      </c>
      <c r="P57" s="38" t="s">
        <v>130</v>
      </c>
      <c r="Q57" s="43" t="s">
        <v>18</v>
      </c>
      <c r="R57" s="44" t="s">
        <v>17</v>
      </c>
      <c r="S57" s="43" t="s">
        <v>37</v>
      </c>
      <c r="T57" s="44" t="s">
        <v>17</v>
      </c>
      <c r="U57" s="43" t="s">
        <v>30</v>
      </c>
      <c r="V57" s="44" t="s">
        <v>17</v>
      </c>
      <c r="W57" s="43" t="s">
        <v>34</v>
      </c>
      <c r="X57" s="37" t="s">
        <v>131</v>
      </c>
    </row>
    <row r="58" ht="28.2" customHeight="1" spans="1:24">
      <c r="A58" s="28">
        <f>IF(B58="","",ROW()-COUNTBLANK($B$4:B58)-3)</f>
        <v>55</v>
      </c>
      <c r="B58" s="28" t="str">
        <f>'web survey'!C56</f>
        <v>FU-Z1-Eng</v>
      </c>
      <c r="C58" s="29" t="str">
        <f>'web survey'!AA56</f>
        <v>204460330</v>
      </c>
      <c r="D58" s="30" t="str">
        <f>IF(B58="FU-ACInstall",VLOOKUP(VALUE('web survey'!D56),ref!$B$6:$C$7,2,0)&amp;" ("&amp;'web survey'!D56&amp;")",VLOOKUP(VALUE('web survey'!D56),ref!$E$6:$F$10,2,0)&amp;" ("&amp;'web survey'!D56&amp;")")</f>
        <v>Good (10)</v>
      </c>
      <c r="E58" s="32" t="str">
        <f>'web survey'!S56</f>
        <v/>
      </c>
      <c r="F58" s="30" t="str">
        <f>IF(B58="FU-ACInstall",VLOOKUP(VALUE('web survey'!E56),ref!$B$10:$C$12,2,0)&amp;" ("&amp;'web survey'!E56&amp;")",VLOOKUP(VALUE('web survey'!E56),ref!$E$13:$F$17,2,0)&amp;" ("&amp;'web survey'!E56&amp;")")</f>
        <v>Very Good (10)</v>
      </c>
      <c r="G58" s="32" t="str">
        <f>'web survey'!T56</f>
        <v/>
      </c>
      <c r="H58" s="30" t="str">
        <f>IF(B58="FU-ACInstall",VLOOKUP(VALUE('web survey'!F56),ref!$B$15:$C$17,2,0)&amp;" ("&amp;'web survey'!F56&amp;")",VLOOKUP(VALUE('web survey'!F56),ref!$E$20:$F$21,2,0)&amp;" ("&amp;'web survey'!F56&amp;")")</f>
        <v>Appropriate with SAP / in Warranty (10)</v>
      </c>
      <c r="I58" s="32" t="str">
        <f>'web survey'!U56</f>
        <v/>
      </c>
      <c r="J58" s="30" t="str">
        <f>IF(B58="FU-ACInstall","-",VLOOKUP(VALUE('web survey'!G56),ref!$E$24:$F$26,2,0)&amp;" ("&amp;'web survey'!G56&amp;")")</f>
        <v>Jelas (5)</v>
      </c>
      <c r="K58" s="28" t="str">
        <f>YEAR('web survey'!Z56)&amp;"-"&amp;IF(MONTH('web survey'!Z56)&lt;10,"0"&amp;MONTH('web survey'!Z56),MONTH('web survey'!Z56))&amp;"-"&amp;IF(DAY('web survey'!Z56)&lt;10,"0"&amp;DAY('web survey'!Z56),DAY('web survey'!Z56))&amp;" "&amp;IF(HOUR('web survey'!Z56)&lt;10,"0"&amp;HOUR('web survey'!Z56),HOUR('web survey'!Z56))&amp;":"&amp;IF(MINUTE('web survey'!Z56)&lt;10,"0"&amp;MINUTE('web survey'!Z56),MINUTE('web survey'!Z56))&amp;(":00'")</f>
        <v>2026-06-14 15:02:00'</v>
      </c>
      <c r="N58" s="37">
        <v>55</v>
      </c>
      <c r="O58" s="37" t="s">
        <v>27</v>
      </c>
      <c r="P58" s="38" t="s">
        <v>132</v>
      </c>
      <c r="Q58" s="43" t="s">
        <v>18</v>
      </c>
      <c r="R58" s="44" t="s">
        <v>17</v>
      </c>
      <c r="S58" s="43" t="s">
        <v>37</v>
      </c>
      <c r="T58" s="44" t="s">
        <v>17</v>
      </c>
      <c r="U58" s="43" t="s">
        <v>30</v>
      </c>
      <c r="V58" s="44" t="s">
        <v>17</v>
      </c>
      <c r="W58" s="43" t="s">
        <v>34</v>
      </c>
      <c r="X58" s="37" t="s">
        <v>133</v>
      </c>
    </row>
    <row r="59" ht="28.2" customHeight="1" spans="1:24">
      <c r="A59" s="28">
        <f>IF(B59="","",ROW()-COUNTBLANK($B$4:B59)-3)</f>
        <v>56</v>
      </c>
      <c r="B59" s="28" t="str">
        <f>'web survey'!C57</f>
        <v>FU-Z1-Eng</v>
      </c>
      <c r="C59" s="29" t="str">
        <f>'web survey'!AA57</f>
        <v>204474027</v>
      </c>
      <c r="D59" s="30" t="str">
        <f>IF(B59="FU-ACInstall",VLOOKUP(VALUE('web survey'!D57),ref!$B$6:$C$7,2,0)&amp;" ("&amp;'web survey'!D57&amp;")",VLOOKUP(VALUE('web survey'!D57),ref!$E$6:$F$10,2,0)&amp;" ("&amp;'web survey'!D57&amp;")")</f>
        <v>Good (10)</v>
      </c>
      <c r="E59" s="32" t="str">
        <f>'web survey'!S57</f>
        <v/>
      </c>
      <c r="F59" s="30" t="str">
        <f>IF(B59="FU-ACInstall",VLOOKUP(VALUE('web survey'!E57),ref!$B$10:$C$12,2,0)&amp;" ("&amp;'web survey'!E57&amp;")",VLOOKUP(VALUE('web survey'!E57),ref!$E$13:$F$17,2,0)&amp;" ("&amp;'web survey'!E57&amp;")")</f>
        <v>Very Good (10)</v>
      </c>
      <c r="G59" s="32" t="str">
        <f>'web survey'!T57</f>
        <v/>
      </c>
      <c r="H59" s="30" t="str">
        <f>IF(B59="FU-ACInstall",VLOOKUP(VALUE('web survey'!F57),ref!$B$15:$C$17,2,0)&amp;" ("&amp;'web survey'!F57&amp;")",VLOOKUP(VALUE('web survey'!F57),ref!$E$20:$F$21,2,0)&amp;" ("&amp;'web survey'!F57&amp;")")</f>
        <v>Appropriate with SAP / in Warranty (10)</v>
      </c>
      <c r="I59" s="32" t="str">
        <f>'web survey'!U57</f>
        <v/>
      </c>
      <c r="J59" s="30" t="str">
        <f>IF(B59="FU-ACInstall","-",VLOOKUP(VALUE('web survey'!G57),ref!$E$24:$F$26,2,0)&amp;" ("&amp;'web survey'!G57&amp;")")</f>
        <v>Jelas (5)</v>
      </c>
      <c r="K59" s="28" t="str">
        <f>YEAR('web survey'!Z57)&amp;"-"&amp;IF(MONTH('web survey'!Z57)&lt;10,"0"&amp;MONTH('web survey'!Z57),MONTH('web survey'!Z57))&amp;"-"&amp;IF(DAY('web survey'!Z57)&lt;10,"0"&amp;DAY('web survey'!Z57),DAY('web survey'!Z57))&amp;" "&amp;IF(HOUR('web survey'!Z57)&lt;10,"0"&amp;HOUR('web survey'!Z57),HOUR('web survey'!Z57))&amp;":"&amp;IF(MINUTE('web survey'!Z57)&lt;10,"0"&amp;MINUTE('web survey'!Z57),MINUTE('web survey'!Z57))&amp;(":00'")</f>
        <v>2026-06-14 15:02:00'</v>
      </c>
      <c r="N59" s="37">
        <v>56</v>
      </c>
      <c r="O59" s="37" t="s">
        <v>27</v>
      </c>
      <c r="P59" s="38" t="s">
        <v>134</v>
      </c>
      <c r="Q59" s="43" t="s">
        <v>18</v>
      </c>
      <c r="R59" s="44" t="s">
        <v>17</v>
      </c>
      <c r="S59" s="43" t="s">
        <v>37</v>
      </c>
      <c r="T59" s="44" t="s">
        <v>17</v>
      </c>
      <c r="U59" s="43" t="s">
        <v>30</v>
      </c>
      <c r="V59" s="44" t="s">
        <v>17</v>
      </c>
      <c r="W59" s="43" t="s">
        <v>34</v>
      </c>
      <c r="X59" s="37" t="s">
        <v>133</v>
      </c>
    </row>
    <row r="60" ht="28.2" customHeight="1" spans="1:24">
      <c r="A60" s="28">
        <f>IF(B60="","",ROW()-COUNTBLANK($B$4:B60)-3)</f>
        <v>57</v>
      </c>
      <c r="B60" s="28" t="str">
        <f>'web survey'!C58</f>
        <v>FU-Z1-Eng</v>
      </c>
      <c r="C60" s="29" t="str">
        <f>'web survey'!AA58</f>
        <v>100988612</v>
      </c>
      <c r="D60" s="30" t="str">
        <f>IF(B60="FU-ACInstall",VLOOKUP(VALUE('web survey'!D58),ref!$B$6:$C$7,2,0)&amp;" ("&amp;'web survey'!D58&amp;")",VLOOKUP(VALUE('web survey'!D58),ref!$E$6:$F$10,2,0)&amp;" ("&amp;'web survey'!D58&amp;")")</f>
        <v>Good (10)</v>
      </c>
      <c r="E60" s="32" t="str">
        <f>'web survey'!S58</f>
        <v/>
      </c>
      <c r="F60" s="30" t="str">
        <f>IF(B60="FU-ACInstall",VLOOKUP(VALUE('web survey'!E58),ref!$B$10:$C$12,2,0)&amp;" ("&amp;'web survey'!E58&amp;")",VLOOKUP(VALUE('web survey'!E58),ref!$E$13:$F$17,2,0)&amp;" ("&amp;'web survey'!E58&amp;")")</f>
        <v>Very Good (10)</v>
      </c>
      <c r="G60" s="32" t="str">
        <f>'web survey'!T58</f>
        <v/>
      </c>
      <c r="H60" s="30" t="str">
        <f>IF(B60="FU-ACInstall",VLOOKUP(VALUE('web survey'!F58),ref!$B$15:$C$17,2,0)&amp;" ("&amp;'web survey'!F58&amp;")",VLOOKUP(VALUE('web survey'!F58),ref!$E$20:$F$21,2,0)&amp;" ("&amp;'web survey'!F58&amp;")")</f>
        <v>Appropriate with SAP / in Warranty (10)</v>
      </c>
      <c r="I60" s="32" t="str">
        <f>'web survey'!U58</f>
        <v/>
      </c>
      <c r="J60" s="30" t="str">
        <f>IF(B60="FU-ACInstall","-",VLOOKUP(VALUE('web survey'!G58),ref!$E$24:$F$26,2,0)&amp;" ("&amp;'web survey'!G58&amp;")")</f>
        <v>Jelas (5)</v>
      </c>
      <c r="K60" s="28" t="str">
        <f>YEAR('web survey'!Z58)&amp;"-"&amp;IF(MONTH('web survey'!Z58)&lt;10,"0"&amp;MONTH('web survey'!Z58),MONTH('web survey'!Z58))&amp;"-"&amp;IF(DAY('web survey'!Z58)&lt;10,"0"&amp;DAY('web survey'!Z58),DAY('web survey'!Z58))&amp;" "&amp;IF(HOUR('web survey'!Z58)&lt;10,"0"&amp;HOUR('web survey'!Z58),HOUR('web survey'!Z58))&amp;":"&amp;IF(MINUTE('web survey'!Z58)&lt;10,"0"&amp;MINUTE('web survey'!Z58),MINUTE('web survey'!Z58))&amp;(":00'")</f>
        <v>2026-06-14 15:02:00'</v>
      </c>
      <c r="N60" s="37">
        <v>57</v>
      </c>
      <c r="O60" s="37" t="s">
        <v>27</v>
      </c>
      <c r="P60" s="38" t="s">
        <v>135</v>
      </c>
      <c r="Q60" s="43" t="s">
        <v>18</v>
      </c>
      <c r="R60" s="44" t="s">
        <v>17</v>
      </c>
      <c r="S60" s="43" t="s">
        <v>37</v>
      </c>
      <c r="T60" s="44" t="s">
        <v>17</v>
      </c>
      <c r="U60" s="43" t="s">
        <v>30</v>
      </c>
      <c r="V60" s="44" t="s">
        <v>17</v>
      </c>
      <c r="W60" s="43" t="s">
        <v>34</v>
      </c>
      <c r="X60" s="37" t="s">
        <v>133</v>
      </c>
    </row>
    <row r="61" ht="28.2" customHeight="1" spans="1:24">
      <c r="A61" s="28">
        <f>IF(B61="","",ROW()-COUNTBLANK($B$4:B61)-3)</f>
        <v>58</v>
      </c>
      <c r="B61" s="28" t="str">
        <f>'web survey'!C59</f>
        <v>FU-Z1-Eng</v>
      </c>
      <c r="C61" s="29" t="str">
        <f>'web survey'!AA59</f>
        <v>204474777</v>
      </c>
      <c r="D61" s="30" t="str">
        <f>IF(B61="FU-ACInstall",VLOOKUP(VALUE('web survey'!D59),ref!$B$6:$C$7,2,0)&amp;" ("&amp;'web survey'!D59&amp;")",VLOOKUP(VALUE('web survey'!D59),ref!$E$6:$F$10,2,0)&amp;" ("&amp;'web survey'!D59&amp;")")</f>
        <v>Good (10)</v>
      </c>
      <c r="E61" s="32" t="str">
        <f>'web survey'!S59</f>
        <v/>
      </c>
      <c r="F61" s="30" t="str">
        <f>IF(B61="FU-ACInstall",VLOOKUP(VALUE('web survey'!E59),ref!$B$10:$C$12,2,0)&amp;" ("&amp;'web survey'!E59&amp;")",VLOOKUP(VALUE('web survey'!E59),ref!$E$13:$F$17,2,0)&amp;" ("&amp;'web survey'!E59&amp;")")</f>
        <v>Very Good (10)</v>
      </c>
      <c r="G61" s="32" t="str">
        <f>'web survey'!T59</f>
        <v/>
      </c>
      <c r="H61" s="30" t="str">
        <f>IF(B61="FU-ACInstall",VLOOKUP(VALUE('web survey'!F59),ref!$B$15:$C$17,2,0)&amp;" ("&amp;'web survey'!F59&amp;")",VLOOKUP(VALUE('web survey'!F59),ref!$E$20:$F$21,2,0)&amp;" ("&amp;'web survey'!F59&amp;")")</f>
        <v>Appropriate with SAP / in Warranty (10)</v>
      </c>
      <c r="I61" s="32" t="str">
        <f>'web survey'!U59</f>
        <v/>
      </c>
      <c r="J61" s="30" t="str">
        <f>IF(B61="FU-ACInstall","-",VLOOKUP(VALUE('web survey'!G59),ref!$E$24:$F$26,2,0)&amp;" ("&amp;'web survey'!G59&amp;")")</f>
        <v>Jelas (5)</v>
      </c>
      <c r="K61" s="28" t="str">
        <f>YEAR('web survey'!Z59)&amp;"-"&amp;IF(MONTH('web survey'!Z59)&lt;10,"0"&amp;MONTH('web survey'!Z59),MONTH('web survey'!Z59))&amp;"-"&amp;IF(DAY('web survey'!Z59)&lt;10,"0"&amp;DAY('web survey'!Z59),DAY('web survey'!Z59))&amp;" "&amp;IF(HOUR('web survey'!Z59)&lt;10,"0"&amp;HOUR('web survey'!Z59),HOUR('web survey'!Z59))&amp;":"&amp;IF(MINUTE('web survey'!Z59)&lt;10,"0"&amp;MINUTE('web survey'!Z59),MINUTE('web survey'!Z59))&amp;(":00'")</f>
        <v>2026-06-14 15:01:00'</v>
      </c>
      <c r="N61" s="37">
        <v>58</v>
      </c>
      <c r="O61" s="37" t="s">
        <v>27</v>
      </c>
      <c r="P61" s="38" t="s">
        <v>136</v>
      </c>
      <c r="Q61" s="43" t="s">
        <v>18</v>
      </c>
      <c r="R61" s="44" t="s">
        <v>17</v>
      </c>
      <c r="S61" s="43" t="s">
        <v>37</v>
      </c>
      <c r="T61" s="44" t="s">
        <v>17</v>
      </c>
      <c r="U61" s="43" t="s">
        <v>30</v>
      </c>
      <c r="V61" s="44" t="s">
        <v>17</v>
      </c>
      <c r="W61" s="43" t="s">
        <v>34</v>
      </c>
      <c r="X61" s="37" t="s">
        <v>137</v>
      </c>
    </row>
    <row r="62" ht="28.2" customHeight="1" spans="1:24">
      <c r="A62" s="28">
        <f>IF(B62="","",ROW()-COUNTBLANK($B$4:B62)-3)</f>
        <v>59</v>
      </c>
      <c r="B62" s="28" t="str">
        <f>'web survey'!C60</f>
        <v>FU-Z1-Eng</v>
      </c>
      <c r="C62" s="29" t="str">
        <f>'web survey'!AA60</f>
        <v>1014A2602110</v>
      </c>
      <c r="D62" s="30" t="str">
        <f>IF(B62="FU-ACInstall",VLOOKUP(VALUE('web survey'!D60),ref!$B$6:$C$7,2,0)&amp;" ("&amp;'web survey'!D60&amp;")",VLOOKUP(VALUE('web survey'!D60),ref!$E$6:$F$10,2,0)&amp;" ("&amp;'web survey'!D60&amp;")")</f>
        <v>Not Good (-10)</v>
      </c>
      <c r="E62" s="32" t="str">
        <f>'web survey'!S60</f>
        <v/>
      </c>
      <c r="F62" s="30" t="str">
        <f>IF(B62="FU-ACInstall",VLOOKUP(VALUE('web survey'!E60),ref!$B$10:$C$12,2,0)&amp;" ("&amp;'web survey'!E60&amp;")",VLOOKUP(VALUE('web survey'!E60),ref!$E$13:$F$17,2,0)&amp;" ("&amp;'web survey'!E60&amp;")")</f>
        <v>Good (5)</v>
      </c>
      <c r="G62" s="32" t="str">
        <f>'web survey'!T60</f>
        <v/>
      </c>
      <c r="H62" s="30" t="str">
        <f>IF(B62="FU-ACInstall",VLOOKUP(VALUE('web survey'!F60),ref!$B$15:$C$17,2,0)&amp;" ("&amp;'web survey'!F60&amp;")",VLOOKUP(VALUE('web survey'!F60),ref!$E$20:$F$21,2,0)&amp;" ("&amp;'web survey'!F60&amp;")")</f>
        <v>Appropriate with SAP / in Warranty (10)</v>
      </c>
      <c r="I62" s="32" t="str">
        <f>'web survey'!U60</f>
        <v/>
      </c>
      <c r="J62" s="30" t="str">
        <f>IF(B62="FU-ACInstall","-",VLOOKUP(VALUE('web survey'!G60),ref!$E$24:$F$26,2,0)&amp;" ("&amp;'web survey'!G60&amp;")")</f>
        <v>Jelas (5)</v>
      </c>
      <c r="K62" s="28" t="str">
        <f>YEAR('web survey'!Z60)&amp;"-"&amp;IF(MONTH('web survey'!Z60)&lt;10,"0"&amp;MONTH('web survey'!Z60),MONTH('web survey'!Z60))&amp;"-"&amp;IF(DAY('web survey'!Z60)&lt;10,"0"&amp;DAY('web survey'!Z60),DAY('web survey'!Z60))&amp;" "&amp;IF(HOUR('web survey'!Z60)&lt;10,"0"&amp;HOUR('web survey'!Z60),HOUR('web survey'!Z60))&amp;":"&amp;IF(MINUTE('web survey'!Z60)&lt;10,"0"&amp;MINUTE('web survey'!Z60),MINUTE('web survey'!Z60))&amp;(":00'")</f>
        <v>2026-06-14 12:04:00'</v>
      </c>
      <c r="N62" s="37">
        <v>59</v>
      </c>
      <c r="O62" s="37" t="s">
        <v>27</v>
      </c>
      <c r="P62" s="38" t="s">
        <v>138</v>
      </c>
      <c r="Q62" s="43" t="s">
        <v>33</v>
      </c>
      <c r="R62" s="44" t="s">
        <v>17</v>
      </c>
      <c r="S62" s="43" t="s">
        <v>29</v>
      </c>
      <c r="T62" s="44" t="s">
        <v>17</v>
      </c>
      <c r="U62" s="43" t="s">
        <v>30</v>
      </c>
      <c r="V62" s="44" t="s">
        <v>17</v>
      </c>
      <c r="W62" s="43" t="s">
        <v>34</v>
      </c>
      <c r="X62" s="37" t="s">
        <v>139</v>
      </c>
    </row>
    <row r="63" ht="28.2" customHeight="1" spans="1:24">
      <c r="A63" s="28">
        <f>IF(B63="","",ROW()-COUNTBLANK($B$4:B63)-3)</f>
        <v>60</v>
      </c>
      <c r="B63" s="28" t="str">
        <f>'web survey'!C61</f>
        <v>FU-Z1-Eng</v>
      </c>
      <c r="C63" s="29" t="str">
        <f>'web survey'!AA61</f>
        <v>204437031</v>
      </c>
      <c r="D63" s="30" t="str">
        <f>IF(B63="FU-ACInstall",VLOOKUP(VALUE('web survey'!D61),ref!$B$6:$C$7,2,0)&amp;" ("&amp;'web survey'!D61&amp;")",VLOOKUP(VALUE('web survey'!D61),ref!$E$6:$F$10,2,0)&amp;" ("&amp;'web survey'!D61&amp;")")</f>
        <v>Good (10)</v>
      </c>
      <c r="E63" s="32" t="str">
        <f>'web survey'!S61</f>
        <v/>
      </c>
      <c r="F63" s="30" t="str">
        <f>IF(B63="FU-ACInstall",VLOOKUP(VALUE('web survey'!E61),ref!$B$10:$C$12,2,0)&amp;" ("&amp;'web survey'!E61&amp;")",VLOOKUP(VALUE('web survey'!E61),ref!$E$13:$F$17,2,0)&amp;" ("&amp;'web survey'!E61&amp;")")</f>
        <v>Very Good (10)</v>
      </c>
      <c r="G63" s="32" t="str">
        <f>'web survey'!T61</f>
        <v/>
      </c>
      <c r="H63" s="30" t="str">
        <f>IF(B63="FU-ACInstall",VLOOKUP(VALUE('web survey'!F61),ref!$B$15:$C$17,2,0)&amp;" ("&amp;'web survey'!F61&amp;")",VLOOKUP(VALUE('web survey'!F61),ref!$E$20:$F$21,2,0)&amp;" ("&amp;'web survey'!F61&amp;")")</f>
        <v>Appropriate with SAP / in Warranty (10)</v>
      </c>
      <c r="I63" s="32" t="str">
        <f>'web survey'!U61</f>
        <v/>
      </c>
      <c r="J63" s="30" t="str">
        <f>IF(B63="FU-ACInstall","-",VLOOKUP(VALUE('web survey'!G61),ref!$E$24:$F$26,2,0)&amp;" ("&amp;'web survey'!G61&amp;")")</f>
        <v>Jelas (5)</v>
      </c>
      <c r="K63" s="28" t="str">
        <f>YEAR('web survey'!Z61)&amp;"-"&amp;IF(MONTH('web survey'!Z61)&lt;10,"0"&amp;MONTH('web survey'!Z61),MONTH('web survey'!Z61))&amp;"-"&amp;IF(DAY('web survey'!Z61)&lt;10,"0"&amp;DAY('web survey'!Z61),DAY('web survey'!Z61))&amp;" "&amp;IF(HOUR('web survey'!Z61)&lt;10,"0"&amp;HOUR('web survey'!Z61),HOUR('web survey'!Z61))&amp;":"&amp;IF(MINUTE('web survey'!Z61)&lt;10,"0"&amp;MINUTE('web survey'!Z61),MINUTE('web survey'!Z61))&amp;(":00'")</f>
        <v>2026-06-14 11:18:00'</v>
      </c>
      <c r="N63" s="37">
        <v>60</v>
      </c>
      <c r="O63" s="37" t="s">
        <v>27</v>
      </c>
      <c r="P63" s="38" t="s">
        <v>140</v>
      </c>
      <c r="Q63" s="43" t="s">
        <v>18</v>
      </c>
      <c r="R63" s="44" t="s">
        <v>17</v>
      </c>
      <c r="S63" s="43" t="s">
        <v>37</v>
      </c>
      <c r="T63" s="44" t="s">
        <v>17</v>
      </c>
      <c r="U63" s="43" t="s">
        <v>30</v>
      </c>
      <c r="V63" s="44" t="s">
        <v>17</v>
      </c>
      <c r="W63" s="43" t="s">
        <v>34</v>
      </c>
      <c r="X63" s="37" t="s">
        <v>141</v>
      </c>
    </row>
    <row r="64" ht="28.2" customHeight="1" spans="1:24">
      <c r="A64" s="28">
        <f>IF(B64="","",ROW()-COUNTBLANK($B$4:B64)-3)</f>
        <v>61</v>
      </c>
      <c r="B64" s="28" t="str">
        <f>'web survey'!C62</f>
        <v>FU-Z1-Eng</v>
      </c>
      <c r="C64" s="29" t="str">
        <f>'web survey'!AA62</f>
        <v>1214A2603524</v>
      </c>
      <c r="D64" s="30" t="str">
        <f>IF(B64="FU-ACInstall",VLOOKUP(VALUE('web survey'!D62),ref!$B$6:$C$7,2,0)&amp;" ("&amp;'web survey'!D62&amp;")",VLOOKUP(VALUE('web survey'!D62),ref!$E$6:$F$10,2,0)&amp;" ("&amp;'web survey'!D62&amp;")")</f>
        <v>Good (10)</v>
      </c>
      <c r="E64" s="32" t="str">
        <f>'web survey'!S62</f>
        <v/>
      </c>
      <c r="F64" s="30" t="str">
        <f>IF(B64="FU-ACInstall",VLOOKUP(VALUE('web survey'!E62),ref!$B$10:$C$12,2,0)&amp;" ("&amp;'web survey'!E62&amp;")",VLOOKUP(VALUE('web survey'!E62),ref!$E$13:$F$17,2,0)&amp;" ("&amp;'web survey'!E62&amp;")")</f>
        <v>Very Good (10)</v>
      </c>
      <c r="G64" s="32" t="str">
        <f>'web survey'!T62</f>
        <v/>
      </c>
      <c r="H64" s="30" t="str">
        <f>IF(B64="FU-ACInstall",VLOOKUP(VALUE('web survey'!F62),ref!$B$15:$C$17,2,0)&amp;" ("&amp;'web survey'!F62&amp;")",VLOOKUP(VALUE('web survey'!F62),ref!$E$20:$F$21,2,0)&amp;" ("&amp;'web survey'!F62&amp;")")</f>
        <v>Appropriate with SAP / in Warranty (10)</v>
      </c>
      <c r="I64" s="32" t="str">
        <f>'web survey'!U62</f>
        <v/>
      </c>
      <c r="J64" s="30" t="str">
        <f>IF(B64="FU-ACInstall","-",VLOOKUP(VALUE('web survey'!G62),ref!$E$24:$F$26,2,0)&amp;" ("&amp;'web survey'!G62&amp;")")</f>
        <v>Jelas (5)</v>
      </c>
      <c r="K64" s="28" t="str">
        <f>YEAR('web survey'!Z62)&amp;"-"&amp;IF(MONTH('web survey'!Z62)&lt;10,"0"&amp;MONTH('web survey'!Z62),MONTH('web survey'!Z62))&amp;"-"&amp;IF(DAY('web survey'!Z62)&lt;10,"0"&amp;DAY('web survey'!Z62),DAY('web survey'!Z62))&amp;" "&amp;IF(HOUR('web survey'!Z62)&lt;10,"0"&amp;HOUR('web survey'!Z62),HOUR('web survey'!Z62))&amp;":"&amp;IF(MINUTE('web survey'!Z62)&lt;10,"0"&amp;MINUTE('web survey'!Z62),MINUTE('web survey'!Z62))&amp;(":00'")</f>
        <v>2026-06-14 10:42:00'</v>
      </c>
      <c r="N64" s="37">
        <v>61</v>
      </c>
      <c r="O64" s="37" t="s">
        <v>27</v>
      </c>
      <c r="P64" s="38" t="s">
        <v>142</v>
      </c>
      <c r="Q64" s="43" t="s">
        <v>18</v>
      </c>
      <c r="R64" s="44" t="s">
        <v>17</v>
      </c>
      <c r="S64" s="43" t="s">
        <v>37</v>
      </c>
      <c r="T64" s="44" t="s">
        <v>17</v>
      </c>
      <c r="U64" s="43" t="s">
        <v>30</v>
      </c>
      <c r="V64" s="44" t="s">
        <v>17</v>
      </c>
      <c r="W64" s="43" t="s">
        <v>34</v>
      </c>
      <c r="X64" s="37" t="s">
        <v>143</v>
      </c>
    </row>
    <row r="65" ht="28.2" customHeight="1" spans="1:24">
      <c r="A65" s="28">
        <f>IF(B65="","",ROW()-COUNTBLANK($B$4:B65)-3)</f>
        <v>62</v>
      </c>
      <c r="B65" s="28" t="str">
        <f>'web survey'!C63</f>
        <v>FU-Z1-Eng</v>
      </c>
      <c r="C65" s="29" t="str">
        <f>'web survey'!AA63</f>
        <v>204459372</v>
      </c>
      <c r="D65" s="30" t="str">
        <f>IF(B65="FU-ACInstall",VLOOKUP(VALUE('web survey'!D63),ref!$B$6:$C$7,2,0)&amp;" ("&amp;'web survey'!D63&amp;")",VLOOKUP(VALUE('web survey'!D63),ref!$E$6:$F$10,2,0)&amp;" ("&amp;'web survey'!D63&amp;")")</f>
        <v>Good (10)</v>
      </c>
      <c r="E65" s="32" t="str">
        <f>'web survey'!S63</f>
        <v/>
      </c>
      <c r="F65" s="30" t="str">
        <f>IF(B65="FU-ACInstall",VLOOKUP(VALUE('web survey'!E63),ref!$B$10:$C$12,2,0)&amp;" ("&amp;'web survey'!E63&amp;")",VLOOKUP(VALUE('web survey'!E63),ref!$E$13:$F$17,2,0)&amp;" ("&amp;'web survey'!E63&amp;")")</f>
        <v>Very Good (10)</v>
      </c>
      <c r="G65" s="32" t="str">
        <f>'web survey'!T63</f>
        <v/>
      </c>
      <c r="H65" s="30" t="str">
        <f>IF(B65="FU-ACInstall",VLOOKUP(VALUE('web survey'!F63),ref!$B$15:$C$17,2,0)&amp;" ("&amp;'web survey'!F63&amp;")",VLOOKUP(VALUE('web survey'!F63),ref!$E$20:$F$21,2,0)&amp;" ("&amp;'web survey'!F63&amp;")")</f>
        <v>Appropriate with SAP / in Warranty (10)</v>
      </c>
      <c r="I65" s="32" t="str">
        <f>'web survey'!U63</f>
        <v/>
      </c>
      <c r="J65" s="30" t="str">
        <f>IF(B65="FU-ACInstall","-",VLOOKUP(VALUE('web survey'!G63),ref!$E$24:$F$26,2,0)&amp;" ("&amp;'web survey'!G63&amp;")")</f>
        <v>Jelas (5)</v>
      </c>
      <c r="K65" s="28" t="str">
        <f>YEAR('web survey'!Z63)&amp;"-"&amp;IF(MONTH('web survey'!Z63)&lt;10,"0"&amp;MONTH('web survey'!Z63),MONTH('web survey'!Z63))&amp;"-"&amp;IF(DAY('web survey'!Z63)&lt;10,"0"&amp;DAY('web survey'!Z63),DAY('web survey'!Z63))&amp;" "&amp;IF(HOUR('web survey'!Z63)&lt;10,"0"&amp;HOUR('web survey'!Z63),HOUR('web survey'!Z63))&amp;":"&amp;IF(MINUTE('web survey'!Z63)&lt;10,"0"&amp;MINUTE('web survey'!Z63),MINUTE('web survey'!Z63))&amp;(":00'")</f>
        <v>2026-06-14 10:38:00'</v>
      </c>
      <c r="N65" s="37">
        <v>62</v>
      </c>
      <c r="O65" s="37" t="s">
        <v>27</v>
      </c>
      <c r="P65" s="38" t="s">
        <v>144</v>
      </c>
      <c r="Q65" s="43" t="s">
        <v>18</v>
      </c>
      <c r="R65" s="44" t="s">
        <v>17</v>
      </c>
      <c r="S65" s="43" t="s">
        <v>37</v>
      </c>
      <c r="T65" s="44" t="s">
        <v>17</v>
      </c>
      <c r="U65" s="43" t="s">
        <v>30</v>
      </c>
      <c r="V65" s="44" t="s">
        <v>17</v>
      </c>
      <c r="W65" s="43" t="s">
        <v>34</v>
      </c>
      <c r="X65" s="37" t="s">
        <v>145</v>
      </c>
    </row>
    <row r="66" ht="28.2" customHeight="1" spans="1:24">
      <c r="A66" s="28">
        <f>IF(B66="","",ROW()-COUNTBLANK($B$4:B66)-3)</f>
        <v>63</v>
      </c>
      <c r="B66" s="28" t="str">
        <f>'web survey'!C64</f>
        <v>FU-Z1-Eng</v>
      </c>
      <c r="C66" s="29" t="str">
        <f>'web survey'!AA64</f>
        <v>204459735</v>
      </c>
      <c r="D66" s="30" t="str">
        <f>IF(B66="FU-ACInstall",VLOOKUP(VALUE('web survey'!D64),ref!$B$6:$C$7,2,0)&amp;" ("&amp;'web survey'!D64&amp;")",VLOOKUP(VALUE('web survey'!D64),ref!$E$6:$F$10,2,0)&amp;" ("&amp;'web survey'!D64&amp;")")</f>
        <v>Good (10)</v>
      </c>
      <c r="E66" s="32" t="str">
        <f>'web survey'!S64</f>
        <v/>
      </c>
      <c r="F66" s="30" t="str">
        <f>IF(B66="FU-ACInstall",VLOOKUP(VALUE('web survey'!E64),ref!$B$10:$C$12,2,0)&amp;" ("&amp;'web survey'!E64&amp;")",VLOOKUP(VALUE('web survey'!E64),ref!$E$13:$F$17,2,0)&amp;" ("&amp;'web survey'!E64&amp;")")</f>
        <v>Very Good (10)</v>
      </c>
      <c r="G66" s="32" t="str">
        <f>'web survey'!T64</f>
        <v/>
      </c>
      <c r="H66" s="30" t="str">
        <f>IF(B66="FU-ACInstall",VLOOKUP(VALUE('web survey'!F64),ref!$B$15:$C$17,2,0)&amp;" ("&amp;'web survey'!F64&amp;")",VLOOKUP(VALUE('web survey'!F64),ref!$E$20:$F$21,2,0)&amp;" ("&amp;'web survey'!F64&amp;")")</f>
        <v>Appropriate with SAP / in Warranty (10)</v>
      </c>
      <c r="I66" s="32" t="str">
        <f>'web survey'!U64</f>
        <v/>
      </c>
      <c r="J66" s="30" t="str">
        <f>IF(B66="FU-ACInstall","-",VLOOKUP(VALUE('web survey'!G64),ref!$E$24:$F$26,2,0)&amp;" ("&amp;'web survey'!G64&amp;")")</f>
        <v>Jelas (5)</v>
      </c>
      <c r="K66" s="28" t="str">
        <f>YEAR('web survey'!Z64)&amp;"-"&amp;IF(MONTH('web survey'!Z64)&lt;10,"0"&amp;MONTH('web survey'!Z64),MONTH('web survey'!Z64))&amp;"-"&amp;IF(DAY('web survey'!Z64)&lt;10,"0"&amp;DAY('web survey'!Z64),DAY('web survey'!Z64))&amp;" "&amp;IF(HOUR('web survey'!Z64)&lt;10,"0"&amp;HOUR('web survey'!Z64),HOUR('web survey'!Z64))&amp;":"&amp;IF(MINUTE('web survey'!Z64)&lt;10,"0"&amp;MINUTE('web survey'!Z64),MINUTE('web survey'!Z64))&amp;(":00'")</f>
        <v>2026-06-14 08:38:00'</v>
      </c>
      <c r="N66" s="37">
        <v>63</v>
      </c>
      <c r="O66" s="37" t="s">
        <v>27</v>
      </c>
      <c r="P66" s="38" t="s">
        <v>146</v>
      </c>
      <c r="Q66" s="43" t="s">
        <v>18</v>
      </c>
      <c r="R66" s="44" t="s">
        <v>17</v>
      </c>
      <c r="S66" s="43" t="s">
        <v>37</v>
      </c>
      <c r="T66" s="44" t="s">
        <v>17</v>
      </c>
      <c r="U66" s="43" t="s">
        <v>30</v>
      </c>
      <c r="V66" s="44" t="s">
        <v>17</v>
      </c>
      <c r="W66" s="43" t="s">
        <v>34</v>
      </c>
      <c r="X66" s="37" t="s">
        <v>147</v>
      </c>
    </row>
    <row r="67" ht="28.2" customHeight="1" spans="1:24">
      <c r="A67" s="28">
        <f>IF(B67="","",ROW()-COUNTBLANK($B$4:B67)-3)</f>
        <v>64</v>
      </c>
      <c r="B67" s="28" t="str">
        <f>'web survey'!C65</f>
        <v>FU-Z1-Eng</v>
      </c>
      <c r="C67" s="29" t="str">
        <f>'web survey'!AA65</f>
        <v>204467777</v>
      </c>
      <c r="D67" s="30" t="str">
        <f>IF(B67="FU-ACInstall",VLOOKUP(VALUE('web survey'!D65),ref!$B$6:$C$7,2,0)&amp;" ("&amp;'web survey'!D65&amp;")",VLOOKUP(VALUE('web survey'!D65),ref!$E$6:$F$10,2,0)&amp;" ("&amp;'web survey'!D65&amp;")")</f>
        <v>Good (10)</v>
      </c>
      <c r="E67" s="32" t="str">
        <f>'web survey'!S65</f>
        <v/>
      </c>
      <c r="F67" s="30" t="str">
        <f>IF(B67="FU-ACInstall",VLOOKUP(VALUE('web survey'!E65),ref!$B$10:$C$12,2,0)&amp;" ("&amp;'web survey'!E65&amp;")",VLOOKUP(VALUE('web survey'!E65),ref!$E$13:$F$17,2,0)&amp;" ("&amp;'web survey'!E65&amp;")")</f>
        <v>Very Good (10)</v>
      </c>
      <c r="G67" s="32" t="str">
        <f>'web survey'!T65</f>
        <v/>
      </c>
      <c r="H67" s="30" t="str">
        <f>IF(B67="FU-ACInstall",VLOOKUP(VALUE('web survey'!F65),ref!$B$15:$C$17,2,0)&amp;" ("&amp;'web survey'!F65&amp;")",VLOOKUP(VALUE('web survey'!F65),ref!$E$20:$F$21,2,0)&amp;" ("&amp;'web survey'!F65&amp;")")</f>
        <v>Appropriate with SAP / in Warranty (10)</v>
      </c>
      <c r="I67" s="32" t="str">
        <f>'web survey'!U65</f>
        <v/>
      </c>
      <c r="J67" s="30" t="str">
        <f>IF(B67="FU-ACInstall","-",VLOOKUP(VALUE('web survey'!G65),ref!$E$24:$F$26,2,0)&amp;" ("&amp;'web survey'!G65&amp;")")</f>
        <v>Jelas (5)</v>
      </c>
      <c r="K67" s="28" t="str">
        <f>YEAR('web survey'!Z65)&amp;"-"&amp;IF(MONTH('web survey'!Z65)&lt;10,"0"&amp;MONTH('web survey'!Z65),MONTH('web survey'!Z65))&amp;"-"&amp;IF(DAY('web survey'!Z65)&lt;10,"0"&amp;DAY('web survey'!Z65),DAY('web survey'!Z65))&amp;" "&amp;IF(HOUR('web survey'!Z65)&lt;10,"0"&amp;HOUR('web survey'!Z65),HOUR('web survey'!Z65))&amp;":"&amp;IF(MINUTE('web survey'!Z65)&lt;10,"0"&amp;MINUTE('web survey'!Z65),MINUTE('web survey'!Z65))&amp;(":00'")</f>
        <v>2026-06-14 08:37:00'</v>
      </c>
      <c r="N67" s="37">
        <v>64</v>
      </c>
      <c r="O67" s="37" t="s">
        <v>27</v>
      </c>
      <c r="P67" s="38" t="s">
        <v>148</v>
      </c>
      <c r="Q67" s="43" t="s">
        <v>18</v>
      </c>
      <c r="R67" s="44" t="s">
        <v>17</v>
      </c>
      <c r="S67" s="43" t="s">
        <v>37</v>
      </c>
      <c r="T67" s="44" t="s">
        <v>17</v>
      </c>
      <c r="U67" s="43" t="s">
        <v>30</v>
      </c>
      <c r="V67" s="44" t="s">
        <v>17</v>
      </c>
      <c r="W67" s="43" t="s">
        <v>34</v>
      </c>
      <c r="X67" s="37" t="s">
        <v>149</v>
      </c>
    </row>
    <row r="68" ht="28.2" customHeight="1" spans="1:24">
      <c r="A68" s="28">
        <f>IF(B68="","",ROW()-COUNTBLANK($B$4:B68)-3)</f>
        <v>65</v>
      </c>
      <c r="B68" s="28" t="str">
        <f>'web survey'!C66</f>
        <v>FU-Z1-Eng</v>
      </c>
      <c r="C68" s="29" t="str">
        <f>'web survey'!AA66</f>
        <v>204475055</v>
      </c>
      <c r="D68" s="30" t="str">
        <f>IF(B68="FU-ACInstall",VLOOKUP(VALUE('web survey'!D66),ref!$B$6:$C$7,2,0)&amp;" ("&amp;'web survey'!D66&amp;")",VLOOKUP(VALUE('web survey'!D66),ref!$E$6:$F$10,2,0)&amp;" ("&amp;'web survey'!D66&amp;")")</f>
        <v>Not Good (-10)</v>
      </c>
      <c r="E68" s="32" t="str">
        <f>'web survey'!S66</f>
        <v/>
      </c>
      <c r="F68" s="30" t="str">
        <f>IF(B68="FU-ACInstall",VLOOKUP(VALUE('web survey'!E66),ref!$B$10:$C$12,2,0)&amp;" ("&amp;'web survey'!E66&amp;")",VLOOKUP(VALUE('web survey'!E66),ref!$E$13:$F$17,2,0)&amp;" ("&amp;'web survey'!E66&amp;")")</f>
        <v>Good (5)</v>
      </c>
      <c r="G68" s="32" t="str">
        <f>'web survey'!T66</f>
        <v/>
      </c>
      <c r="H68" s="30" t="str">
        <f>IF(B68="FU-ACInstall",VLOOKUP(VALUE('web survey'!F66),ref!$B$15:$C$17,2,0)&amp;" ("&amp;'web survey'!F66&amp;")",VLOOKUP(VALUE('web survey'!F66),ref!$E$20:$F$21,2,0)&amp;" ("&amp;'web survey'!F66&amp;")")</f>
        <v>Appropriate with SAP / in Warranty (10)</v>
      </c>
      <c r="I68" s="32" t="str">
        <f>'web survey'!U66</f>
        <v/>
      </c>
      <c r="J68" s="30" t="str">
        <f>IF(B68="FU-ACInstall","-",VLOOKUP(VALUE('web survey'!G66),ref!$E$24:$F$26,2,0)&amp;" ("&amp;'web survey'!G66&amp;")")</f>
        <v>Tidak ada penjelasan (-5)</v>
      </c>
      <c r="K68" s="28" t="str">
        <f>YEAR('web survey'!Z66)&amp;"-"&amp;IF(MONTH('web survey'!Z66)&lt;10,"0"&amp;MONTH('web survey'!Z66),MONTH('web survey'!Z66))&amp;"-"&amp;IF(DAY('web survey'!Z66)&lt;10,"0"&amp;DAY('web survey'!Z66),DAY('web survey'!Z66))&amp;" "&amp;IF(HOUR('web survey'!Z66)&lt;10,"0"&amp;HOUR('web survey'!Z66),HOUR('web survey'!Z66))&amp;":"&amp;IF(MINUTE('web survey'!Z66)&lt;10,"0"&amp;MINUTE('web survey'!Z66),MINUTE('web survey'!Z66))&amp;(":00'")</f>
        <v>2026-06-14 08:28:00'</v>
      </c>
      <c r="N68" s="37">
        <v>65</v>
      </c>
      <c r="O68" s="37" t="s">
        <v>27</v>
      </c>
      <c r="P68" s="38" t="s">
        <v>150</v>
      </c>
      <c r="Q68" s="43" t="s">
        <v>33</v>
      </c>
      <c r="R68" s="44" t="s">
        <v>17</v>
      </c>
      <c r="S68" s="43" t="s">
        <v>29</v>
      </c>
      <c r="T68" s="44" t="s">
        <v>17</v>
      </c>
      <c r="U68" s="43" t="s">
        <v>30</v>
      </c>
      <c r="V68" s="44" t="s">
        <v>17</v>
      </c>
      <c r="W68" s="43" t="s">
        <v>50</v>
      </c>
      <c r="X68" s="37" t="s">
        <v>151</v>
      </c>
    </row>
    <row r="69" ht="28.2" customHeight="1" spans="1:24">
      <c r="A69" s="28">
        <f>IF(B69="","",ROW()-COUNTBLANK($B$4:B69)-3)</f>
        <v>66</v>
      </c>
      <c r="B69" s="28" t="str">
        <f>'web survey'!C67</f>
        <v>FU-Z1-Eng</v>
      </c>
      <c r="C69" s="29" t="str">
        <f>'web survey'!AA67</f>
        <v>204473722</v>
      </c>
      <c r="D69" s="30" t="str">
        <f>IF(B69="FU-ACInstall",VLOOKUP(VALUE('web survey'!D67),ref!$B$6:$C$7,2,0)&amp;" ("&amp;'web survey'!D67&amp;")",VLOOKUP(VALUE('web survey'!D67),ref!$E$6:$F$10,2,0)&amp;" ("&amp;'web survey'!D67&amp;")")</f>
        <v>Not Good (-10)</v>
      </c>
      <c r="E69" s="32" t="str">
        <f>'web survey'!S67</f>
        <v>Ac Indoor tiba-tiba tertutup (mati) dan lampu indikator berkedip, padahal remot AC tidak dimatikan. Itu terjadi ketika sedang tidur jadi tidak tau kapan AC nya mati. AC harus disetting kipasnya level 3 baru terasa dingin, itu pun dingin karena terkena kipasnya langsung dan bukan ruangannya yang dingin. AC Outdoor juga bunyinya kadang berisik, terus tiba-tiba anteng seperti mati sendiri. </v>
      </c>
      <c r="F69" s="30" t="str">
        <f>IF(B69="FU-ACInstall",VLOOKUP(VALUE('web survey'!E67),ref!$B$10:$C$12,2,0)&amp;" ("&amp;'web survey'!E67&amp;")",VLOOKUP(VALUE('web survey'!E67),ref!$E$13:$F$17,2,0)&amp;" ("&amp;'web survey'!E67&amp;")")</f>
        <v>Good (5)</v>
      </c>
      <c r="G69" s="32" t="str">
        <f>'web survey'!T67</f>
        <v/>
      </c>
      <c r="H69" s="30" t="str">
        <f>IF(B69="FU-ACInstall",VLOOKUP(VALUE('web survey'!F67),ref!$B$15:$C$17,2,0)&amp;" ("&amp;'web survey'!F67&amp;")",VLOOKUP(VALUE('web survey'!F67),ref!$E$20:$F$21,2,0)&amp;" ("&amp;'web survey'!F67&amp;")")</f>
        <v>Different with SAP (-10)</v>
      </c>
      <c r="I69" s="32" t="str">
        <f>'web survey'!U67</f>
        <v/>
      </c>
      <c r="J69" s="30" t="str">
        <f>IF(B69="FU-ACInstall","-",VLOOKUP(VALUE('web survey'!G67),ref!$E$24:$F$26,2,0)&amp;" ("&amp;'web survey'!G67&amp;")")</f>
        <v>Kurang jelas (3)</v>
      </c>
      <c r="K69" s="28" t="str">
        <f>YEAR('web survey'!Z67)&amp;"-"&amp;IF(MONTH('web survey'!Z67)&lt;10,"0"&amp;MONTH('web survey'!Z67),MONTH('web survey'!Z67))&amp;"-"&amp;IF(DAY('web survey'!Z67)&lt;10,"0"&amp;DAY('web survey'!Z67),DAY('web survey'!Z67))&amp;" "&amp;IF(HOUR('web survey'!Z67)&lt;10,"0"&amp;HOUR('web survey'!Z67),HOUR('web survey'!Z67))&amp;":"&amp;IF(MINUTE('web survey'!Z67)&lt;10,"0"&amp;MINUTE('web survey'!Z67),MINUTE('web survey'!Z67))&amp;(":00'")</f>
        <v>2026-06-14 05:23:00'</v>
      </c>
      <c r="N69" s="37">
        <v>66</v>
      </c>
      <c r="O69" s="37" t="s">
        <v>27</v>
      </c>
      <c r="P69" s="38" t="s">
        <v>152</v>
      </c>
      <c r="Q69" s="43" t="s">
        <v>33</v>
      </c>
      <c r="R69" s="44" t="s">
        <v>153</v>
      </c>
      <c r="S69" s="43" t="s">
        <v>29</v>
      </c>
      <c r="T69" s="44" t="s">
        <v>17</v>
      </c>
      <c r="U69" s="43" t="s">
        <v>87</v>
      </c>
      <c r="V69" s="44" t="s">
        <v>17</v>
      </c>
      <c r="W69" s="43" t="s">
        <v>154</v>
      </c>
      <c r="X69" s="37" t="s">
        <v>155</v>
      </c>
    </row>
    <row r="70" ht="28.2" customHeight="1" spans="1:24">
      <c r="A70" s="28">
        <f>IF(B70="","",ROW()-COUNTBLANK($B$4:B70)-3)</f>
        <v>67</v>
      </c>
      <c r="B70" s="28" t="str">
        <f>'web survey'!C68</f>
        <v>FU-Z1-Eng</v>
      </c>
      <c r="C70" s="29" t="str">
        <f>'web survey'!AA68</f>
        <v>1033A2601439</v>
      </c>
      <c r="D70" s="30" t="str">
        <f>IF(B70="FU-ACInstall",VLOOKUP(VALUE('web survey'!D68),ref!$B$6:$C$7,2,0)&amp;" ("&amp;'web survey'!D68&amp;")",VLOOKUP(VALUE('web survey'!D68),ref!$E$6:$F$10,2,0)&amp;" ("&amp;'web survey'!D68&amp;")")</f>
        <v>Good (10)</v>
      </c>
      <c r="E70" s="32" t="str">
        <f>'web survey'!S68</f>
        <v/>
      </c>
      <c r="F70" s="30" t="str">
        <f>IF(B70="FU-ACInstall",VLOOKUP(VALUE('web survey'!E68),ref!$B$10:$C$12,2,0)&amp;" ("&amp;'web survey'!E68&amp;")",VLOOKUP(VALUE('web survey'!E68),ref!$E$13:$F$17,2,0)&amp;" ("&amp;'web survey'!E68&amp;")")</f>
        <v>Very Good (10)</v>
      </c>
      <c r="G70" s="32" t="str">
        <f>'web survey'!T68</f>
        <v/>
      </c>
      <c r="H70" s="30" t="str">
        <f>IF(B70="FU-ACInstall",VLOOKUP(VALUE('web survey'!F68),ref!$B$15:$C$17,2,0)&amp;" ("&amp;'web survey'!F68&amp;")",VLOOKUP(VALUE('web survey'!F68),ref!$E$20:$F$21,2,0)&amp;" ("&amp;'web survey'!F68&amp;")")</f>
        <v>Appropriate with SAP / in Warranty (10)</v>
      </c>
      <c r="I70" s="32" t="str">
        <f>'web survey'!U68</f>
        <v/>
      </c>
      <c r="J70" s="30" t="str">
        <f>IF(B70="FU-ACInstall","-",VLOOKUP(VALUE('web survey'!G68),ref!$E$24:$F$26,2,0)&amp;" ("&amp;'web survey'!G68&amp;")")</f>
        <v>Jelas (5)</v>
      </c>
      <c r="K70" s="28" t="str">
        <f>YEAR('web survey'!Z68)&amp;"-"&amp;IF(MONTH('web survey'!Z68)&lt;10,"0"&amp;MONTH('web survey'!Z68),MONTH('web survey'!Z68))&amp;"-"&amp;IF(DAY('web survey'!Z68)&lt;10,"0"&amp;DAY('web survey'!Z68),DAY('web survey'!Z68))&amp;" "&amp;IF(HOUR('web survey'!Z68)&lt;10,"0"&amp;HOUR('web survey'!Z68),HOUR('web survey'!Z68))&amp;":"&amp;IF(MINUTE('web survey'!Z68)&lt;10,"0"&amp;MINUTE('web survey'!Z68),MINUTE('web survey'!Z68))&amp;(":00'")</f>
        <v>2026-06-14 05:21:00'</v>
      </c>
      <c r="N70" s="37">
        <v>67</v>
      </c>
      <c r="O70" s="37" t="s">
        <v>27</v>
      </c>
      <c r="P70" s="38" t="s">
        <v>156</v>
      </c>
      <c r="Q70" s="43" t="s">
        <v>18</v>
      </c>
      <c r="R70" s="44" t="s">
        <v>17</v>
      </c>
      <c r="S70" s="43" t="s">
        <v>37</v>
      </c>
      <c r="T70" s="44" t="s">
        <v>17</v>
      </c>
      <c r="U70" s="43" t="s">
        <v>30</v>
      </c>
      <c r="V70" s="44" t="s">
        <v>17</v>
      </c>
      <c r="W70" s="43" t="s">
        <v>34</v>
      </c>
      <c r="X70" s="37" t="s">
        <v>157</v>
      </c>
    </row>
    <row r="71" ht="28.2" customHeight="1" spans="1:24">
      <c r="A71" s="28">
        <f>IF(B71="","",ROW()-COUNTBLANK($B$4:B71)-3)</f>
        <v>68</v>
      </c>
      <c r="B71" s="28" t="str">
        <f>'web survey'!C69</f>
        <v>FU-Z1-Eng</v>
      </c>
      <c r="C71" s="29" t="str">
        <f>'web survey'!AA69</f>
        <v>204475022</v>
      </c>
      <c r="D71" s="30" t="str">
        <f>IF(B71="FU-ACInstall",VLOOKUP(VALUE('web survey'!D69),ref!$B$6:$C$7,2,0)&amp;" ("&amp;'web survey'!D69&amp;")",VLOOKUP(VALUE('web survey'!D69),ref!$E$6:$F$10,2,0)&amp;" ("&amp;'web survey'!D69&amp;")")</f>
        <v>Good (10)</v>
      </c>
      <c r="E71" s="32" t="str">
        <f>'web survey'!S69</f>
        <v/>
      </c>
      <c r="F71" s="30" t="str">
        <f>IF(B71="FU-ACInstall",VLOOKUP(VALUE('web survey'!E69),ref!$B$10:$C$12,2,0)&amp;" ("&amp;'web survey'!E69&amp;")",VLOOKUP(VALUE('web survey'!E69),ref!$E$13:$F$17,2,0)&amp;" ("&amp;'web survey'!E69&amp;")")</f>
        <v>Very Good (10)</v>
      </c>
      <c r="G71" s="32" t="str">
        <f>'web survey'!T69</f>
        <v/>
      </c>
      <c r="H71" s="30" t="str">
        <f>IF(B71="FU-ACInstall",VLOOKUP(VALUE('web survey'!F69),ref!$B$15:$C$17,2,0)&amp;" ("&amp;'web survey'!F69&amp;")",VLOOKUP(VALUE('web survey'!F69),ref!$E$20:$F$21,2,0)&amp;" ("&amp;'web survey'!F69&amp;")")</f>
        <v>Appropriate with SAP / in Warranty (10)</v>
      </c>
      <c r="I71" s="32" t="str">
        <f>'web survey'!U69</f>
        <v/>
      </c>
      <c r="J71" s="30" t="str">
        <f>IF(B71="FU-ACInstall","-",VLOOKUP(VALUE('web survey'!G69),ref!$E$24:$F$26,2,0)&amp;" ("&amp;'web survey'!G69&amp;")")</f>
        <v>Jelas (5)</v>
      </c>
      <c r="K71" s="28" t="str">
        <f>YEAR('web survey'!Z69)&amp;"-"&amp;IF(MONTH('web survey'!Z69)&lt;10,"0"&amp;MONTH('web survey'!Z69),MONTH('web survey'!Z69))&amp;"-"&amp;IF(DAY('web survey'!Z69)&lt;10,"0"&amp;DAY('web survey'!Z69),DAY('web survey'!Z69))&amp;" "&amp;IF(HOUR('web survey'!Z69)&lt;10,"0"&amp;HOUR('web survey'!Z69),HOUR('web survey'!Z69))&amp;":"&amp;IF(MINUTE('web survey'!Z69)&lt;10,"0"&amp;MINUTE('web survey'!Z69),MINUTE('web survey'!Z69))&amp;(":00'")</f>
        <v>2026-06-14 05:00:00'</v>
      </c>
      <c r="N71" s="37">
        <v>68</v>
      </c>
      <c r="O71" s="37" t="s">
        <v>27</v>
      </c>
      <c r="P71" s="38" t="s">
        <v>158</v>
      </c>
      <c r="Q71" s="43" t="s">
        <v>18</v>
      </c>
      <c r="R71" s="44" t="s">
        <v>17</v>
      </c>
      <c r="S71" s="43" t="s">
        <v>37</v>
      </c>
      <c r="T71" s="44" t="s">
        <v>17</v>
      </c>
      <c r="U71" s="43" t="s">
        <v>30</v>
      </c>
      <c r="V71" s="44" t="s">
        <v>17</v>
      </c>
      <c r="W71" s="43" t="s">
        <v>34</v>
      </c>
      <c r="X71" s="37" t="s">
        <v>159</v>
      </c>
    </row>
    <row r="72" ht="28.2" customHeight="1" spans="1:24">
      <c r="A72" s="28">
        <f>IF(B72="","",ROW()-COUNTBLANK($B$4:B72)-3)</f>
        <v>69</v>
      </c>
      <c r="B72" s="28" t="str">
        <f>'web survey'!C70</f>
        <v>FU-Z1-Eng</v>
      </c>
      <c r="C72" s="29" t="str">
        <f>'web survey'!AA70</f>
        <v>204469867</v>
      </c>
      <c r="D72" s="30" t="str">
        <f>IF(B72="FU-ACInstall",VLOOKUP(VALUE('web survey'!D70),ref!$B$6:$C$7,2,0)&amp;" ("&amp;'web survey'!D70&amp;")",VLOOKUP(VALUE('web survey'!D70),ref!$E$6:$F$10,2,0)&amp;" ("&amp;'web survey'!D70&amp;")")</f>
        <v>Good (10)</v>
      </c>
      <c r="E72" s="32" t="str">
        <f>'web survey'!S70</f>
        <v/>
      </c>
      <c r="F72" s="30" t="str">
        <f>IF(B72="FU-ACInstall",VLOOKUP(VALUE('web survey'!E70),ref!$B$10:$C$12,2,0)&amp;" ("&amp;'web survey'!E70&amp;")",VLOOKUP(VALUE('web survey'!E70),ref!$E$13:$F$17,2,0)&amp;" ("&amp;'web survey'!E70&amp;")")</f>
        <v>Very Good (10)</v>
      </c>
      <c r="G72" s="32" t="str">
        <f>'web survey'!T70</f>
        <v/>
      </c>
      <c r="H72" s="30" t="str">
        <f>IF(B72="FU-ACInstall",VLOOKUP(VALUE('web survey'!F70),ref!$B$15:$C$17,2,0)&amp;" ("&amp;'web survey'!F70&amp;")",VLOOKUP(VALUE('web survey'!F70),ref!$E$20:$F$21,2,0)&amp;" ("&amp;'web survey'!F70&amp;")")</f>
        <v>Appropriate with SAP / in Warranty (10)</v>
      </c>
      <c r="I72" s="32" t="str">
        <f>'web survey'!U70</f>
        <v/>
      </c>
      <c r="J72" s="30" t="str">
        <f>IF(B72="FU-ACInstall","-",VLOOKUP(VALUE('web survey'!G70),ref!$E$24:$F$26,2,0)&amp;" ("&amp;'web survey'!G70&amp;")")</f>
        <v>Jelas (5)</v>
      </c>
      <c r="K72" s="28" t="str">
        <f>YEAR('web survey'!Z70)&amp;"-"&amp;IF(MONTH('web survey'!Z70)&lt;10,"0"&amp;MONTH('web survey'!Z70),MONTH('web survey'!Z70))&amp;"-"&amp;IF(DAY('web survey'!Z70)&lt;10,"0"&amp;DAY('web survey'!Z70),DAY('web survey'!Z70))&amp;" "&amp;IF(HOUR('web survey'!Z70)&lt;10,"0"&amp;HOUR('web survey'!Z70),HOUR('web survey'!Z70))&amp;":"&amp;IF(MINUTE('web survey'!Z70)&lt;10,"0"&amp;MINUTE('web survey'!Z70),MINUTE('web survey'!Z70))&amp;(":00'")</f>
        <v>2026-06-14 00:48:00'</v>
      </c>
      <c r="N72" s="37">
        <v>69</v>
      </c>
      <c r="O72" s="37" t="s">
        <v>27</v>
      </c>
      <c r="P72" s="38" t="s">
        <v>160</v>
      </c>
      <c r="Q72" s="43" t="s">
        <v>18</v>
      </c>
      <c r="R72" s="44" t="s">
        <v>17</v>
      </c>
      <c r="S72" s="43" t="s">
        <v>37</v>
      </c>
      <c r="T72" s="44" t="s">
        <v>17</v>
      </c>
      <c r="U72" s="43" t="s">
        <v>30</v>
      </c>
      <c r="V72" s="44" t="s">
        <v>17</v>
      </c>
      <c r="W72" s="43" t="s">
        <v>34</v>
      </c>
      <c r="X72" s="37" t="s">
        <v>161</v>
      </c>
    </row>
    <row r="73" ht="28.2" customHeight="1" spans="1:24">
      <c r="A73" s="28">
        <f>IF(B73="","",ROW()-COUNTBLANK($B$4:B73)-3)</f>
        <v>70</v>
      </c>
      <c r="B73" s="28" t="str">
        <f>'web survey'!C71</f>
        <v>FU-Z1-Eng</v>
      </c>
      <c r="C73" s="29" t="str">
        <f>'web survey'!AA71</f>
        <v>100988317</v>
      </c>
      <c r="D73" s="30" t="str">
        <f>IF(B73="FU-ACInstall",VLOOKUP(VALUE('web survey'!D71),ref!$B$6:$C$7,2,0)&amp;" ("&amp;'web survey'!D71&amp;")",VLOOKUP(VALUE('web survey'!D71),ref!$E$6:$F$10,2,0)&amp;" ("&amp;'web survey'!D71&amp;")")</f>
        <v>Good (10)</v>
      </c>
      <c r="E73" s="32" t="str">
        <f>'web survey'!S71</f>
        <v/>
      </c>
      <c r="F73" s="30" t="str">
        <f>IF(B73="FU-ACInstall",VLOOKUP(VALUE('web survey'!E71),ref!$B$10:$C$12,2,0)&amp;" ("&amp;'web survey'!E71&amp;")",VLOOKUP(VALUE('web survey'!E71),ref!$E$13:$F$17,2,0)&amp;" ("&amp;'web survey'!E71&amp;")")</f>
        <v>Good (5)</v>
      </c>
      <c r="G73" s="32" t="str">
        <f>'web survey'!T71</f>
        <v/>
      </c>
      <c r="H73" s="30" t="str">
        <f>IF(B73="FU-ACInstall",VLOOKUP(VALUE('web survey'!F71),ref!$B$15:$C$17,2,0)&amp;" ("&amp;'web survey'!F71&amp;")",VLOOKUP(VALUE('web survey'!F71),ref!$E$20:$F$21,2,0)&amp;" ("&amp;'web survey'!F71&amp;")")</f>
        <v>Appropriate with SAP / in Warranty (10)</v>
      </c>
      <c r="I73" s="32" t="str">
        <f>'web survey'!U71</f>
        <v/>
      </c>
      <c r="J73" s="30" t="str">
        <f>IF(B73="FU-ACInstall","-",VLOOKUP(VALUE('web survey'!G71),ref!$E$24:$F$26,2,0)&amp;" ("&amp;'web survey'!G71&amp;")")</f>
        <v>Tidak ada penjelasan (-5)</v>
      </c>
      <c r="K73" s="28" t="str">
        <f>YEAR('web survey'!Z71)&amp;"-"&amp;IF(MONTH('web survey'!Z71)&lt;10,"0"&amp;MONTH('web survey'!Z71),MONTH('web survey'!Z71))&amp;"-"&amp;IF(DAY('web survey'!Z71)&lt;10,"0"&amp;DAY('web survey'!Z71),DAY('web survey'!Z71))&amp;" "&amp;IF(HOUR('web survey'!Z71)&lt;10,"0"&amp;HOUR('web survey'!Z71),HOUR('web survey'!Z71))&amp;":"&amp;IF(MINUTE('web survey'!Z71)&lt;10,"0"&amp;MINUTE('web survey'!Z71),MINUTE('web survey'!Z71))&amp;(":00'")</f>
        <v>2026-06-14 00:43:00'</v>
      </c>
      <c r="N73" s="37">
        <v>70</v>
      </c>
      <c r="O73" s="37" t="s">
        <v>27</v>
      </c>
      <c r="P73" s="38" t="s">
        <v>162</v>
      </c>
      <c r="Q73" s="43" t="s">
        <v>18</v>
      </c>
      <c r="R73" s="44" t="s">
        <v>17</v>
      </c>
      <c r="S73" s="43" t="s">
        <v>29</v>
      </c>
      <c r="T73" s="44" t="s">
        <v>17</v>
      </c>
      <c r="U73" s="43" t="s">
        <v>30</v>
      </c>
      <c r="V73" s="44" t="s">
        <v>17</v>
      </c>
      <c r="W73" s="43" t="s">
        <v>50</v>
      </c>
      <c r="X73" s="37" t="s">
        <v>163</v>
      </c>
    </row>
    <row r="74" ht="28.2" customHeight="1" spans="1:24">
      <c r="A74" s="28">
        <f>IF(B74="","",ROW()-COUNTBLANK($B$4:B74)-3)</f>
        <v>71</v>
      </c>
      <c r="B74" s="28" t="str">
        <f>'web survey'!C72</f>
        <v>FU-Z1-Eng</v>
      </c>
      <c r="C74" s="29" t="str">
        <f>'web survey'!AA72</f>
        <v>204473793</v>
      </c>
      <c r="D74" s="30" t="str">
        <f>IF(B74="FU-ACInstall",VLOOKUP(VALUE('web survey'!D72),ref!$B$6:$C$7,2,0)&amp;" ("&amp;'web survey'!D72&amp;")",VLOOKUP(VALUE('web survey'!D72),ref!$E$6:$F$10,2,0)&amp;" ("&amp;'web survey'!D72&amp;")")</f>
        <v>Good (10)</v>
      </c>
      <c r="E74" s="32" t="str">
        <f>'web survey'!S72</f>
        <v/>
      </c>
      <c r="F74" s="30" t="str">
        <f>IF(B74="FU-ACInstall",VLOOKUP(VALUE('web survey'!E72),ref!$B$10:$C$12,2,0)&amp;" ("&amp;'web survey'!E72&amp;")",VLOOKUP(VALUE('web survey'!E72),ref!$E$13:$F$17,2,0)&amp;" ("&amp;'web survey'!E72&amp;")")</f>
        <v>Very Good (10)</v>
      </c>
      <c r="G74" s="32" t="str">
        <f>'web survey'!T72</f>
        <v/>
      </c>
      <c r="H74" s="30" t="str">
        <f>IF(B74="FU-ACInstall",VLOOKUP(VALUE('web survey'!F72),ref!$B$15:$C$17,2,0)&amp;" ("&amp;'web survey'!F72&amp;")",VLOOKUP(VALUE('web survey'!F72),ref!$E$20:$F$21,2,0)&amp;" ("&amp;'web survey'!F72&amp;")")</f>
        <v>Appropriate with SAP / in Warranty (10)</v>
      </c>
      <c r="I74" s="32" t="str">
        <f>'web survey'!U72</f>
        <v/>
      </c>
      <c r="J74" s="30" t="str">
        <f>IF(B74="FU-ACInstall","-",VLOOKUP(VALUE('web survey'!G72),ref!$E$24:$F$26,2,0)&amp;" ("&amp;'web survey'!G72&amp;")")</f>
        <v>Jelas (5)</v>
      </c>
      <c r="K74" s="28" t="str">
        <f>YEAR('web survey'!Z72)&amp;"-"&amp;IF(MONTH('web survey'!Z72)&lt;10,"0"&amp;MONTH('web survey'!Z72),MONTH('web survey'!Z72))&amp;"-"&amp;IF(DAY('web survey'!Z72)&lt;10,"0"&amp;DAY('web survey'!Z72),DAY('web survey'!Z72))&amp;" "&amp;IF(HOUR('web survey'!Z72)&lt;10,"0"&amp;HOUR('web survey'!Z72),HOUR('web survey'!Z72))&amp;":"&amp;IF(MINUTE('web survey'!Z72)&lt;10,"0"&amp;MINUTE('web survey'!Z72),MINUTE('web survey'!Z72))&amp;(":00'")</f>
        <v>2026-06-13 23:27:00'</v>
      </c>
      <c r="N74" s="37">
        <v>71</v>
      </c>
      <c r="O74" s="37" t="s">
        <v>27</v>
      </c>
      <c r="P74" s="38" t="s">
        <v>164</v>
      </c>
      <c r="Q74" s="43" t="s">
        <v>18</v>
      </c>
      <c r="R74" s="44" t="s">
        <v>17</v>
      </c>
      <c r="S74" s="43" t="s">
        <v>37</v>
      </c>
      <c r="T74" s="44" t="s">
        <v>17</v>
      </c>
      <c r="U74" s="43" t="s">
        <v>30</v>
      </c>
      <c r="V74" s="44" t="s">
        <v>17</v>
      </c>
      <c r="W74" s="43" t="s">
        <v>34</v>
      </c>
      <c r="X74" s="37" t="s">
        <v>165</v>
      </c>
    </row>
    <row r="75" ht="28.2" customHeight="1" spans="1:24">
      <c r="A75" s="28">
        <f>IF(B75="","",ROW()-COUNTBLANK($B$4:B75)-3)</f>
        <v>72</v>
      </c>
      <c r="B75" s="28" t="str">
        <f>'web survey'!C73</f>
        <v>FU-Z1-Eng</v>
      </c>
      <c r="C75" s="29" t="str">
        <f>'web survey'!AA73</f>
        <v>204475305</v>
      </c>
      <c r="D75" s="30" t="str">
        <f>IF(B75="FU-ACInstall",VLOOKUP(VALUE('web survey'!D73),ref!$B$6:$C$7,2,0)&amp;" ("&amp;'web survey'!D73&amp;")",VLOOKUP(VALUE('web survey'!D73),ref!$E$6:$F$10,2,0)&amp;" ("&amp;'web survey'!D73&amp;")")</f>
        <v>Good (10)</v>
      </c>
      <c r="E75" s="32" t="str">
        <f>'web survey'!S73</f>
        <v/>
      </c>
      <c r="F75" s="30" t="str">
        <f>IF(B75="FU-ACInstall",VLOOKUP(VALUE('web survey'!E73),ref!$B$10:$C$12,2,0)&amp;" ("&amp;'web survey'!E73&amp;")",VLOOKUP(VALUE('web survey'!E73),ref!$E$13:$F$17,2,0)&amp;" ("&amp;'web survey'!E73&amp;")")</f>
        <v>Very Good (10)</v>
      </c>
      <c r="G75" s="32" t="str">
        <f>'web survey'!T73</f>
        <v/>
      </c>
      <c r="H75" s="30" t="str">
        <f>IF(B75="FU-ACInstall",VLOOKUP(VALUE('web survey'!F73),ref!$B$15:$C$17,2,0)&amp;" ("&amp;'web survey'!F73&amp;")",VLOOKUP(VALUE('web survey'!F73),ref!$E$20:$F$21,2,0)&amp;" ("&amp;'web survey'!F73&amp;")")</f>
        <v>Appropriate with SAP / in Warranty (10)</v>
      </c>
      <c r="I75" s="32" t="str">
        <f>'web survey'!U73</f>
        <v/>
      </c>
      <c r="J75" s="30" t="str">
        <f>IF(B75="FU-ACInstall","-",VLOOKUP(VALUE('web survey'!G73),ref!$E$24:$F$26,2,0)&amp;" ("&amp;'web survey'!G73&amp;")")</f>
        <v>Jelas (5)</v>
      </c>
      <c r="K75" s="28" t="str">
        <f>YEAR('web survey'!Z73)&amp;"-"&amp;IF(MONTH('web survey'!Z73)&lt;10,"0"&amp;MONTH('web survey'!Z73),MONTH('web survey'!Z73))&amp;"-"&amp;IF(DAY('web survey'!Z73)&lt;10,"0"&amp;DAY('web survey'!Z73),DAY('web survey'!Z73))&amp;" "&amp;IF(HOUR('web survey'!Z73)&lt;10,"0"&amp;HOUR('web survey'!Z73),HOUR('web survey'!Z73))&amp;":"&amp;IF(MINUTE('web survey'!Z73)&lt;10,"0"&amp;MINUTE('web survey'!Z73),MINUTE('web survey'!Z73))&amp;(":00'")</f>
        <v>2026-06-13 23:09:00'</v>
      </c>
      <c r="N75" s="37">
        <v>72</v>
      </c>
      <c r="O75" s="37" t="s">
        <v>27</v>
      </c>
      <c r="P75" s="38" t="s">
        <v>166</v>
      </c>
      <c r="Q75" s="43" t="s">
        <v>18</v>
      </c>
      <c r="R75" s="44" t="s">
        <v>17</v>
      </c>
      <c r="S75" s="43" t="s">
        <v>37</v>
      </c>
      <c r="T75" s="44" t="s">
        <v>17</v>
      </c>
      <c r="U75" s="43" t="s">
        <v>30</v>
      </c>
      <c r="V75" s="44" t="s">
        <v>17</v>
      </c>
      <c r="W75" s="43" t="s">
        <v>34</v>
      </c>
      <c r="X75" s="37" t="s">
        <v>167</v>
      </c>
    </row>
    <row r="76" ht="28.2" customHeight="1" spans="1:24">
      <c r="A76" s="28">
        <f>IF(B76="","",ROW()-COUNTBLANK($B$4:B76)-3)</f>
        <v>73</v>
      </c>
      <c r="B76" s="28" t="str">
        <f>'web survey'!C74</f>
        <v>FU-Z1-Eng</v>
      </c>
      <c r="C76" s="29" t="str">
        <f>'web survey'!AA74</f>
        <v>204475359</v>
      </c>
      <c r="D76" s="30" t="str">
        <f>IF(B76="FU-ACInstall",VLOOKUP(VALUE('web survey'!D74),ref!$B$6:$C$7,2,0)&amp;" ("&amp;'web survey'!D74&amp;")",VLOOKUP(VALUE('web survey'!D74),ref!$E$6:$F$10,2,0)&amp;" ("&amp;'web survey'!D74&amp;")")</f>
        <v>Good (10)</v>
      </c>
      <c r="E76" s="32" t="str">
        <f>'web survey'!S74</f>
        <v/>
      </c>
      <c r="F76" s="30" t="str">
        <f>IF(B76="FU-ACInstall",VLOOKUP(VALUE('web survey'!E74),ref!$B$10:$C$12,2,0)&amp;" ("&amp;'web survey'!E74&amp;")",VLOOKUP(VALUE('web survey'!E74),ref!$E$13:$F$17,2,0)&amp;" ("&amp;'web survey'!E74&amp;")")</f>
        <v>Very Good (10)</v>
      </c>
      <c r="G76" s="32" t="str">
        <f>'web survey'!T74</f>
        <v/>
      </c>
      <c r="H76" s="30" t="str">
        <f>IF(B76="FU-ACInstall",VLOOKUP(VALUE('web survey'!F74),ref!$B$15:$C$17,2,0)&amp;" ("&amp;'web survey'!F74&amp;")",VLOOKUP(VALUE('web survey'!F74),ref!$E$20:$F$21,2,0)&amp;" ("&amp;'web survey'!F74&amp;")")</f>
        <v>Appropriate with SAP / in Warranty (10)</v>
      </c>
      <c r="I76" s="32" t="str">
        <f>'web survey'!U74</f>
        <v/>
      </c>
      <c r="J76" s="30" t="str">
        <f>IF(B76="FU-ACInstall","-",VLOOKUP(VALUE('web survey'!G74),ref!$E$24:$F$26,2,0)&amp;" ("&amp;'web survey'!G74&amp;")")</f>
        <v>Jelas (5)</v>
      </c>
      <c r="K76" s="28" t="str">
        <f>YEAR('web survey'!Z74)&amp;"-"&amp;IF(MONTH('web survey'!Z74)&lt;10,"0"&amp;MONTH('web survey'!Z74),MONTH('web survey'!Z74))&amp;"-"&amp;IF(DAY('web survey'!Z74)&lt;10,"0"&amp;DAY('web survey'!Z74),DAY('web survey'!Z74))&amp;" "&amp;IF(HOUR('web survey'!Z74)&lt;10,"0"&amp;HOUR('web survey'!Z74),HOUR('web survey'!Z74))&amp;":"&amp;IF(MINUTE('web survey'!Z74)&lt;10,"0"&amp;MINUTE('web survey'!Z74),MINUTE('web survey'!Z74))&amp;(":00'")</f>
        <v>2026-06-13 23:07:00'</v>
      </c>
      <c r="N76" s="37">
        <v>73</v>
      </c>
      <c r="O76" s="37" t="s">
        <v>27</v>
      </c>
      <c r="P76" s="38" t="s">
        <v>168</v>
      </c>
      <c r="Q76" s="43" t="s">
        <v>18</v>
      </c>
      <c r="R76" s="44" t="s">
        <v>17</v>
      </c>
      <c r="S76" s="43" t="s">
        <v>37</v>
      </c>
      <c r="T76" s="44" t="s">
        <v>17</v>
      </c>
      <c r="U76" s="43" t="s">
        <v>30</v>
      </c>
      <c r="V76" s="44" t="s">
        <v>17</v>
      </c>
      <c r="W76" s="43" t="s">
        <v>34</v>
      </c>
      <c r="X76" s="37" t="s">
        <v>169</v>
      </c>
    </row>
    <row r="77" ht="28.2" customHeight="1" spans="1:24">
      <c r="A77" s="28">
        <f>IF(B77="","",ROW()-COUNTBLANK($B$4:B77)-3)</f>
        <v>74</v>
      </c>
      <c r="B77" s="28" t="str">
        <f>'web survey'!C75</f>
        <v>FU-Z1-Eng</v>
      </c>
      <c r="C77" s="29" t="str">
        <f>'web survey'!AA75</f>
        <v>204472239</v>
      </c>
      <c r="D77" s="30" t="str">
        <f>IF(B77="FU-ACInstall",VLOOKUP(VALUE('web survey'!D75),ref!$B$6:$C$7,2,0)&amp;" ("&amp;'web survey'!D75&amp;")",VLOOKUP(VALUE('web survey'!D75),ref!$E$6:$F$10,2,0)&amp;" ("&amp;'web survey'!D75&amp;")")</f>
        <v>Good (10)</v>
      </c>
      <c r="E77" s="32" t="str">
        <f>'web survey'!S75</f>
        <v/>
      </c>
      <c r="F77" s="30" t="str">
        <f>IF(B77="FU-ACInstall",VLOOKUP(VALUE('web survey'!E75),ref!$B$10:$C$12,2,0)&amp;" ("&amp;'web survey'!E75&amp;")",VLOOKUP(VALUE('web survey'!E75),ref!$E$13:$F$17,2,0)&amp;" ("&amp;'web survey'!E75&amp;")")</f>
        <v>Very Good (10)</v>
      </c>
      <c r="G77" s="32" t="str">
        <f>'web survey'!T75</f>
        <v/>
      </c>
      <c r="H77" s="30" t="str">
        <f>IF(B77="FU-ACInstall",VLOOKUP(VALUE('web survey'!F75),ref!$B$15:$C$17,2,0)&amp;" ("&amp;'web survey'!F75&amp;")",VLOOKUP(VALUE('web survey'!F75),ref!$E$20:$F$21,2,0)&amp;" ("&amp;'web survey'!F75&amp;")")</f>
        <v>Appropriate with SAP / in Warranty (10)</v>
      </c>
      <c r="I77" s="32" t="str">
        <f>'web survey'!U75</f>
        <v/>
      </c>
      <c r="J77" s="30" t="str">
        <f>IF(B77="FU-ACInstall","-",VLOOKUP(VALUE('web survey'!G75),ref!$E$24:$F$26,2,0)&amp;" ("&amp;'web survey'!G75&amp;")")</f>
        <v>Jelas (5)</v>
      </c>
      <c r="K77" s="28" t="str">
        <f>YEAR('web survey'!Z75)&amp;"-"&amp;IF(MONTH('web survey'!Z75)&lt;10,"0"&amp;MONTH('web survey'!Z75),MONTH('web survey'!Z75))&amp;"-"&amp;IF(DAY('web survey'!Z75)&lt;10,"0"&amp;DAY('web survey'!Z75),DAY('web survey'!Z75))&amp;" "&amp;IF(HOUR('web survey'!Z75)&lt;10,"0"&amp;HOUR('web survey'!Z75),HOUR('web survey'!Z75))&amp;":"&amp;IF(MINUTE('web survey'!Z75)&lt;10,"0"&amp;MINUTE('web survey'!Z75),MINUTE('web survey'!Z75))&amp;(":00'")</f>
        <v>2026-06-13 21:44:00'</v>
      </c>
      <c r="N77" s="37">
        <v>74</v>
      </c>
      <c r="O77" s="37" t="s">
        <v>27</v>
      </c>
      <c r="P77" s="38" t="s">
        <v>170</v>
      </c>
      <c r="Q77" s="43" t="s">
        <v>18</v>
      </c>
      <c r="R77" s="44" t="s">
        <v>17</v>
      </c>
      <c r="S77" s="43" t="s">
        <v>37</v>
      </c>
      <c r="T77" s="44" t="s">
        <v>17</v>
      </c>
      <c r="U77" s="43" t="s">
        <v>30</v>
      </c>
      <c r="V77" s="44" t="s">
        <v>17</v>
      </c>
      <c r="W77" s="43" t="s">
        <v>34</v>
      </c>
      <c r="X77" s="37" t="s">
        <v>171</v>
      </c>
    </row>
    <row r="78" ht="28.2" customHeight="1" spans="1:24">
      <c r="A78" s="28">
        <f>IF(B78="","",ROW()-COUNTBLANK($B$4:B78)-3)</f>
        <v>75</v>
      </c>
      <c r="B78" s="28" t="str">
        <f>'web survey'!C76</f>
        <v>FU-Z1-Eng</v>
      </c>
      <c r="C78" s="29" t="str">
        <f>'web survey'!AA76</f>
        <v>100984537</v>
      </c>
      <c r="D78" s="30" t="str">
        <f>IF(B78="FU-ACInstall",VLOOKUP(VALUE('web survey'!D76),ref!$B$6:$C$7,2,0)&amp;" ("&amp;'web survey'!D76&amp;")",VLOOKUP(VALUE('web survey'!D76),ref!$E$6:$F$10,2,0)&amp;" ("&amp;'web survey'!D76&amp;")")</f>
        <v>Good (10)</v>
      </c>
      <c r="E78" s="32" t="str">
        <f>'web survey'!S76</f>
        <v/>
      </c>
      <c r="F78" s="30" t="str">
        <f>IF(B78="FU-ACInstall",VLOOKUP(VALUE('web survey'!E76),ref!$B$10:$C$12,2,0)&amp;" ("&amp;'web survey'!E76&amp;")",VLOOKUP(VALUE('web survey'!E76),ref!$E$13:$F$17,2,0)&amp;" ("&amp;'web survey'!E76&amp;")")</f>
        <v>Good (5)</v>
      </c>
      <c r="G78" s="32" t="str">
        <f>'web survey'!T76</f>
        <v/>
      </c>
      <c r="H78" s="30" t="str">
        <f>IF(B78="FU-ACInstall",VLOOKUP(VALUE('web survey'!F76),ref!$B$15:$C$17,2,0)&amp;" ("&amp;'web survey'!F76&amp;")",VLOOKUP(VALUE('web survey'!F76),ref!$E$20:$F$21,2,0)&amp;" ("&amp;'web survey'!F76&amp;")")</f>
        <v>Appropriate with SAP / in Warranty (10)</v>
      </c>
      <c r="I78" s="32" t="str">
        <f>'web survey'!U76</f>
        <v/>
      </c>
      <c r="J78" s="30" t="str">
        <f>IF(B78="FU-ACInstall","-",VLOOKUP(VALUE('web survey'!G76),ref!$E$24:$F$26,2,0)&amp;" ("&amp;'web survey'!G76&amp;")")</f>
        <v>Jelas (5)</v>
      </c>
      <c r="K78" s="28" t="str">
        <f>YEAR('web survey'!Z76)&amp;"-"&amp;IF(MONTH('web survey'!Z76)&lt;10,"0"&amp;MONTH('web survey'!Z76),MONTH('web survey'!Z76))&amp;"-"&amp;IF(DAY('web survey'!Z76)&lt;10,"0"&amp;DAY('web survey'!Z76),DAY('web survey'!Z76))&amp;" "&amp;IF(HOUR('web survey'!Z76)&lt;10,"0"&amp;HOUR('web survey'!Z76),HOUR('web survey'!Z76))&amp;":"&amp;IF(MINUTE('web survey'!Z76)&lt;10,"0"&amp;MINUTE('web survey'!Z76),MINUTE('web survey'!Z76))&amp;(":00'")</f>
        <v>2026-06-13 21:26:00'</v>
      </c>
      <c r="N78" s="37">
        <v>75</v>
      </c>
      <c r="O78" s="37" t="s">
        <v>27</v>
      </c>
      <c r="P78" s="38" t="s">
        <v>172</v>
      </c>
      <c r="Q78" s="43" t="s">
        <v>18</v>
      </c>
      <c r="R78" s="44" t="s">
        <v>17</v>
      </c>
      <c r="S78" s="43" t="s">
        <v>29</v>
      </c>
      <c r="T78" s="44" t="s">
        <v>17</v>
      </c>
      <c r="U78" s="43" t="s">
        <v>30</v>
      </c>
      <c r="V78" s="44" t="s">
        <v>17</v>
      </c>
      <c r="W78" s="43" t="s">
        <v>34</v>
      </c>
      <c r="X78" s="37" t="s">
        <v>173</v>
      </c>
    </row>
    <row r="79" ht="28.2" customHeight="1" spans="1:24">
      <c r="A79" s="28">
        <f>IF(B79="","",ROW()-COUNTBLANK($B$4:B79)-3)</f>
        <v>76</v>
      </c>
      <c r="B79" s="28" t="str">
        <f>'web survey'!C77</f>
        <v>FU-Z1-Eng</v>
      </c>
      <c r="C79" s="29" t="str">
        <f>'web survey'!AA77</f>
        <v>100986340</v>
      </c>
      <c r="D79" s="30" t="str">
        <f>IF(B79="FU-ACInstall",VLOOKUP(VALUE('web survey'!D77),ref!$B$6:$C$7,2,0)&amp;" ("&amp;'web survey'!D77&amp;")",VLOOKUP(VALUE('web survey'!D77),ref!$E$6:$F$10,2,0)&amp;" ("&amp;'web survey'!D77&amp;")")</f>
        <v>Good (10)</v>
      </c>
      <c r="E79" s="32" t="str">
        <f>'web survey'!S77</f>
        <v/>
      </c>
      <c r="F79" s="30" t="str">
        <f>IF(B79="FU-ACInstall",VLOOKUP(VALUE('web survey'!E77),ref!$B$10:$C$12,2,0)&amp;" ("&amp;'web survey'!E77&amp;")",VLOOKUP(VALUE('web survey'!E77),ref!$E$13:$F$17,2,0)&amp;" ("&amp;'web survey'!E77&amp;")")</f>
        <v>Good (5)</v>
      </c>
      <c r="G79" s="32" t="str">
        <f>'web survey'!T77</f>
        <v/>
      </c>
      <c r="H79" s="30" t="str">
        <f>IF(B79="FU-ACInstall",VLOOKUP(VALUE('web survey'!F77),ref!$B$15:$C$17,2,0)&amp;" ("&amp;'web survey'!F77&amp;")",VLOOKUP(VALUE('web survey'!F77),ref!$E$20:$F$21,2,0)&amp;" ("&amp;'web survey'!F77&amp;")")</f>
        <v>Appropriate with SAP / in Warranty (10)</v>
      </c>
      <c r="I79" s="32" t="str">
        <f>'web survey'!U77</f>
        <v/>
      </c>
      <c r="J79" s="30" t="str">
        <f>IF(B79="FU-ACInstall","-",VLOOKUP(VALUE('web survey'!G77),ref!$E$24:$F$26,2,0)&amp;" ("&amp;'web survey'!G77&amp;")")</f>
        <v>Jelas (5)</v>
      </c>
      <c r="K79" s="28" t="str">
        <f>YEAR('web survey'!Z77)&amp;"-"&amp;IF(MONTH('web survey'!Z77)&lt;10,"0"&amp;MONTH('web survey'!Z77),MONTH('web survey'!Z77))&amp;"-"&amp;IF(DAY('web survey'!Z77)&lt;10,"0"&amp;DAY('web survey'!Z77),DAY('web survey'!Z77))&amp;" "&amp;IF(HOUR('web survey'!Z77)&lt;10,"0"&amp;HOUR('web survey'!Z77),HOUR('web survey'!Z77))&amp;":"&amp;IF(MINUTE('web survey'!Z77)&lt;10,"0"&amp;MINUTE('web survey'!Z77),MINUTE('web survey'!Z77))&amp;(":00'")</f>
        <v>2026-06-13 20:35:00'</v>
      </c>
      <c r="N79" s="37">
        <v>76</v>
      </c>
      <c r="O79" s="37" t="s">
        <v>27</v>
      </c>
      <c r="P79" s="38" t="s">
        <v>174</v>
      </c>
      <c r="Q79" s="43" t="s">
        <v>18</v>
      </c>
      <c r="R79" s="44" t="s">
        <v>17</v>
      </c>
      <c r="S79" s="43" t="s">
        <v>29</v>
      </c>
      <c r="T79" s="44" t="s">
        <v>17</v>
      </c>
      <c r="U79" s="43" t="s">
        <v>30</v>
      </c>
      <c r="V79" s="44" t="s">
        <v>17</v>
      </c>
      <c r="W79" s="43" t="s">
        <v>34</v>
      </c>
      <c r="X79" s="37" t="s">
        <v>175</v>
      </c>
    </row>
    <row r="80" ht="28.2" customHeight="1" spans="1:24">
      <c r="A80" s="28">
        <f>IF(B80="","",ROW()-COUNTBLANK($B$4:B80)-3)</f>
        <v>77</v>
      </c>
      <c r="B80" s="28" t="str">
        <f>'web survey'!C78</f>
        <v>FU-Z1-Eng</v>
      </c>
      <c r="C80" s="29" t="str">
        <f>'web survey'!AA78</f>
        <v>204471879</v>
      </c>
      <c r="D80" s="30" t="str">
        <f>IF(B80="FU-ACInstall",VLOOKUP(VALUE('web survey'!D78),ref!$B$6:$C$7,2,0)&amp;" ("&amp;'web survey'!D78&amp;")",VLOOKUP(VALUE('web survey'!D78),ref!$E$6:$F$10,2,0)&amp;" ("&amp;'web survey'!D78&amp;")")</f>
        <v>Good (10)</v>
      </c>
      <c r="E80" s="32" t="str">
        <f>'web survey'!S78</f>
        <v/>
      </c>
      <c r="F80" s="30" t="str">
        <f>IF(B80="FU-ACInstall",VLOOKUP(VALUE('web survey'!E78),ref!$B$10:$C$12,2,0)&amp;" ("&amp;'web survey'!E78&amp;")",VLOOKUP(VALUE('web survey'!E78),ref!$E$13:$F$17,2,0)&amp;" ("&amp;'web survey'!E78&amp;")")</f>
        <v>Good (5)</v>
      </c>
      <c r="G80" s="32" t="str">
        <f>'web survey'!T78</f>
        <v/>
      </c>
      <c r="H80" s="30" t="str">
        <f>IF(B80="FU-ACInstall",VLOOKUP(VALUE('web survey'!F78),ref!$B$15:$C$17,2,0)&amp;" ("&amp;'web survey'!F78&amp;")",VLOOKUP(VALUE('web survey'!F78),ref!$E$20:$F$21,2,0)&amp;" ("&amp;'web survey'!F78&amp;")")</f>
        <v>Appropriate with SAP / in Warranty (10)</v>
      </c>
      <c r="I80" s="32" t="str">
        <f>'web survey'!U78</f>
        <v/>
      </c>
      <c r="J80" s="30" t="str">
        <f>IF(B80="FU-ACInstall","-",VLOOKUP(VALUE('web survey'!G78),ref!$E$24:$F$26,2,0)&amp;" ("&amp;'web survey'!G78&amp;")")</f>
        <v>Jelas (5)</v>
      </c>
      <c r="K80" s="28" t="str">
        <f>YEAR('web survey'!Z78)&amp;"-"&amp;IF(MONTH('web survey'!Z78)&lt;10,"0"&amp;MONTH('web survey'!Z78),MONTH('web survey'!Z78))&amp;"-"&amp;IF(DAY('web survey'!Z78)&lt;10,"0"&amp;DAY('web survey'!Z78),DAY('web survey'!Z78))&amp;" "&amp;IF(HOUR('web survey'!Z78)&lt;10,"0"&amp;HOUR('web survey'!Z78),HOUR('web survey'!Z78))&amp;":"&amp;IF(MINUTE('web survey'!Z78)&lt;10,"0"&amp;MINUTE('web survey'!Z78),MINUTE('web survey'!Z78))&amp;(":00'")</f>
        <v>2026-06-13 20:29:00'</v>
      </c>
      <c r="N80" s="37">
        <v>77</v>
      </c>
      <c r="O80" s="37" t="s">
        <v>27</v>
      </c>
      <c r="P80" s="38" t="s">
        <v>176</v>
      </c>
      <c r="Q80" s="43" t="s">
        <v>18</v>
      </c>
      <c r="R80" s="44" t="s">
        <v>17</v>
      </c>
      <c r="S80" s="43" t="s">
        <v>29</v>
      </c>
      <c r="T80" s="44" t="s">
        <v>17</v>
      </c>
      <c r="U80" s="43" t="s">
        <v>30</v>
      </c>
      <c r="V80" s="44" t="s">
        <v>17</v>
      </c>
      <c r="W80" s="43" t="s">
        <v>34</v>
      </c>
      <c r="X80" s="37" t="s">
        <v>177</v>
      </c>
    </row>
    <row r="81" ht="28.2" customHeight="1" spans="1:24">
      <c r="A81" s="28">
        <f>IF(B81="","",ROW()-COUNTBLANK($B$4:B81)-3)</f>
        <v>78</v>
      </c>
      <c r="B81" s="28" t="str">
        <f>'web survey'!C79</f>
        <v>FU-Z1-Eng</v>
      </c>
      <c r="C81" s="29" t="str">
        <f>'web survey'!AA79</f>
        <v>100987664</v>
      </c>
      <c r="D81" s="30" t="str">
        <f>IF(B81="FU-ACInstall",VLOOKUP(VALUE('web survey'!D79),ref!$B$6:$C$7,2,0)&amp;" ("&amp;'web survey'!D79&amp;")",VLOOKUP(VALUE('web survey'!D79),ref!$E$6:$F$10,2,0)&amp;" ("&amp;'web survey'!D79&amp;")")</f>
        <v>Good (10)</v>
      </c>
      <c r="E81" s="32" t="str">
        <f>'web survey'!S79</f>
        <v/>
      </c>
      <c r="F81" s="30" t="str">
        <f>IF(B81="FU-ACInstall",VLOOKUP(VALUE('web survey'!E79),ref!$B$10:$C$12,2,0)&amp;" ("&amp;'web survey'!E79&amp;")",VLOOKUP(VALUE('web survey'!E79),ref!$E$13:$F$17,2,0)&amp;" ("&amp;'web survey'!E79&amp;")")</f>
        <v>Very Good (10)</v>
      </c>
      <c r="G81" s="32" t="str">
        <f>'web survey'!T79</f>
        <v/>
      </c>
      <c r="H81" s="30" t="str">
        <f>IF(B81="FU-ACInstall",VLOOKUP(VALUE('web survey'!F79),ref!$B$15:$C$17,2,0)&amp;" ("&amp;'web survey'!F79&amp;")",VLOOKUP(VALUE('web survey'!F79),ref!$E$20:$F$21,2,0)&amp;" ("&amp;'web survey'!F79&amp;")")</f>
        <v>Appropriate with SAP / in Warranty (10)</v>
      </c>
      <c r="I81" s="32" t="str">
        <f>'web survey'!U79</f>
        <v/>
      </c>
      <c r="J81" s="30" t="str">
        <f>IF(B81="FU-ACInstall","-",VLOOKUP(VALUE('web survey'!G79),ref!$E$24:$F$26,2,0)&amp;" ("&amp;'web survey'!G79&amp;")")</f>
        <v>Jelas (5)</v>
      </c>
      <c r="K81" s="28" t="str">
        <f>YEAR('web survey'!Z79)&amp;"-"&amp;IF(MONTH('web survey'!Z79)&lt;10,"0"&amp;MONTH('web survey'!Z79),MONTH('web survey'!Z79))&amp;"-"&amp;IF(DAY('web survey'!Z79)&lt;10,"0"&amp;DAY('web survey'!Z79),DAY('web survey'!Z79))&amp;" "&amp;IF(HOUR('web survey'!Z79)&lt;10,"0"&amp;HOUR('web survey'!Z79),HOUR('web survey'!Z79))&amp;":"&amp;IF(MINUTE('web survey'!Z79)&lt;10,"0"&amp;MINUTE('web survey'!Z79),MINUTE('web survey'!Z79))&amp;(":00'")</f>
        <v>2026-06-13 20:26:00'</v>
      </c>
      <c r="N81" s="37">
        <v>78</v>
      </c>
      <c r="O81" s="37" t="s">
        <v>27</v>
      </c>
      <c r="P81" s="38" t="s">
        <v>178</v>
      </c>
      <c r="Q81" s="43" t="s">
        <v>18</v>
      </c>
      <c r="R81" s="44" t="s">
        <v>17</v>
      </c>
      <c r="S81" s="43" t="s">
        <v>37</v>
      </c>
      <c r="T81" s="44" t="s">
        <v>17</v>
      </c>
      <c r="U81" s="43" t="s">
        <v>30</v>
      </c>
      <c r="V81" s="44" t="s">
        <v>17</v>
      </c>
      <c r="W81" s="43" t="s">
        <v>34</v>
      </c>
      <c r="X81" s="37" t="s">
        <v>179</v>
      </c>
    </row>
    <row r="82" ht="28.2" customHeight="1" spans="1:24">
      <c r="A82" s="28">
        <f>IF(B82="","",ROW()-COUNTBLANK($B$4:B82)-3)</f>
        <v>79</v>
      </c>
      <c r="B82" s="28" t="str">
        <f>'web survey'!C80</f>
        <v>FU-Z1-Eng</v>
      </c>
      <c r="C82" s="29" t="str">
        <f>'web survey'!AA80</f>
        <v>1105A2603066</v>
      </c>
      <c r="D82" s="30" t="str">
        <f>IF(B82="FU-ACInstall",VLOOKUP(VALUE('web survey'!D80),ref!$B$6:$C$7,2,0)&amp;" ("&amp;'web survey'!D80&amp;")",VLOOKUP(VALUE('web survey'!D80),ref!$E$6:$F$10,2,0)&amp;" ("&amp;'web survey'!D80&amp;")")</f>
        <v>Good (10)</v>
      </c>
      <c r="E82" s="32" t="str">
        <f>'web survey'!S80</f>
        <v/>
      </c>
      <c r="F82" s="30" t="str">
        <f>IF(B82="FU-ACInstall",VLOOKUP(VALUE('web survey'!E80),ref!$B$10:$C$12,2,0)&amp;" ("&amp;'web survey'!E80&amp;")",VLOOKUP(VALUE('web survey'!E80),ref!$E$13:$F$17,2,0)&amp;" ("&amp;'web survey'!E80&amp;")")</f>
        <v>Very Good (10)</v>
      </c>
      <c r="G82" s="32" t="str">
        <f>'web survey'!T80</f>
        <v/>
      </c>
      <c r="H82" s="30" t="str">
        <f>IF(B82="FU-ACInstall",VLOOKUP(VALUE('web survey'!F80),ref!$B$15:$C$17,2,0)&amp;" ("&amp;'web survey'!F80&amp;")",VLOOKUP(VALUE('web survey'!F80),ref!$E$20:$F$21,2,0)&amp;" ("&amp;'web survey'!F80&amp;")")</f>
        <v>Appropriate with SAP / in Warranty (10)</v>
      </c>
      <c r="I82" s="32" t="str">
        <f>'web survey'!U80</f>
        <v/>
      </c>
      <c r="J82" s="30" t="str">
        <f>IF(B82="FU-ACInstall","-",VLOOKUP(VALUE('web survey'!G80),ref!$E$24:$F$26,2,0)&amp;" ("&amp;'web survey'!G80&amp;")")</f>
        <v>Jelas (5)</v>
      </c>
      <c r="K82" s="28" t="str">
        <f>YEAR('web survey'!Z80)&amp;"-"&amp;IF(MONTH('web survey'!Z80)&lt;10,"0"&amp;MONTH('web survey'!Z80),MONTH('web survey'!Z80))&amp;"-"&amp;IF(DAY('web survey'!Z80)&lt;10,"0"&amp;DAY('web survey'!Z80),DAY('web survey'!Z80))&amp;" "&amp;IF(HOUR('web survey'!Z80)&lt;10,"0"&amp;HOUR('web survey'!Z80),HOUR('web survey'!Z80))&amp;":"&amp;IF(MINUTE('web survey'!Z80)&lt;10,"0"&amp;MINUTE('web survey'!Z80),MINUTE('web survey'!Z80))&amp;(":00'")</f>
        <v>2026-06-13 19:54:00'</v>
      </c>
      <c r="N82" s="37">
        <v>79</v>
      </c>
      <c r="O82" s="37" t="s">
        <v>27</v>
      </c>
      <c r="P82" s="38" t="s">
        <v>180</v>
      </c>
      <c r="Q82" s="43" t="s">
        <v>18</v>
      </c>
      <c r="R82" s="44" t="s">
        <v>17</v>
      </c>
      <c r="S82" s="43" t="s">
        <v>37</v>
      </c>
      <c r="T82" s="44" t="s">
        <v>17</v>
      </c>
      <c r="U82" s="43" t="s">
        <v>30</v>
      </c>
      <c r="V82" s="44" t="s">
        <v>17</v>
      </c>
      <c r="W82" s="43" t="s">
        <v>34</v>
      </c>
      <c r="X82" s="37" t="s">
        <v>181</v>
      </c>
    </row>
    <row r="83" ht="28.2" customHeight="1" spans="1:24">
      <c r="A83" s="28">
        <f>IF(B83="","",ROW()-COUNTBLANK($B$4:B83)-3)</f>
        <v>80</v>
      </c>
      <c r="B83" s="28" t="str">
        <f>'web survey'!C81</f>
        <v>FU-Z1-Eng</v>
      </c>
      <c r="C83" s="29" t="str">
        <f>'web survey'!AA81</f>
        <v>204463046</v>
      </c>
      <c r="D83" s="30" t="str">
        <f>IF(B83="FU-ACInstall",VLOOKUP(VALUE('web survey'!D81),ref!$B$6:$C$7,2,0)&amp;" ("&amp;'web survey'!D81&amp;")",VLOOKUP(VALUE('web survey'!D81),ref!$E$6:$F$10,2,0)&amp;" ("&amp;'web survey'!D81&amp;")")</f>
        <v>Good (10)</v>
      </c>
      <c r="E83" s="32" t="str">
        <f>'web survey'!S81</f>
        <v/>
      </c>
      <c r="F83" s="30" t="str">
        <f>IF(B83="FU-ACInstall",VLOOKUP(VALUE('web survey'!E81),ref!$B$10:$C$12,2,0)&amp;" ("&amp;'web survey'!E81&amp;")",VLOOKUP(VALUE('web survey'!E81),ref!$E$13:$F$17,2,0)&amp;" ("&amp;'web survey'!E81&amp;")")</f>
        <v>Very Good (10)</v>
      </c>
      <c r="G83" s="32" t="str">
        <f>'web survey'!T81</f>
        <v/>
      </c>
      <c r="H83" s="30" t="str">
        <f>IF(B83="FU-ACInstall",VLOOKUP(VALUE('web survey'!F81),ref!$B$15:$C$17,2,0)&amp;" ("&amp;'web survey'!F81&amp;")",VLOOKUP(VALUE('web survey'!F81),ref!$E$20:$F$21,2,0)&amp;" ("&amp;'web survey'!F81&amp;")")</f>
        <v>Appropriate with SAP / in Warranty (10)</v>
      </c>
      <c r="I83" s="32" t="str">
        <f>'web survey'!U81</f>
        <v/>
      </c>
      <c r="J83" s="30" t="str">
        <f>IF(B83="FU-ACInstall","-",VLOOKUP(VALUE('web survey'!G81),ref!$E$24:$F$26,2,0)&amp;" ("&amp;'web survey'!G81&amp;")")</f>
        <v>Jelas (5)</v>
      </c>
      <c r="K83" s="28" t="str">
        <f>YEAR('web survey'!Z81)&amp;"-"&amp;IF(MONTH('web survey'!Z81)&lt;10,"0"&amp;MONTH('web survey'!Z81),MONTH('web survey'!Z81))&amp;"-"&amp;IF(DAY('web survey'!Z81)&lt;10,"0"&amp;DAY('web survey'!Z81),DAY('web survey'!Z81))&amp;" "&amp;IF(HOUR('web survey'!Z81)&lt;10,"0"&amp;HOUR('web survey'!Z81),HOUR('web survey'!Z81))&amp;":"&amp;IF(MINUTE('web survey'!Z81)&lt;10,"0"&amp;MINUTE('web survey'!Z81),MINUTE('web survey'!Z81))&amp;(":00'")</f>
        <v>2026-06-13 19:44:00'</v>
      </c>
      <c r="N83" s="37">
        <v>80</v>
      </c>
      <c r="O83" s="37" t="s">
        <v>27</v>
      </c>
      <c r="P83" s="38" t="s">
        <v>182</v>
      </c>
      <c r="Q83" s="43" t="s">
        <v>18</v>
      </c>
      <c r="R83" s="44" t="s">
        <v>17</v>
      </c>
      <c r="S83" s="43" t="s">
        <v>37</v>
      </c>
      <c r="T83" s="44" t="s">
        <v>17</v>
      </c>
      <c r="U83" s="43" t="s">
        <v>30</v>
      </c>
      <c r="V83" s="44" t="s">
        <v>17</v>
      </c>
      <c r="W83" s="43" t="s">
        <v>34</v>
      </c>
      <c r="X83" s="37" t="s">
        <v>183</v>
      </c>
    </row>
    <row r="84" ht="28.2" customHeight="1" spans="1:24">
      <c r="A84" s="28">
        <f>IF(B84="","",ROW()-COUNTBLANK($B$4:B84)-3)</f>
        <v>81</v>
      </c>
      <c r="B84" s="28" t="str">
        <f>'web survey'!C82</f>
        <v>FU-Z1-Eng</v>
      </c>
      <c r="C84" s="29" t="str">
        <f>'web survey'!AA82</f>
        <v>1100356626</v>
      </c>
      <c r="D84" s="30" t="str">
        <f>IF(B84="FU-ACInstall",VLOOKUP(VALUE('web survey'!D82),ref!$B$6:$C$7,2,0)&amp;" ("&amp;'web survey'!D82&amp;")",VLOOKUP(VALUE('web survey'!D82),ref!$E$6:$F$10,2,0)&amp;" ("&amp;'web survey'!D82&amp;")")</f>
        <v>Good (10)</v>
      </c>
      <c r="E84" s="32" t="str">
        <f>'web survey'!S82</f>
        <v/>
      </c>
      <c r="F84" s="30" t="str">
        <f>IF(B84="FU-ACInstall",VLOOKUP(VALUE('web survey'!E82),ref!$B$10:$C$12,2,0)&amp;" ("&amp;'web survey'!E82&amp;")",VLOOKUP(VALUE('web survey'!E82),ref!$E$13:$F$17,2,0)&amp;" ("&amp;'web survey'!E82&amp;")")</f>
        <v>Very Good (10)</v>
      </c>
      <c r="G84" s="32" t="str">
        <f>'web survey'!T82</f>
        <v/>
      </c>
      <c r="H84" s="30" t="str">
        <f>IF(B84="FU-ACInstall",VLOOKUP(VALUE('web survey'!F82),ref!$B$15:$C$17,2,0)&amp;" ("&amp;'web survey'!F82&amp;")",VLOOKUP(VALUE('web survey'!F82),ref!$E$20:$F$21,2,0)&amp;" ("&amp;'web survey'!F82&amp;")")</f>
        <v>Appropriate with SAP / in Warranty (10)</v>
      </c>
      <c r="I84" s="32" t="str">
        <f>'web survey'!U82</f>
        <v/>
      </c>
      <c r="J84" s="30" t="str">
        <f>IF(B84="FU-ACInstall","-",VLOOKUP(VALUE('web survey'!G82),ref!$E$24:$F$26,2,0)&amp;" ("&amp;'web survey'!G82&amp;")")</f>
        <v>Tidak ada penjelasan (-5)</v>
      </c>
      <c r="K84" s="28" t="str">
        <f>YEAR('web survey'!Z82)&amp;"-"&amp;IF(MONTH('web survey'!Z82)&lt;10,"0"&amp;MONTH('web survey'!Z82),MONTH('web survey'!Z82))&amp;"-"&amp;IF(DAY('web survey'!Z82)&lt;10,"0"&amp;DAY('web survey'!Z82),DAY('web survey'!Z82))&amp;" "&amp;IF(HOUR('web survey'!Z82)&lt;10,"0"&amp;HOUR('web survey'!Z82),HOUR('web survey'!Z82))&amp;":"&amp;IF(MINUTE('web survey'!Z82)&lt;10,"0"&amp;MINUTE('web survey'!Z82),MINUTE('web survey'!Z82))&amp;(":00'")</f>
        <v>2026-06-13 19:29:00'</v>
      </c>
      <c r="N84" s="37">
        <v>81</v>
      </c>
      <c r="O84" s="37" t="s">
        <v>27</v>
      </c>
      <c r="P84" s="38" t="s">
        <v>184</v>
      </c>
      <c r="Q84" s="43" t="s">
        <v>18</v>
      </c>
      <c r="R84" s="44" t="s">
        <v>17</v>
      </c>
      <c r="S84" s="43" t="s">
        <v>37</v>
      </c>
      <c r="T84" s="44" t="s">
        <v>17</v>
      </c>
      <c r="U84" s="43" t="s">
        <v>30</v>
      </c>
      <c r="V84" s="44" t="s">
        <v>17</v>
      </c>
      <c r="W84" s="43" t="s">
        <v>50</v>
      </c>
      <c r="X84" s="37" t="s">
        <v>185</v>
      </c>
    </row>
    <row r="85" ht="28.2" customHeight="1" spans="1:24">
      <c r="A85" s="28">
        <f>IF(B85="","",ROW()-COUNTBLANK($B$4:B85)-3)</f>
        <v>82</v>
      </c>
      <c r="B85" s="28" t="str">
        <f>'web survey'!C83</f>
        <v>FU-Z1-Eng</v>
      </c>
      <c r="C85" s="29" t="str">
        <f>'web survey'!AA83</f>
        <v>204475222</v>
      </c>
      <c r="D85" s="30" t="str">
        <f>IF(B85="FU-ACInstall",VLOOKUP(VALUE('web survey'!D83),ref!$B$6:$C$7,2,0)&amp;" ("&amp;'web survey'!D83&amp;")",VLOOKUP(VALUE('web survey'!D83),ref!$E$6:$F$10,2,0)&amp;" ("&amp;'web survey'!D83&amp;")")</f>
        <v>Good (10)</v>
      </c>
      <c r="E85" s="32" t="str">
        <f>'web survey'!S83</f>
        <v/>
      </c>
      <c r="F85" s="30" t="str">
        <f>IF(B85="FU-ACInstall",VLOOKUP(VALUE('web survey'!E83),ref!$B$10:$C$12,2,0)&amp;" ("&amp;'web survey'!E83&amp;")",VLOOKUP(VALUE('web survey'!E83),ref!$E$13:$F$17,2,0)&amp;" ("&amp;'web survey'!E83&amp;")")</f>
        <v>Very Good (10)</v>
      </c>
      <c r="G85" s="32" t="str">
        <f>'web survey'!T83</f>
        <v/>
      </c>
      <c r="H85" s="30" t="str">
        <f>IF(B85="FU-ACInstall",VLOOKUP(VALUE('web survey'!F83),ref!$B$15:$C$17,2,0)&amp;" ("&amp;'web survey'!F83&amp;")",VLOOKUP(VALUE('web survey'!F83),ref!$E$20:$F$21,2,0)&amp;" ("&amp;'web survey'!F83&amp;")")</f>
        <v>Appropriate with SAP / in Warranty (10)</v>
      </c>
      <c r="I85" s="32" t="str">
        <f>'web survey'!U83</f>
        <v/>
      </c>
      <c r="J85" s="30" t="str">
        <f>IF(B85="FU-ACInstall","-",VLOOKUP(VALUE('web survey'!G83),ref!$E$24:$F$26,2,0)&amp;" ("&amp;'web survey'!G83&amp;")")</f>
        <v>Jelas (5)</v>
      </c>
      <c r="K85" s="28" t="str">
        <f>YEAR('web survey'!Z83)&amp;"-"&amp;IF(MONTH('web survey'!Z83)&lt;10,"0"&amp;MONTH('web survey'!Z83),MONTH('web survey'!Z83))&amp;"-"&amp;IF(DAY('web survey'!Z83)&lt;10,"0"&amp;DAY('web survey'!Z83),DAY('web survey'!Z83))&amp;" "&amp;IF(HOUR('web survey'!Z83)&lt;10,"0"&amp;HOUR('web survey'!Z83),HOUR('web survey'!Z83))&amp;":"&amp;IF(MINUTE('web survey'!Z83)&lt;10,"0"&amp;MINUTE('web survey'!Z83),MINUTE('web survey'!Z83))&amp;(":00'")</f>
        <v>2026-06-13 18:39:00'</v>
      </c>
      <c r="N85" s="37">
        <v>82</v>
      </c>
      <c r="O85" s="37" t="s">
        <v>27</v>
      </c>
      <c r="P85" s="38" t="s">
        <v>186</v>
      </c>
      <c r="Q85" s="43" t="s">
        <v>18</v>
      </c>
      <c r="R85" s="44" t="s">
        <v>17</v>
      </c>
      <c r="S85" s="43" t="s">
        <v>37</v>
      </c>
      <c r="T85" s="44" t="s">
        <v>17</v>
      </c>
      <c r="U85" s="43" t="s">
        <v>30</v>
      </c>
      <c r="V85" s="44" t="s">
        <v>17</v>
      </c>
      <c r="W85" s="43" t="s">
        <v>34</v>
      </c>
      <c r="X85" s="37" t="s">
        <v>187</v>
      </c>
    </row>
    <row r="86" ht="28.2" customHeight="1" spans="1:24">
      <c r="A86" s="28">
        <f>IF(B86="","",ROW()-COUNTBLANK($B$4:B86)-3)</f>
        <v>83</v>
      </c>
      <c r="B86" s="28" t="str">
        <f>'web survey'!C84</f>
        <v>FU-Z1-Eng</v>
      </c>
      <c r="C86" s="29" t="str">
        <f>'web survey'!AA84</f>
        <v>1033A2601216</v>
      </c>
      <c r="D86" s="30" t="str">
        <f>IF(B86="FU-ACInstall",VLOOKUP(VALUE('web survey'!D84),ref!$B$6:$C$7,2,0)&amp;" ("&amp;'web survey'!D84&amp;")",VLOOKUP(VALUE('web survey'!D84),ref!$E$6:$F$10,2,0)&amp;" ("&amp;'web survey'!D84&amp;")")</f>
        <v>Good (10)</v>
      </c>
      <c r="E86" s="32" t="str">
        <f>'web survey'!S84</f>
        <v/>
      </c>
      <c r="F86" s="30" t="str">
        <f>IF(B86="FU-ACInstall",VLOOKUP(VALUE('web survey'!E84),ref!$B$10:$C$12,2,0)&amp;" ("&amp;'web survey'!E84&amp;")",VLOOKUP(VALUE('web survey'!E84),ref!$E$13:$F$17,2,0)&amp;" ("&amp;'web survey'!E84&amp;")")</f>
        <v>Very Good (10)</v>
      </c>
      <c r="G86" s="32" t="str">
        <f>'web survey'!T84</f>
        <v/>
      </c>
      <c r="H86" s="30" t="str">
        <f>IF(B86="FU-ACInstall",VLOOKUP(VALUE('web survey'!F84),ref!$B$15:$C$17,2,0)&amp;" ("&amp;'web survey'!F84&amp;")",VLOOKUP(VALUE('web survey'!F84),ref!$E$20:$F$21,2,0)&amp;" ("&amp;'web survey'!F84&amp;")")</f>
        <v>Appropriate with SAP / in Warranty (10)</v>
      </c>
      <c r="I86" s="32" t="str">
        <f>'web survey'!U84</f>
        <v/>
      </c>
      <c r="J86" s="30" t="str">
        <f>IF(B86="FU-ACInstall","-",VLOOKUP(VALUE('web survey'!G84),ref!$E$24:$F$26,2,0)&amp;" ("&amp;'web survey'!G84&amp;")")</f>
        <v>Jelas (5)</v>
      </c>
      <c r="K86" s="28" t="str">
        <f>YEAR('web survey'!Z84)&amp;"-"&amp;IF(MONTH('web survey'!Z84)&lt;10,"0"&amp;MONTH('web survey'!Z84),MONTH('web survey'!Z84))&amp;"-"&amp;IF(DAY('web survey'!Z84)&lt;10,"0"&amp;DAY('web survey'!Z84),DAY('web survey'!Z84))&amp;" "&amp;IF(HOUR('web survey'!Z84)&lt;10,"0"&amp;HOUR('web survey'!Z84),HOUR('web survey'!Z84))&amp;":"&amp;IF(MINUTE('web survey'!Z84)&lt;10,"0"&amp;MINUTE('web survey'!Z84),MINUTE('web survey'!Z84))&amp;(":00'")</f>
        <v>2026-06-13 18:27:00'</v>
      </c>
      <c r="N86" s="37">
        <v>83</v>
      </c>
      <c r="O86" s="37" t="s">
        <v>27</v>
      </c>
      <c r="P86" s="38" t="s">
        <v>188</v>
      </c>
      <c r="Q86" s="43" t="s">
        <v>18</v>
      </c>
      <c r="R86" s="44" t="s">
        <v>17</v>
      </c>
      <c r="S86" s="43" t="s">
        <v>37</v>
      </c>
      <c r="T86" s="44" t="s">
        <v>17</v>
      </c>
      <c r="U86" s="43" t="s">
        <v>30</v>
      </c>
      <c r="V86" s="44" t="s">
        <v>17</v>
      </c>
      <c r="W86" s="43" t="s">
        <v>34</v>
      </c>
      <c r="X86" s="37" t="s">
        <v>189</v>
      </c>
    </row>
    <row r="87" ht="28.2" customHeight="1" spans="1:24">
      <c r="A87" s="28">
        <f>IF(B87="","",ROW()-COUNTBLANK($B$4:B87)-3)</f>
        <v>84</v>
      </c>
      <c r="B87" s="28" t="str">
        <f>'web survey'!C85</f>
        <v>FU-Z1-Eng</v>
      </c>
      <c r="C87" s="29" t="str">
        <f>'web survey'!AA85</f>
        <v>100986677</v>
      </c>
      <c r="D87" s="30" t="str">
        <f>IF(B87="FU-ACInstall",VLOOKUP(VALUE('web survey'!D85),ref!$B$6:$C$7,2,0)&amp;" ("&amp;'web survey'!D85&amp;")",VLOOKUP(VALUE('web survey'!D85),ref!$E$6:$F$10,2,0)&amp;" ("&amp;'web survey'!D85&amp;")")</f>
        <v>Good (10)</v>
      </c>
      <c r="E87" s="32" t="str">
        <f>'web survey'!S85</f>
        <v/>
      </c>
      <c r="F87" s="30" t="str">
        <f>IF(B87="FU-ACInstall",VLOOKUP(VALUE('web survey'!E85),ref!$B$10:$C$12,2,0)&amp;" ("&amp;'web survey'!E85&amp;")",VLOOKUP(VALUE('web survey'!E85),ref!$E$13:$F$17,2,0)&amp;" ("&amp;'web survey'!E85&amp;")")</f>
        <v>Very Good (10)</v>
      </c>
      <c r="G87" s="32" t="str">
        <f>'web survey'!T85</f>
        <v/>
      </c>
      <c r="H87" s="30" t="str">
        <f>IF(B87="FU-ACInstall",VLOOKUP(VALUE('web survey'!F85),ref!$B$15:$C$17,2,0)&amp;" ("&amp;'web survey'!F85&amp;")",VLOOKUP(VALUE('web survey'!F85),ref!$E$20:$F$21,2,0)&amp;" ("&amp;'web survey'!F85&amp;")")</f>
        <v>Appropriate with SAP / in Warranty (10)</v>
      </c>
      <c r="I87" s="32" t="str">
        <f>'web survey'!U85</f>
        <v/>
      </c>
      <c r="J87" s="30" t="str">
        <f>IF(B87="FU-ACInstall","-",VLOOKUP(VALUE('web survey'!G85),ref!$E$24:$F$26,2,0)&amp;" ("&amp;'web survey'!G85&amp;")")</f>
        <v>Jelas (5)</v>
      </c>
      <c r="K87" s="28" t="str">
        <f>YEAR('web survey'!Z85)&amp;"-"&amp;IF(MONTH('web survey'!Z85)&lt;10,"0"&amp;MONTH('web survey'!Z85),MONTH('web survey'!Z85))&amp;"-"&amp;IF(DAY('web survey'!Z85)&lt;10,"0"&amp;DAY('web survey'!Z85),DAY('web survey'!Z85))&amp;" "&amp;IF(HOUR('web survey'!Z85)&lt;10,"0"&amp;HOUR('web survey'!Z85),HOUR('web survey'!Z85))&amp;":"&amp;IF(MINUTE('web survey'!Z85)&lt;10,"0"&amp;MINUTE('web survey'!Z85),MINUTE('web survey'!Z85))&amp;(":00'")</f>
        <v>2026-06-13 18:06:00'</v>
      </c>
      <c r="N87" s="37">
        <v>84</v>
      </c>
      <c r="O87" s="37" t="s">
        <v>27</v>
      </c>
      <c r="P87" s="38" t="s">
        <v>190</v>
      </c>
      <c r="Q87" s="43" t="s">
        <v>18</v>
      </c>
      <c r="R87" s="44" t="s">
        <v>17</v>
      </c>
      <c r="S87" s="43" t="s">
        <v>37</v>
      </c>
      <c r="T87" s="44" t="s">
        <v>17</v>
      </c>
      <c r="U87" s="43" t="s">
        <v>30</v>
      </c>
      <c r="V87" s="44" t="s">
        <v>17</v>
      </c>
      <c r="W87" s="43" t="s">
        <v>34</v>
      </c>
      <c r="X87" s="37" t="s">
        <v>191</v>
      </c>
    </row>
    <row r="88" ht="28.2" customHeight="1" spans="1:24">
      <c r="A88" s="28">
        <f>IF(B88="","",ROW()-COUNTBLANK($B$4:B88)-3)</f>
        <v>85</v>
      </c>
      <c r="B88" s="28" t="str">
        <f>'web survey'!C86</f>
        <v>FU-Z1-Eng</v>
      </c>
      <c r="C88" s="29" t="str">
        <f>'web survey'!AA86</f>
        <v>100988450</v>
      </c>
      <c r="D88" s="30" t="str">
        <f>IF(B88="FU-ACInstall",VLOOKUP(VALUE('web survey'!D86),ref!$B$6:$C$7,2,0)&amp;" ("&amp;'web survey'!D86&amp;")",VLOOKUP(VALUE('web survey'!D86),ref!$E$6:$F$10,2,0)&amp;" ("&amp;'web survey'!D86&amp;")")</f>
        <v>Good (10)</v>
      </c>
      <c r="E88" s="32" t="str">
        <f>'web survey'!S86</f>
        <v/>
      </c>
      <c r="F88" s="30" t="str">
        <f>IF(B88="FU-ACInstall",VLOOKUP(VALUE('web survey'!E86),ref!$B$10:$C$12,2,0)&amp;" ("&amp;'web survey'!E86&amp;")",VLOOKUP(VALUE('web survey'!E86),ref!$E$13:$F$17,2,0)&amp;" ("&amp;'web survey'!E86&amp;")")</f>
        <v>Good (5)</v>
      </c>
      <c r="G88" s="32" t="str">
        <f>'web survey'!T86</f>
        <v/>
      </c>
      <c r="H88" s="30" t="str">
        <f>IF(B88="FU-ACInstall",VLOOKUP(VALUE('web survey'!F86),ref!$B$15:$C$17,2,0)&amp;" ("&amp;'web survey'!F86&amp;")",VLOOKUP(VALUE('web survey'!F86),ref!$E$20:$F$21,2,0)&amp;" ("&amp;'web survey'!F86&amp;")")</f>
        <v>Appropriate with SAP / in Warranty (10)</v>
      </c>
      <c r="I88" s="32" t="str">
        <f>'web survey'!U86</f>
        <v/>
      </c>
      <c r="J88" s="30" t="str">
        <f>IF(B88="FU-ACInstall","-",VLOOKUP(VALUE('web survey'!G86),ref!$E$24:$F$26,2,0)&amp;" ("&amp;'web survey'!G86&amp;")")</f>
        <v>Jelas (5)</v>
      </c>
      <c r="K88" s="28" t="str">
        <f>YEAR('web survey'!Z86)&amp;"-"&amp;IF(MONTH('web survey'!Z86)&lt;10,"0"&amp;MONTH('web survey'!Z86),MONTH('web survey'!Z86))&amp;"-"&amp;IF(DAY('web survey'!Z86)&lt;10,"0"&amp;DAY('web survey'!Z86),DAY('web survey'!Z86))&amp;" "&amp;IF(HOUR('web survey'!Z86)&lt;10,"0"&amp;HOUR('web survey'!Z86),HOUR('web survey'!Z86))&amp;":"&amp;IF(MINUTE('web survey'!Z86)&lt;10,"0"&amp;MINUTE('web survey'!Z86),MINUTE('web survey'!Z86))&amp;(":00'")</f>
        <v>2026-06-13 17:47:00'</v>
      </c>
      <c r="N88" s="37">
        <v>85</v>
      </c>
      <c r="O88" s="37" t="s">
        <v>27</v>
      </c>
      <c r="P88" s="38" t="s">
        <v>192</v>
      </c>
      <c r="Q88" s="43" t="s">
        <v>18</v>
      </c>
      <c r="R88" s="44" t="s">
        <v>17</v>
      </c>
      <c r="S88" s="43" t="s">
        <v>29</v>
      </c>
      <c r="T88" s="44" t="s">
        <v>17</v>
      </c>
      <c r="U88" s="43" t="s">
        <v>30</v>
      </c>
      <c r="V88" s="44" t="s">
        <v>17</v>
      </c>
      <c r="W88" s="43" t="s">
        <v>34</v>
      </c>
      <c r="X88" s="37" t="s">
        <v>193</v>
      </c>
    </row>
    <row r="89" ht="28.2" customHeight="1" spans="1:24">
      <c r="A89" s="28">
        <f>IF(B89="","",ROW()-COUNTBLANK($B$4:B89)-3)</f>
        <v>86</v>
      </c>
      <c r="B89" s="28" t="str">
        <f>'web survey'!C87</f>
        <v>FU-Z1-Eng</v>
      </c>
      <c r="C89" s="29" t="str">
        <f>'web survey'!AA87</f>
        <v>204475058</v>
      </c>
      <c r="D89" s="30" t="str">
        <f>IF(B89="FU-ACInstall",VLOOKUP(VALUE('web survey'!D87),ref!$B$6:$C$7,2,0)&amp;" ("&amp;'web survey'!D87&amp;")",VLOOKUP(VALUE('web survey'!D87),ref!$E$6:$F$10,2,0)&amp;" ("&amp;'web survey'!D87&amp;")")</f>
        <v>Good (10)</v>
      </c>
      <c r="E89" s="32" t="str">
        <f>'web survey'!S87</f>
        <v/>
      </c>
      <c r="F89" s="30" t="str">
        <f>IF(B89="FU-ACInstall",VLOOKUP(VALUE('web survey'!E87),ref!$B$10:$C$12,2,0)&amp;" ("&amp;'web survey'!E87&amp;")",VLOOKUP(VALUE('web survey'!E87),ref!$E$13:$F$17,2,0)&amp;" ("&amp;'web survey'!E87&amp;")")</f>
        <v>Very Good (10)</v>
      </c>
      <c r="G89" s="32" t="str">
        <f>'web survey'!T87</f>
        <v/>
      </c>
      <c r="H89" s="30" t="str">
        <f>IF(B89="FU-ACInstall",VLOOKUP(VALUE('web survey'!F87),ref!$B$15:$C$17,2,0)&amp;" ("&amp;'web survey'!F87&amp;")",VLOOKUP(VALUE('web survey'!F87),ref!$E$20:$F$21,2,0)&amp;" ("&amp;'web survey'!F87&amp;")")</f>
        <v>Appropriate with SAP / in Warranty (10)</v>
      </c>
      <c r="I89" s="32" t="str">
        <f>'web survey'!U87</f>
        <v/>
      </c>
      <c r="J89" s="30" t="str">
        <f>IF(B89="FU-ACInstall","-",VLOOKUP(VALUE('web survey'!G87),ref!$E$24:$F$26,2,0)&amp;" ("&amp;'web survey'!G87&amp;")")</f>
        <v>Jelas (5)</v>
      </c>
      <c r="K89" s="28" t="str">
        <f>YEAR('web survey'!Z87)&amp;"-"&amp;IF(MONTH('web survey'!Z87)&lt;10,"0"&amp;MONTH('web survey'!Z87),MONTH('web survey'!Z87))&amp;"-"&amp;IF(DAY('web survey'!Z87)&lt;10,"0"&amp;DAY('web survey'!Z87),DAY('web survey'!Z87))&amp;" "&amp;IF(HOUR('web survey'!Z87)&lt;10,"0"&amp;HOUR('web survey'!Z87),HOUR('web survey'!Z87))&amp;":"&amp;IF(MINUTE('web survey'!Z87)&lt;10,"0"&amp;MINUTE('web survey'!Z87),MINUTE('web survey'!Z87))&amp;(":00'")</f>
        <v>2026-06-13 17:43:00'</v>
      </c>
      <c r="N89" s="37">
        <v>86</v>
      </c>
      <c r="O89" s="37" t="s">
        <v>27</v>
      </c>
      <c r="P89" s="38" t="s">
        <v>194</v>
      </c>
      <c r="Q89" s="43" t="s">
        <v>18</v>
      </c>
      <c r="R89" s="44" t="s">
        <v>17</v>
      </c>
      <c r="S89" s="43" t="s">
        <v>37</v>
      </c>
      <c r="T89" s="44" t="s">
        <v>17</v>
      </c>
      <c r="U89" s="43" t="s">
        <v>30</v>
      </c>
      <c r="V89" s="44" t="s">
        <v>17</v>
      </c>
      <c r="W89" s="43" t="s">
        <v>34</v>
      </c>
      <c r="X89" s="37" t="s">
        <v>195</v>
      </c>
    </row>
    <row r="90" ht="28.2" customHeight="1" spans="1:24">
      <c r="A90" s="28">
        <f>IF(B90="","",ROW()-COUNTBLANK($B$4:B90)-3)</f>
        <v>87</v>
      </c>
      <c r="B90" s="28" t="str">
        <f>'web survey'!C88</f>
        <v>FU-Z1-Eng</v>
      </c>
      <c r="C90" s="29" t="str">
        <f>'web survey'!AA88</f>
        <v>204472325</v>
      </c>
      <c r="D90" s="30" t="str">
        <f>IF(B90="FU-ACInstall",VLOOKUP(VALUE('web survey'!D88),ref!$B$6:$C$7,2,0)&amp;" ("&amp;'web survey'!D88&amp;")",VLOOKUP(VALUE('web survey'!D88),ref!$E$6:$F$10,2,0)&amp;" ("&amp;'web survey'!D88&amp;")")</f>
        <v>Good (10)</v>
      </c>
      <c r="E90" s="32" t="str">
        <f>'web survey'!S88</f>
        <v/>
      </c>
      <c r="F90" s="30" t="str">
        <f>IF(B90="FU-ACInstall",VLOOKUP(VALUE('web survey'!E88),ref!$B$10:$C$12,2,0)&amp;" ("&amp;'web survey'!E88&amp;")",VLOOKUP(VALUE('web survey'!E88),ref!$E$13:$F$17,2,0)&amp;" ("&amp;'web survey'!E88&amp;")")</f>
        <v>Very Good (10)</v>
      </c>
      <c r="G90" s="32" t="str">
        <f>'web survey'!T88</f>
        <v/>
      </c>
      <c r="H90" s="30" t="str">
        <f>IF(B90="FU-ACInstall",VLOOKUP(VALUE('web survey'!F88),ref!$B$15:$C$17,2,0)&amp;" ("&amp;'web survey'!F88&amp;")",VLOOKUP(VALUE('web survey'!F88),ref!$E$20:$F$21,2,0)&amp;" ("&amp;'web survey'!F88&amp;")")</f>
        <v>Appropriate with SAP / in Warranty (10)</v>
      </c>
      <c r="I90" s="32" t="str">
        <f>'web survey'!U88</f>
        <v/>
      </c>
      <c r="J90" s="30" t="str">
        <f>IF(B90="FU-ACInstall","-",VLOOKUP(VALUE('web survey'!G88),ref!$E$24:$F$26,2,0)&amp;" ("&amp;'web survey'!G88&amp;")")</f>
        <v>Jelas (5)</v>
      </c>
      <c r="K90" s="28" t="str">
        <f>YEAR('web survey'!Z88)&amp;"-"&amp;IF(MONTH('web survey'!Z88)&lt;10,"0"&amp;MONTH('web survey'!Z88),MONTH('web survey'!Z88))&amp;"-"&amp;IF(DAY('web survey'!Z88)&lt;10,"0"&amp;DAY('web survey'!Z88),DAY('web survey'!Z88))&amp;" "&amp;IF(HOUR('web survey'!Z88)&lt;10,"0"&amp;HOUR('web survey'!Z88),HOUR('web survey'!Z88))&amp;":"&amp;IF(MINUTE('web survey'!Z88)&lt;10,"0"&amp;MINUTE('web survey'!Z88),MINUTE('web survey'!Z88))&amp;(":00'")</f>
        <v>2026-06-13 17:39:00'</v>
      </c>
      <c r="N90" s="37">
        <v>87</v>
      </c>
      <c r="O90" s="37" t="s">
        <v>27</v>
      </c>
      <c r="P90" s="38" t="s">
        <v>196</v>
      </c>
      <c r="Q90" s="43" t="s">
        <v>18</v>
      </c>
      <c r="R90" s="44" t="s">
        <v>17</v>
      </c>
      <c r="S90" s="43" t="s">
        <v>37</v>
      </c>
      <c r="T90" s="44" t="s">
        <v>17</v>
      </c>
      <c r="U90" s="43" t="s">
        <v>30</v>
      </c>
      <c r="V90" s="44" t="s">
        <v>17</v>
      </c>
      <c r="W90" s="43" t="s">
        <v>34</v>
      </c>
      <c r="X90" s="37" t="s">
        <v>197</v>
      </c>
    </row>
    <row r="91" ht="28.2" customHeight="1" spans="1:24">
      <c r="A91" s="28">
        <f>IF(B91="","",ROW()-COUNTBLANK($B$4:B91)-3)</f>
        <v>88</v>
      </c>
      <c r="B91" s="28" t="str">
        <f>'web survey'!C89</f>
        <v>FU-Z1-Eng</v>
      </c>
      <c r="C91" s="29" t="str">
        <f>'web survey'!AA89</f>
        <v>204462872</v>
      </c>
      <c r="D91" s="30" t="str">
        <f>IF(B91="FU-ACInstall",VLOOKUP(VALUE('web survey'!D89),ref!$B$6:$C$7,2,0)&amp;" ("&amp;'web survey'!D89&amp;")",VLOOKUP(VALUE('web survey'!D89),ref!$E$6:$F$10,2,0)&amp;" ("&amp;'web survey'!D89&amp;")")</f>
        <v>Good (10)</v>
      </c>
      <c r="E91" s="32" t="str">
        <f>'web survey'!S89</f>
        <v/>
      </c>
      <c r="F91" s="30" t="str">
        <f>IF(B91="FU-ACInstall",VLOOKUP(VALUE('web survey'!E89),ref!$B$10:$C$12,2,0)&amp;" ("&amp;'web survey'!E89&amp;")",VLOOKUP(VALUE('web survey'!E89),ref!$E$13:$F$17,2,0)&amp;" ("&amp;'web survey'!E89&amp;")")</f>
        <v>Very Good (10)</v>
      </c>
      <c r="G91" s="32" t="str">
        <f>'web survey'!T89</f>
        <v/>
      </c>
      <c r="H91" s="30" t="str">
        <f>IF(B91="FU-ACInstall",VLOOKUP(VALUE('web survey'!F89),ref!$B$15:$C$17,2,0)&amp;" ("&amp;'web survey'!F89&amp;")",VLOOKUP(VALUE('web survey'!F89),ref!$E$20:$F$21,2,0)&amp;" ("&amp;'web survey'!F89&amp;")")</f>
        <v>Appropriate with SAP / in Warranty (10)</v>
      </c>
      <c r="I91" s="32" t="str">
        <f>'web survey'!U89</f>
        <v/>
      </c>
      <c r="J91" s="30" t="str">
        <f>IF(B91="FU-ACInstall","-",VLOOKUP(VALUE('web survey'!G89),ref!$E$24:$F$26,2,0)&amp;" ("&amp;'web survey'!G89&amp;")")</f>
        <v>Jelas (5)</v>
      </c>
      <c r="K91" s="28" t="str">
        <f>YEAR('web survey'!Z89)&amp;"-"&amp;IF(MONTH('web survey'!Z89)&lt;10,"0"&amp;MONTH('web survey'!Z89),MONTH('web survey'!Z89))&amp;"-"&amp;IF(DAY('web survey'!Z89)&lt;10,"0"&amp;DAY('web survey'!Z89),DAY('web survey'!Z89))&amp;" "&amp;IF(HOUR('web survey'!Z89)&lt;10,"0"&amp;HOUR('web survey'!Z89),HOUR('web survey'!Z89))&amp;":"&amp;IF(MINUTE('web survey'!Z89)&lt;10,"0"&amp;MINUTE('web survey'!Z89),MINUTE('web survey'!Z89))&amp;(":00'")</f>
        <v>2026-06-13 17:39:00'</v>
      </c>
      <c r="N91" s="37">
        <v>88</v>
      </c>
      <c r="O91" s="37" t="s">
        <v>27</v>
      </c>
      <c r="P91" s="38" t="s">
        <v>198</v>
      </c>
      <c r="Q91" s="43" t="s">
        <v>18</v>
      </c>
      <c r="R91" s="44" t="s">
        <v>17</v>
      </c>
      <c r="S91" s="43" t="s">
        <v>37</v>
      </c>
      <c r="T91" s="44" t="s">
        <v>17</v>
      </c>
      <c r="U91" s="43" t="s">
        <v>30</v>
      </c>
      <c r="V91" s="44" t="s">
        <v>17</v>
      </c>
      <c r="W91" s="43" t="s">
        <v>34</v>
      </c>
      <c r="X91" s="37" t="s">
        <v>197</v>
      </c>
    </row>
    <row r="92" ht="28.2" customHeight="1" spans="1:24">
      <c r="A92" s="28">
        <f>IF(B92="","",ROW()-COUNTBLANK($B$4:B92)-3)</f>
        <v>89</v>
      </c>
      <c r="B92" s="28" t="str">
        <f>'web survey'!C90</f>
        <v>FU-Z1-Eng</v>
      </c>
      <c r="C92" s="29" t="str">
        <f>'web survey'!AA90</f>
        <v>204472927</v>
      </c>
      <c r="D92" s="30" t="str">
        <f>IF(B92="FU-ACInstall",VLOOKUP(VALUE('web survey'!D90),ref!$B$6:$C$7,2,0)&amp;" ("&amp;'web survey'!D90&amp;")",VLOOKUP(VALUE('web survey'!D90),ref!$E$6:$F$10,2,0)&amp;" ("&amp;'web survey'!D90&amp;")")</f>
        <v>Good (10)</v>
      </c>
      <c r="E92" s="32" t="str">
        <f>'web survey'!S90</f>
        <v/>
      </c>
      <c r="F92" s="30" t="str">
        <f>IF(B92="FU-ACInstall",VLOOKUP(VALUE('web survey'!E90),ref!$B$10:$C$12,2,0)&amp;" ("&amp;'web survey'!E90&amp;")",VLOOKUP(VALUE('web survey'!E90),ref!$E$13:$F$17,2,0)&amp;" ("&amp;'web survey'!E90&amp;")")</f>
        <v>Very Good (10)</v>
      </c>
      <c r="G92" s="32" t="str">
        <f>'web survey'!T90</f>
        <v/>
      </c>
      <c r="H92" s="30" t="str">
        <f>IF(B92="FU-ACInstall",VLOOKUP(VALUE('web survey'!F90),ref!$B$15:$C$17,2,0)&amp;" ("&amp;'web survey'!F90&amp;")",VLOOKUP(VALUE('web survey'!F90),ref!$E$20:$F$21,2,0)&amp;" ("&amp;'web survey'!F90&amp;")")</f>
        <v>Appropriate with SAP / in Warranty (10)</v>
      </c>
      <c r="I92" s="32" t="str">
        <f>'web survey'!U90</f>
        <v/>
      </c>
      <c r="J92" s="30" t="str">
        <f>IF(B92="FU-ACInstall","-",VLOOKUP(VALUE('web survey'!G90),ref!$E$24:$F$26,2,0)&amp;" ("&amp;'web survey'!G90&amp;")")</f>
        <v>Jelas (5)</v>
      </c>
      <c r="K92" s="28" t="str">
        <f>YEAR('web survey'!Z90)&amp;"-"&amp;IF(MONTH('web survey'!Z90)&lt;10,"0"&amp;MONTH('web survey'!Z90),MONTH('web survey'!Z90))&amp;"-"&amp;IF(DAY('web survey'!Z90)&lt;10,"0"&amp;DAY('web survey'!Z90),DAY('web survey'!Z90))&amp;" "&amp;IF(HOUR('web survey'!Z90)&lt;10,"0"&amp;HOUR('web survey'!Z90),HOUR('web survey'!Z90))&amp;":"&amp;IF(MINUTE('web survey'!Z90)&lt;10,"0"&amp;MINUTE('web survey'!Z90),MINUTE('web survey'!Z90))&amp;(":00'")</f>
        <v>2026-06-13 17:35:00'</v>
      </c>
      <c r="N92" s="37">
        <v>89</v>
      </c>
      <c r="O92" s="37" t="s">
        <v>27</v>
      </c>
      <c r="P92" s="38" t="s">
        <v>199</v>
      </c>
      <c r="Q92" s="43" t="s">
        <v>18</v>
      </c>
      <c r="R92" s="44" t="s">
        <v>17</v>
      </c>
      <c r="S92" s="43" t="s">
        <v>37</v>
      </c>
      <c r="T92" s="44" t="s">
        <v>17</v>
      </c>
      <c r="U92" s="43" t="s">
        <v>30</v>
      </c>
      <c r="V92" s="44" t="s">
        <v>17</v>
      </c>
      <c r="W92" s="43" t="s">
        <v>34</v>
      </c>
      <c r="X92" s="37" t="s">
        <v>200</v>
      </c>
    </row>
    <row r="93" ht="28.2" customHeight="1" spans="1:24">
      <c r="A93" s="28">
        <f>IF(B93="","",ROW()-COUNTBLANK($B$4:B93)-3)</f>
        <v>90</v>
      </c>
      <c r="B93" s="28" t="str">
        <f>'web survey'!C91</f>
        <v>FU-Z1-Eng</v>
      </c>
      <c r="C93" s="29" t="str">
        <f>'web survey'!AA91</f>
        <v>204457565</v>
      </c>
      <c r="D93" s="30" t="str">
        <f>IF(B93="FU-ACInstall",VLOOKUP(VALUE('web survey'!D91),ref!$B$6:$C$7,2,0)&amp;" ("&amp;'web survey'!D91&amp;")",VLOOKUP(VALUE('web survey'!D91),ref!$E$6:$F$10,2,0)&amp;" ("&amp;'web survey'!D91&amp;")")</f>
        <v>Good (10)</v>
      </c>
      <c r="E93" s="32" t="str">
        <f>'web survey'!S91</f>
        <v/>
      </c>
      <c r="F93" s="30" t="str">
        <f>IF(B93="FU-ACInstall",VLOOKUP(VALUE('web survey'!E91),ref!$B$10:$C$12,2,0)&amp;" ("&amp;'web survey'!E91&amp;")",VLOOKUP(VALUE('web survey'!E91),ref!$E$13:$F$17,2,0)&amp;" ("&amp;'web survey'!E91&amp;")")</f>
        <v>Very Good (10)</v>
      </c>
      <c r="G93" s="32" t="str">
        <f>'web survey'!T91</f>
        <v/>
      </c>
      <c r="H93" s="30" t="str">
        <f>IF(B93="FU-ACInstall",VLOOKUP(VALUE('web survey'!F91),ref!$B$15:$C$17,2,0)&amp;" ("&amp;'web survey'!F91&amp;")",VLOOKUP(VALUE('web survey'!F91),ref!$E$20:$F$21,2,0)&amp;" ("&amp;'web survey'!F91&amp;")")</f>
        <v>Appropriate with SAP / in Warranty (10)</v>
      </c>
      <c r="I93" s="32" t="str">
        <f>'web survey'!U91</f>
        <v/>
      </c>
      <c r="J93" s="30" t="str">
        <f>IF(B93="FU-ACInstall","-",VLOOKUP(VALUE('web survey'!G91),ref!$E$24:$F$26,2,0)&amp;" ("&amp;'web survey'!G91&amp;")")</f>
        <v>Jelas (5)</v>
      </c>
      <c r="K93" s="28" t="str">
        <f>YEAR('web survey'!Z91)&amp;"-"&amp;IF(MONTH('web survey'!Z91)&lt;10,"0"&amp;MONTH('web survey'!Z91),MONTH('web survey'!Z91))&amp;"-"&amp;IF(DAY('web survey'!Z91)&lt;10,"0"&amp;DAY('web survey'!Z91),DAY('web survey'!Z91))&amp;" "&amp;IF(HOUR('web survey'!Z91)&lt;10,"0"&amp;HOUR('web survey'!Z91),HOUR('web survey'!Z91))&amp;":"&amp;IF(MINUTE('web survey'!Z91)&lt;10,"0"&amp;MINUTE('web survey'!Z91),MINUTE('web survey'!Z91))&amp;(":00'")</f>
        <v>2026-06-13 17:30:00'</v>
      </c>
      <c r="N93" s="37">
        <v>90</v>
      </c>
      <c r="O93" s="37" t="s">
        <v>27</v>
      </c>
      <c r="P93" s="38" t="s">
        <v>201</v>
      </c>
      <c r="Q93" s="43" t="s">
        <v>18</v>
      </c>
      <c r="R93" s="44" t="s">
        <v>17</v>
      </c>
      <c r="S93" s="43" t="s">
        <v>37</v>
      </c>
      <c r="T93" s="44" t="s">
        <v>17</v>
      </c>
      <c r="U93" s="43" t="s">
        <v>30</v>
      </c>
      <c r="V93" s="44" t="s">
        <v>17</v>
      </c>
      <c r="W93" s="43" t="s">
        <v>34</v>
      </c>
      <c r="X93" s="37" t="s">
        <v>202</v>
      </c>
    </row>
    <row r="94" ht="28.2" customHeight="1" spans="1:24">
      <c r="A94" s="28">
        <f>IF(B94="","",ROW()-COUNTBLANK($B$4:B94)-3)</f>
        <v>91</v>
      </c>
      <c r="B94" s="28" t="str">
        <f>'web survey'!C92</f>
        <v>FU-Z1-Eng</v>
      </c>
      <c r="C94" s="29" t="str">
        <f>'web survey'!AA92</f>
        <v>100987836</v>
      </c>
      <c r="D94" s="30" t="str">
        <f>IF(B94="FU-ACInstall",VLOOKUP(VALUE('web survey'!D92),ref!$B$6:$C$7,2,0)&amp;" ("&amp;'web survey'!D92&amp;")",VLOOKUP(VALUE('web survey'!D92),ref!$E$6:$F$10,2,0)&amp;" ("&amp;'web survey'!D92&amp;")")</f>
        <v>Good (10)</v>
      </c>
      <c r="E94" s="32" t="str">
        <f>'web survey'!S92</f>
        <v/>
      </c>
      <c r="F94" s="30" t="str">
        <f>IF(B94="FU-ACInstall",VLOOKUP(VALUE('web survey'!E92),ref!$B$10:$C$12,2,0)&amp;" ("&amp;'web survey'!E92&amp;")",VLOOKUP(VALUE('web survey'!E92),ref!$E$13:$F$17,2,0)&amp;" ("&amp;'web survey'!E92&amp;")")</f>
        <v>Average (3)</v>
      </c>
      <c r="G94" s="32" t="str">
        <f>'web survey'!T92</f>
        <v/>
      </c>
      <c r="H94" s="30" t="str">
        <f>IF(B94="FU-ACInstall",VLOOKUP(VALUE('web survey'!F92),ref!$B$15:$C$17,2,0)&amp;" ("&amp;'web survey'!F92&amp;")",VLOOKUP(VALUE('web survey'!F92),ref!$E$20:$F$21,2,0)&amp;" ("&amp;'web survey'!F92&amp;")")</f>
        <v>Appropriate with SAP / in Warranty (10)</v>
      </c>
      <c r="I94" s="32" t="str">
        <f>'web survey'!U92</f>
        <v/>
      </c>
      <c r="J94" s="30" t="str">
        <f>IF(B94="FU-ACInstall","-",VLOOKUP(VALUE('web survey'!G92),ref!$E$24:$F$26,2,0)&amp;" ("&amp;'web survey'!G92&amp;")")</f>
        <v>Tidak ada penjelasan (-5)</v>
      </c>
      <c r="K94" s="28" t="str">
        <f>YEAR('web survey'!Z92)&amp;"-"&amp;IF(MONTH('web survey'!Z92)&lt;10,"0"&amp;MONTH('web survey'!Z92),MONTH('web survey'!Z92))&amp;"-"&amp;IF(DAY('web survey'!Z92)&lt;10,"0"&amp;DAY('web survey'!Z92),DAY('web survey'!Z92))&amp;" "&amp;IF(HOUR('web survey'!Z92)&lt;10,"0"&amp;HOUR('web survey'!Z92),HOUR('web survey'!Z92))&amp;":"&amp;IF(MINUTE('web survey'!Z92)&lt;10,"0"&amp;MINUTE('web survey'!Z92),MINUTE('web survey'!Z92))&amp;(":00'")</f>
        <v>2026-06-13 17:28:00'</v>
      </c>
      <c r="N94" s="37">
        <v>91</v>
      </c>
      <c r="O94" s="37" t="s">
        <v>27</v>
      </c>
      <c r="P94" s="38" t="s">
        <v>203</v>
      </c>
      <c r="Q94" s="43" t="s">
        <v>18</v>
      </c>
      <c r="R94" s="44" t="s">
        <v>17</v>
      </c>
      <c r="S94" s="43" t="s">
        <v>204</v>
      </c>
      <c r="T94" s="44" t="s">
        <v>17</v>
      </c>
      <c r="U94" s="43" t="s">
        <v>30</v>
      </c>
      <c r="V94" s="44" t="s">
        <v>17</v>
      </c>
      <c r="W94" s="43" t="s">
        <v>50</v>
      </c>
      <c r="X94" s="37" t="s">
        <v>205</v>
      </c>
    </row>
    <row r="95" ht="28.2" customHeight="1" spans="1:24">
      <c r="A95" s="28">
        <f>IF(B95="","",ROW()-COUNTBLANK($B$4:B95)-3)</f>
        <v>92</v>
      </c>
      <c r="B95" s="28" t="str">
        <f>'web survey'!C93</f>
        <v>FU-Z1-Eng</v>
      </c>
      <c r="C95" s="29" t="str">
        <f>'web survey'!AA93</f>
        <v>204475413</v>
      </c>
      <c r="D95" s="30" t="str">
        <f>IF(B95="FU-ACInstall",VLOOKUP(VALUE('web survey'!D93),ref!$B$6:$C$7,2,0)&amp;" ("&amp;'web survey'!D93&amp;")",VLOOKUP(VALUE('web survey'!D93),ref!$E$6:$F$10,2,0)&amp;" ("&amp;'web survey'!D93&amp;")")</f>
        <v>Good (10)</v>
      </c>
      <c r="E95" s="32" t="str">
        <f>'web survey'!S93</f>
        <v/>
      </c>
      <c r="F95" s="30" t="str">
        <f>IF(B95="FU-ACInstall",VLOOKUP(VALUE('web survey'!E93),ref!$B$10:$C$12,2,0)&amp;" ("&amp;'web survey'!E93&amp;")",VLOOKUP(VALUE('web survey'!E93),ref!$E$13:$F$17,2,0)&amp;" ("&amp;'web survey'!E93&amp;")")</f>
        <v>Good (5)</v>
      </c>
      <c r="G95" s="32" t="str">
        <f>'web survey'!T93</f>
        <v/>
      </c>
      <c r="H95" s="30" t="e">
        <f>IF(B95="FU-ACInstall",VLOOKUP(VALUE('web survey'!F93),ref!$B$15:$C$17,2,0)&amp;" ("&amp;'web survey'!F93&amp;")",VLOOKUP(VALUE('web survey'!F93),ref!$E$20:$F$21,2,0)&amp;" ("&amp;'web survey'!F93&amp;")")</f>
        <v>#N/A</v>
      </c>
      <c r="I95" s="32" t="str">
        <f>'web survey'!U93</f>
        <v/>
      </c>
      <c r="J95" s="30" t="str">
        <f>IF(B95="FU-ACInstall","-",VLOOKUP(VALUE('web survey'!G93),ref!$E$24:$F$26,2,0)&amp;" ("&amp;'web survey'!G93&amp;")")</f>
        <v>Jelas (5)</v>
      </c>
      <c r="K95" s="28" t="str">
        <f>YEAR('web survey'!Z93)&amp;"-"&amp;IF(MONTH('web survey'!Z93)&lt;10,"0"&amp;MONTH('web survey'!Z93),MONTH('web survey'!Z93))&amp;"-"&amp;IF(DAY('web survey'!Z93)&lt;10,"0"&amp;DAY('web survey'!Z93),DAY('web survey'!Z93))&amp;" "&amp;IF(HOUR('web survey'!Z93)&lt;10,"0"&amp;HOUR('web survey'!Z93),HOUR('web survey'!Z93))&amp;":"&amp;IF(MINUTE('web survey'!Z93)&lt;10,"0"&amp;MINUTE('web survey'!Z93),MINUTE('web survey'!Z93))&amp;(":00'")</f>
        <v>2026-06-13 17:15:00'</v>
      </c>
      <c r="N95" s="37">
        <v>92</v>
      </c>
      <c r="O95" s="37" t="s">
        <v>27</v>
      </c>
      <c r="P95" s="38" t="s">
        <v>206</v>
      </c>
      <c r="Q95" s="43" t="s">
        <v>18</v>
      </c>
      <c r="R95" s="44" t="s">
        <v>17</v>
      </c>
      <c r="S95" s="43" t="s">
        <v>29</v>
      </c>
      <c r="T95" s="44" t="s">
        <v>17</v>
      </c>
      <c r="U95" s="43" t="e">
        <v>#N/A</v>
      </c>
      <c r="V95" s="44" t="s">
        <v>17</v>
      </c>
      <c r="W95" s="43" t="s">
        <v>34</v>
      </c>
      <c r="X95" s="37" t="s">
        <v>207</v>
      </c>
    </row>
    <row r="96" ht="28.2" customHeight="1" spans="1:24">
      <c r="A96" s="28">
        <f>IF(B96="","",ROW()-COUNTBLANK($B$4:B96)-3)</f>
        <v>93</v>
      </c>
      <c r="B96" s="28" t="str">
        <f>'web survey'!C94</f>
        <v>FU-Z1-Eng</v>
      </c>
      <c r="C96" s="29" t="str">
        <f>'web survey'!AA94</f>
        <v>204475285</v>
      </c>
      <c r="D96" s="30" t="str">
        <f>IF(B96="FU-ACInstall",VLOOKUP(VALUE('web survey'!D94),ref!$B$6:$C$7,2,0)&amp;" ("&amp;'web survey'!D94&amp;")",VLOOKUP(VALUE('web survey'!D94),ref!$E$6:$F$10,2,0)&amp;" ("&amp;'web survey'!D94&amp;")")</f>
        <v>Good (10)</v>
      </c>
      <c r="E96" s="32" t="str">
        <f>'web survey'!S94</f>
        <v/>
      </c>
      <c r="F96" s="30" t="str">
        <f>IF(B96="FU-ACInstall",VLOOKUP(VALUE('web survey'!E94),ref!$B$10:$C$12,2,0)&amp;" ("&amp;'web survey'!E94&amp;")",VLOOKUP(VALUE('web survey'!E94),ref!$E$13:$F$17,2,0)&amp;" ("&amp;'web survey'!E94&amp;")")</f>
        <v>Very Good (10)</v>
      </c>
      <c r="G96" s="32" t="str">
        <f>'web survey'!T94</f>
        <v/>
      </c>
      <c r="H96" s="30" t="str">
        <f>IF(B96="FU-ACInstall",VLOOKUP(VALUE('web survey'!F94),ref!$B$15:$C$17,2,0)&amp;" ("&amp;'web survey'!F94&amp;")",VLOOKUP(VALUE('web survey'!F94),ref!$E$20:$F$21,2,0)&amp;" ("&amp;'web survey'!F94&amp;")")</f>
        <v>Appropriate with SAP / in Warranty (10)</v>
      </c>
      <c r="I96" s="32" t="str">
        <f>'web survey'!U94</f>
        <v/>
      </c>
      <c r="J96" s="30" t="str">
        <f>IF(B96="FU-ACInstall","-",VLOOKUP(VALUE('web survey'!G94),ref!$E$24:$F$26,2,0)&amp;" ("&amp;'web survey'!G94&amp;")")</f>
        <v>Jelas (5)</v>
      </c>
      <c r="K96" s="28" t="str">
        <f>YEAR('web survey'!Z94)&amp;"-"&amp;IF(MONTH('web survey'!Z94)&lt;10,"0"&amp;MONTH('web survey'!Z94),MONTH('web survey'!Z94))&amp;"-"&amp;IF(DAY('web survey'!Z94)&lt;10,"0"&amp;DAY('web survey'!Z94),DAY('web survey'!Z94))&amp;" "&amp;IF(HOUR('web survey'!Z94)&lt;10,"0"&amp;HOUR('web survey'!Z94),HOUR('web survey'!Z94))&amp;":"&amp;IF(MINUTE('web survey'!Z94)&lt;10,"0"&amp;MINUTE('web survey'!Z94),MINUTE('web survey'!Z94))&amp;(":00'")</f>
        <v>2026-06-13 17:06:00'</v>
      </c>
      <c r="N96" s="37">
        <v>93</v>
      </c>
      <c r="O96" s="37" t="s">
        <v>27</v>
      </c>
      <c r="P96" s="38" t="s">
        <v>208</v>
      </c>
      <c r="Q96" s="43" t="s">
        <v>18</v>
      </c>
      <c r="R96" s="44" t="s">
        <v>17</v>
      </c>
      <c r="S96" s="43" t="s">
        <v>37</v>
      </c>
      <c r="T96" s="44" t="s">
        <v>17</v>
      </c>
      <c r="U96" s="43" t="s">
        <v>30</v>
      </c>
      <c r="V96" s="44" t="s">
        <v>17</v>
      </c>
      <c r="W96" s="43" t="s">
        <v>34</v>
      </c>
      <c r="X96" s="37" t="s">
        <v>209</v>
      </c>
    </row>
    <row r="97" ht="28.2" customHeight="1" spans="1:24">
      <c r="A97" s="28">
        <f>IF(B97="","",ROW()-COUNTBLANK($B$4:B97)-3)</f>
        <v>94</v>
      </c>
      <c r="B97" s="28" t="str">
        <f>'web survey'!C95</f>
        <v>FU-Z1-Eng</v>
      </c>
      <c r="C97" s="29" t="str">
        <f>'web survey'!AA95</f>
        <v>204472614</v>
      </c>
      <c r="D97" s="30" t="str">
        <f>IF(B97="FU-ACInstall",VLOOKUP(VALUE('web survey'!D95),ref!$B$6:$C$7,2,0)&amp;" ("&amp;'web survey'!D95&amp;")",VLOOKUP(VALUE('web survey'!D95),ref!$E$6:$F$10,2,0)&amp;" ("&amp;'web survey'!D95&amp;")")</f>
        <v>Good (10)</v>
      </c>
      <c r="E97" s="32" t="str">
        <f>'web survey'!S95</f>
        <v/>
      </c>
      <c r="F97" s="30" t="str">
        <f>IF(B97="FU-ACInstall",VLOOKUP(VALUE('web survey'!E95),ref!$B$10:$C$12,2,0)&amp;" ("&amp;'web survey'!E95&amp;")",VLOOKUP(VALUE('web survey'!E95),ref!$E$13:$F$17,2,0)&amp;" ("&amp;'web survey'!E95&amp;")")</f>
        <v>Very Good (10)</v>
      </c>
      <c r="G97" s="32" t="str">
        <f>'web survey'!T95</f>
        <v/>
      </c>
      <c r="H97" s="30" t="str">
        <f>IF(B97="FU-ACInstall",VLOOKUP(VALUE('web survey'!F95),ref!$B$15:$C$17,2,0)&amp;" ("&amp;'web survey'!F95&amp;")",VLOOKUP(VALUE('web survey'!F95),ref!$E$20:$F$21,2,0)&amp;" ("&amp;'web survey'!F95&amp;")")</f>
        <v>Appropriate with SAP / in Warranty (10)</v>
      </c>
      <c r="I97" s="32" t="str">
        <f>'web survey'!U95</f>
        <v/>
      </c>
      <c r="J97" s="30" t="str">
        <f>IF(B97="FU-ACInstall","-",VLOOKUP(VALUE('web survey'!G95),ref!$E$24:$F$26,2,0)&amp;" ("&amp;'web survey'!G95&amp;")")</f>
        <v>Jelas (5)</v>
      </c>
      <c r="K97" s="28" t="str">
        <f>YEAR('web survey'!Z95)&amp;"-"&amp;IF(MONTH('web survey'!Z95)&lt;10,"0"&amp;MONTH('web survey'!Z95),MONTH('web survey'!Z95))&amp;"-"&amp;IF(DAY('web survey'!Z95)&lt;10,"0"&amp;DAY('web survey'!Z95),DAY('web survey'!Z95))&amp;" "&amp;IF(HOUR('web survey'!Z95)&lt;10,"0"&amp;HOUR('web survey'!Z95),HOUR('web survey'!Z95))&amp;":"&amp;IF(MINUTE('web survey'!Z95)&lt;10,"0"&amp;MINUTE('web survey'!Z95),MINUTE('web survey'!Z95))&amp;(":00'")</f>
        <v>2026-06-13 16:42:00'</v>
      </c>
      <c r="N97" s="37">
        <v>94</v>
      </c>
      <c r="O97" s="37" t="s">
        <v>27</v>
      </c>
      <c r="P97" s="38" t="s">
        <v>210</v>
      </c>
      <c r="Q97" s="43" t="s">
        <v>18</v>
      </c>
      <c r="R97" s="44" t="s">
        <v>17</v>
      </c>
      <c r="S97" s="43" t="s">
        <v>37</v>
      </c>
      <c r="T97" s="44" t="s">
        <v>17</v>
      </c>
      <c r="U97" s="43" t="s">
        <v>30</v>
      </c>
      <c r="V97" s="44" t="s">
        <v>17</v>
      </c>
      <c r="W97" s="43" t="s">
        <v>34</v>
      </c>
      <c r="X97" s="37" t="s">
        <v>211</v>
      </c>
    </row>
    <row r="98" ht="28.2" customHeight="1" spans="1:24">
      <c r="A98" s="28">
        <f>IF(B98="","",ROW()-COUNTBLANK($B$4:B98)-3)</f>
        <v>95</v>
      </c>
      <c r="B98" s="28" t="str">
        <f>'web survey'!C96</f>
        <v>FU-Z1-Eng</v>
      </c>
      <c r="C98" s="29" t="str">
        <f>'web survey'!AA96</f>
        <v>204475184</v>
      </c>
      <c r="D98" s="30" t="str">
        <f>IF(B98="FU-ACInstall",VLOOKUP(VALUE('web survey'!D96),ref!$B$6:$C$7,2,0)&amp;" ("&amp;'web survey'!D96&amp;")",VLOOKUP(VALUE('web survey'!D96),ref!$E$6:$F$10,2,0)&amp;" ("&amp;'web survey'!D96&amp;")")</f>
        <v>Good (10)</v>
      </c>
      <c r="E98" s="32" t="str">
        <f>'web survey'!S96</f>
        <v/>
      </c>
      <c r="F98" s="30" t="str">
        <f>IF(B98="FU-ACInstall",VLOOKUP(VALUE('web survey'!E96),ref!$B$10:$C$12,2,0)&amp;" ("&amp;'web survey'!E96&amp;")",VLOOKUP(VALUE('web survey'!E96),ref!$E$13:$F$17,2,0)&amp;" ("&amp;'web survey'!E96&amp;")")</f>
        <v>Very Good (10)</v>
      </c>
      <c r="G98" s="32" t="str">
        <f>'web survey'!T96</f>
        <v/>
      </c>
      <c r="H98" s="30" t="str">
        <f>IF(B98="FU-ACInstall",VLOOKUP(VALUE('web survey'!F96),ref!$B$15:$C$17,2,0)&amp;" ("&amp;'web survey'!F96&amp;")",VLOOKUP(VALUE('web survey'!F96),ref!$E$20:$F$21,2,0)&amp;" ("&amp;'web survey'!F96&amp;")")</f>
        <v>Appropriate with SAP / in Warranty (10)</v>
      </c>
      <c r="I98" s="32" t="str">
        <f>'web survey'!U96</f>
        <v/>
      </c>
      <c r="J98" s="30" t="str">
        <f>IF(B98="FU-ACInstall","-",VLOOKUP(VALUE('web survey'!G96),ref!$E$24:$F$26,2,0)&amp;" ("&amp;'web survey'!G96&amp;")")</f>
        <v>Jelas (5)</v>
      </c>
      <c r="K98" s="28" t="str">
        <f>YEAR('web survey'!Z96)&amp;"-"&amp;IF(MONTH('web survey'!Z96)&lt;10,"0"&amp;MONTH('web survey'!Z96),MONTH('web survey'!Z96))&amp;"-"&amp;IF(DAY('web survey'!Z96)&lt;10,"0"&amp;DAY('web survey'!Z96),DAY('web survey'!Z96))&amp;" "&amp;IF(HOUR('web survey'!Z96)&lt;10,"0"&amp;HOUR('web survey'!Z96),HOUR('web survey'!Z96))&amp;":"&amp;IF(MINUTE('web survey'!Z96)&lt;10,"0"&amp;MINUTE('web survey'!Z96),MINUTE('web survey'!Z96))&amp;(":00'")</f>
        <v>2026-06-13 16:35:00'</v>
      </c>
      <c r="N98" s="37">
        <v>95</v>
      </c>
      <c r="O98" s="37" t="s">
        <v>27</v>
      </c>
      <c r="P98" s="38" t="s">
        <v>212</v>
      </c>
      <c r="Q98" s="43" t="s">
        <v>18</v>
      </c>
      <c r="R98" s="44" t="s">
        <v>17</v>
      </c>
      <c r="S98" s="43" t="s">
        <v>37</v>
      </c>
      <c r="T98" s="44" t="s">
        <v>17</v>
      </c>
      <c r="U98" s="43" t="s">
        <v>30</v>
      </c>
      <c r="V98" s="44" t="s">
        <v>17</v>
      </c>
      <c r="W98" s="43" t="s">
        <v>34</v>
      </c>
      <c r="X98" s="37" t="s">
        <v>213</v>
      </c>
    </row>
    <row r="99" ht="28.2" customHeight="1" spans="1:24">
      <c r="A99" s="28">
        <f>IF(B99="","",ROW()-COUNTBLANK($B$4:B99)-3)</f>
        <v>96</v>
      </c>
      <c r="B99" s="28" t="str">
        <f>'web survey'!C97</f>
        <v>FU-Z1-Eng</v>
      </c>
      <c r="C99" s="29" t="str">
        <f>'web survey'!AA97</f>
        <v>100986807</v>
      </c>
      <c r="D99" s="30" t="str">
        <f>IF(B99="FU-ACInstall",VLOOKUP(VALUE('web survey'!D97),ref!$B$6:$C$7,2,0)&amp;" ("&amp;'web survey'!D97&amp;")",VLOOKUP(VALUE('web survey'!D97),ref!$E$6:$F$10,2,0)&amp;" ("&amp;'web survey'!D97&amp;")")</f>
        <v>Good (10)</v>
      </c>
      <c r="E99" s="32" t="str">
        <f>'web survey'!S97</f>
        <v/>
      </c>
      <c r="F99" s="30" t="str">
        <f>IF(B99="FU-ACInstall",VLOOKUP(VALUE('web survey'!E97),ref!$B$10:$C$12,2,0)&amp;" ("&amp;'web survey'!E97&amp;")",VLOOKUP(VALUE('web survey'!E97),ref!$E$13:$F$17,2,0)&amp;" ("&amp;'web survey'!E97&amp;")")</f>
        <v>Very Good (10)</v>
      </c>
      <c r="G99" s="32" t="str">
        <f>'web survey'!T97</f>
        <v/>
      </c>
      <c r="H99" s="30" t="str">
        <f>IF(B99="FU-ACInstall",VLOOKUP(VALUE('web survey'!F97),ref!$B$15:$C$17,2,0)&amp;" ("&amp;'web survey'!F97&amp;")",VLOOKUP(VALUE('web survey'!F97),ref!$E$20:$F$21,2,0)&amp;" ("&amp;'web survey'!F97&amp;")")</f>
        <v>Appropriate with SAP / in Warranty (10)</v>
      </c>
      <c r="I99" s="32" t="str">
        <f>'web survey'!U97</f>
        <v/>
      </c>
      <c r="J99" s="30" t="str">
        <f>IF(B99="FU-ACInstall","-",VLOOKUP(VALUE('web survey'!G97),ref!$E$24:$F$26,2,0)&amp;" ("&amp;'web survey'!G97&amp;")")</f>
        <v>Jelas (5)</v>
      </c>
      <c r="K99" s="28" t="str">
        <f>YEAR('web survey'!Z97)&amp;"-"&amp;IF(MONTH('web survey'!Z97)&lt;10,"0"&amp;MONTH('web survey'!Z97),MONTH('web survey'!Z97))&amp;"-"&amp;IF(DAY('web survey'!Z97)&lt;10,"0"&amp;DAY('web survey'!Z97),DAY('web survey'!Z97))&amp;" "&amp;IF(HOUR('web survey'!Z97)&lt;10,"0"&amp;HOUR('web survey'!Z97),HOUR('web survey'!Z97))&amp;":"&amp;IF(MINUTE('web survey'!Z97)&lt;10,"0"&amp;MINUTE('web survey'!Z97),MINUTE('web survey'!Z97))&amp;(":00'")</f>
        <v>2026-06-13 16:34:00'</v>
      </c>
      <c r="N99" s="37">
        <v>96</v>
      </c>
      <c r="O99" s="37" t="s">
        <v>27</v>
      </c>
      <c r="P99" s="38" t="s">
        <v>214</v>
      </c>
      <c r="Q99" s="43" t="s">
        <v>18</v>
      </c>
      <c r="R99" s="44" t="s">
        <v>17</v>
      </c>
      <c r="S99" s="43" t="s">
        <v>37</v>
      </c>
      <c r="T99" s="44" t="s">
        <v>17</v>
      </c>
      <c r="U99" s="43" t="s">
        <v>30</v>
      </c>
      <c r="V99" s="44" t="s">
        <v>17</v>
      </c>
      <c r="W99" s="43" t="s">
        <v>34</v>
      </c>
      <c r="X99" s="37" t="s">
        <v>215</v>
      </c>
    </row>
    <row r="100" ht="28.2" customHeight="1" spans="1:24">
      <c r="A100" s="28">
        <f>IF(B100="","",ROW()-COUNTBLANK($B$4:B100)-3)</f>
        <v>97</v>
      </c>
      <c r="B100" s="28" t="str">
        <f>'web survey'!C98</f>
        <v>FU-Z1-Eng</v>
      </c>
      <c r="C100" s="29" t="str">
        <f>'web survey'!AA98</f>
        <v>1100357418</v>
      </c>
      <c r="D100" s="30" t="str">
        <f>IF(B100="FU-ACInstall",VLOOKUP(VALUE('web survey'!D98),ref!$B$6:$C$7,2,0)&amp;" ("&amp;'web survey'!D98&amp;")",VLOOKUP(VALUE('web survey'!D98),ref!$E$6:$F$10,2,0)&amp;" ("&amp;'web survey'!D98&amp;")")</f>
        <v>Good (10)</v>
      </c>
      <c r="E100" s="32" t="str">
        <f>'web survey'!S98</f>
        <v/>
      </c>
      <c r="F100" s="30" t="str">
        <f>IF(B100="FU-ACInstall",VLOOKUP(VALUE('web survey'!E98),ref!$B$10:$C$12,2,0)&amp;" ("&amp;'web survey'!E98&amp;")",VLOOKUP(VALUE('web survey'!E98),ref!$E$13:$F$17,2,0)&amp;" ("&amp;'web survey'!E98&amp;")")</f>
        <v>Very Good (10)</v>
      </c>
      <c r="G100" s="32" t="str">
        <f>'web survey'!T98</f>
        <v/>
      </c>
      <c r="H100" s="30" t="str">
        <f>IF(B100="FU-ACInstall",VLOOKUP(VALUE('web survey'!F98),ref!$B$15:$C$17,2,0)&amp;" ("&amp;'web survey'!F98&amp;")",VLOOKUP(VALUE('web survey'!F98),ref!$E$20:$F$21,2,0)&amp;" ("&amp;'web survey'!F98&amp;")")</f>
        <v>Appropriate with SAP / in Warranty (10)</v>
      </c>
      <c r="I100" s="32" t="str">
        <f>'web survey'!U98</f>
        <v/>
      </c>
      <c r="J100" s="30" t="str">
        <f>IF(B100="FU-ACInstall","-",VLOOKUP(VALUE('web survey'!G98),ref!$E$24:$F$26,2,0)&amp;" ("&amp;'web survey'!G98&amp;")")</f>
        <v>Jelas (5)</v>
      </c>
      <c r="K100" s="28" t="str">
        <f>YEAR('web survey'!Z98)&amp;"-"&amp;IF(MONTH('web survey'!Z98)&lt;10,"0"&amp;MONTH('web survey'!Z98),MONTH('web survey'!Z98))&amp;"-"&amp;IF(DAY('web survey'!Z98)&lt;10,"0"&amp;DAY('web survey'!Z98),DAY('web survey'!Z98))&amp;" "&amp;IF(HOUR('web survey'!Z98)&lt;10,"0"&amp;HOUR('web survey'!Z98),HOUR('web survey'!Z98))&amp;":"&amp;IF(MINUTE('web survey'!Z98)&lt;10,"0"&amp;MINUTE('web survey'!Z98),MINUTE('web survey'!Z98))&amp;(":00'")</f>
        <v>2026-06-13 16:30:00'</v>
      </c>
      <c r="N100" s="37">
        <v>97</v>
      </c>
      <c r="O100" s="37" t="s">
        <v>27</v>
      </c>
      <c r="P100" s="38" t="s">
        <v>216</v>
      </c>
      <c r="Q100" s="43" t="s">
        <v>18</v>
      </c>
      <c r="R100" s="44" t="s">
        <v>17</v>
      </c>
      <c r="S100" s="43" t="s">
        <v>37</v>
      </c>
      <c r="T100" s="44" t="s">
        <v>17</v>
      </c>
      <c r="U100" s="43" t="s">
        <v>30</v>
      </c>
      <c r="V100" s="44" t="s">
        <v>17</v>
      </c>
      <c r="W100" s="43" t="s">
        <v>34</v>
      </c>
      <c r="X100" s="37" t="s">
        <v>217</v>
      </c>
    </row>
    <row r="101" ht="28.2" customHeight="1" spans="1:24">
      <c r="A101" s="28">
        <f>IF(B101="","",ROW()-COUNTBLANK($B$4:B101)-3)</f>
        <v>98</v>
      </c>
      <c r="B101" s="28" t="str">
        <f>'web survey'!C99</f>
        <v>FU-Z1-Eng</v>
      </c>
      <c r="C101" s="29" t="str">
        <f>'web survey'!AA99</f>
        <v>204462237</v>
      </c>
      <c r="D101" s="30" t="str">
        <f>IF(B101="FU-ACInstall",VLOOKUP(VALUE('web survey'!D99),ref!$B$6:$C$7,2,0)&amp;" ("&amp;'web survey'!D99&amp;")",VLOOKUP(VALUE('web survey'!D99),ref!$E$6:$F$10,2,0)&amp;" ("&amp;'web survey'!D99&amp;")")</f>
        <v>Good (10)</v>
      </c>
      <c r="E101" s="32" t="str">
        <f>'web survey'!S99</f>
        <v/>
      </c>
      <c r="F101" s="30" t="str">
        <f>IF(B101="FU-ACInstall",VLOOKUP(VALUE('web survey'!E99),ref!$B$10:$C$12,2,0)&amp;" ("&amp;'web survey'!E99&amp;")",VLOOKUP(VALUE('web survey'!E99),ref!$E$13:$F$17,2,0)&amp;" ("&amp;'web survey'!E99&amp;")")</f>
        <v>Good (5)</v>
      </c>
      <c r="G101" s="32" t="str">
        <f>'web survey'!T99</f>
        <v/>
      </c>
      <c r="H101" s="30" t="str">
        <f>IF(B101="FU-ACInstall",VLOOKUP(VALUE('web survey'!F99),ref!$B$15:$C$17,2,0)&amp;" ("&amp;'web survey'!F99&amp;")",VLOOKUP(VALUE('web survey'!F99),ref!$E$20:$F$21,2,0)&amp;" ("&amp;'web survey'!F99&amp;")")</f>
        <v>Appropriate with SAP / in Warranty (10)</v>
      </c>
      <c r="I101" s="32" t="str">
        <f>'web survey'!U99</f>
        <v/>
      </c>
      <c r="J101" s="30" t="str">
        <f>IF(B101="FU-ACInstall","-",VLOOKUP(VALUE('web survey'!G99),ref!$E$24:$F$26,2,0)&amp;" ("&amp;'web survey'!G99&amp;")")</f>
        <v>Jelas (5)</v>
      </c>
      <c r="K101" s="28" t="str">
        <f>YEAR('web survey'!Z99)&amp;"-"&amp;IF(MONTH('web survey'!Z99)&lt;10,"0"&amp;MONTH('web survey'!Z99),MONTH('web survey'!Z99))&amp;"-"&amp;IF(DAY('web survey'!Z99)&lt;10,"0"&amp;DAY('web survey'!Z99),DAY('web survey'!Z99))&amp;" "&amp;IF(HOUR('web survey'!Z99)&lt;10,"0"&amp;HOUR('web survey'!Z99),HOUR('web survey'!Z99))&amp;":"&amp;IF(MINUTE('web survey'!Z99)&lt;10,"0"&amp;MINUTE('web survey'!Z99),MINUTE('web survey'!Z99))&amp;(":00'")</f>
        <v>2026-06-13 16:19:00'</v>
      </c>
      <c r="N101" s="37">
        <v>98</v>
      </c>
      <c r="O101" s="37" t="s">
        <v>27</v>
      </c>
      <c r="P101" s="38" t="s">
        <v>218</v>
      </c>
      <c r="Q101" s="43" t="s">
        <v>18</v>
      </c>
      <c r="R101" s="44" t="s">
        <v>17</v>
      </c>
      <c r="S101" s="43" t="s">
        <v>29</v>
      </c>
      <c r="T101" s="44" t="s">
        <v>17</v>
      </c>
      <c r="U101" s="43" t="s">
        <v>30</v>
      </c>
      <c r="V101" s="44" t="s">
        <v>17</v>
      </c>
      <c r="W101" s="43" t="s">
        <v>34</v>
      </c>
      <c r="X101" s="37" t="s">
        <v>219</v>
      </c>
    </row>
    <row r="102" ht="28.2" customHeight="1" spans="1:24">
      <c r="A102" s="28">
        <f>IF(B102="","",ROW()-COUNTBLANK($B$4:B102)-3)</f>
        <v>99</v>
      </c>
      <c r="B102" s="28" t="str">
        <f>'web survey'!C100</f>
        <v>FU-Z1-Eng</v>
      </c>
      <c r="C102" s="29" t="str">
        <f>'web survey'!AA100</f>
        <v>204472607</v>
      </c>
      <c r="D102" s="30" t="str">
        <f>IF(B102="FU-ACInstall",VLOOKUP(VALUE('web survey'!D100),ref!$B$6:$C$7,2,0)&amp;" ("&amp;'web survey'!D100&amp;")",VLOOKUP(VALUE('web survey'!D100),ref!$E$6:$F$10,2,0)&amp;" ("&amp;'web survey'!D100&amp;")")</f>
        <v>Good (10)</v>
      </c>
      <c r="E102" s="32" t="str">
        <f>'web survey'!S100</f>
        <v/>
      </c>
      <c r="F102" s="30" t="str">
        <f>IF(B102="FU-ACInstall",VLOOKUP(VALUE('web survey'!E100),ref!$B$10:$C$12,2,0)&amp;" ("&amp;'web survey'!E100&amp;")",VLOOKUP(VALUE('web survey'!E100),ref!$E$13:$F$17,2,0)&amp;" ("&amp;'web survey'!E100&amp;")")</f>
        <v>Good (5)</v>
      </c>
      <c r="G102" s="32" t="str">
        <f>'web survey'!T100</f>
        <v/>
      </c>
      <c r="H102" s="30" t="str">
        <f>IF(B102="FU-ACInstall",VLOOKUP(VALUE('web survey'!F100),ref!$B$15:$C$17,2,0)&amp;" ("&amp;'web survey'!F100&amp;")",VLOOKUP(VALUE('web survey'!F100),ref!$E$20:$F$21,2,0)&amp;" ("&amp;'web survey'!F100&amp;")")</f>
        <v>Appropriate with SAP / in Warranty (10)</v>
      </c>
      <c r="I102" s="32" t="str">
        <f>'web survey'!U100</f>
        <v/>
      </c>
      <c r="J102" s="30" t="str">
        <f>IF(B102="FU-ACInstall","-",VLOOKUP(VALUE('web survey'!G100),ref!$E$24:$F$26,2,0)&amp;" ("&amp;'web survey'!G100&amp;")")</f>
        <v>Jelas (5)</v>
      </c>
      <c r="K102" s="28" t="str">
        <f>YEAR('web survey'!Z100)&amp;"-"&amp;IF(MONTH('web survey'!Z100)&lt;10,"0"&amp;MONTH('web survey'!Z100),MONTH('web survey'!Z100))&amp;"-"&amp;IF(DAY('web survey'!Z100)&lt;10,"0"&amp;DAY('web survey'!Z100),DAY('web survey'!Z100))&amp;" "&amp;IF(HOUR('web survey'!Z100)&lt;10,"0"&amp;HOUR('web survey'!Z100),HOUR('web survey'!Z100))&amp;":"&amp;IF(MINUTE('web survey'!Z100)&lt;10,"0"&amp;MINUTE('web survey'!Z100),MINUTE('web survey'!Z100))&amp;(":00'")</f>
        <v>2026-06-13 16:12:00'</v>
      </c>
      <c r="N102" s="37">
        <v>99</v>
      </c>
      <c r="O102" s="37" t="s">
        <v>27</v>
      </c>
      <c r="P102" s="38" t="s">
        <v>220</v>
      </c>
      <c r="Q102" s="43" t="s">
        <v>18</v>
      </c>
      <c r="R102" s="44" t="s">
        <v>17</v>
      </c>
      <c r="S102" s="43" t="s">
        <v>29</v>
      </c>
      <c r="T102" s="44" t="s">
        <v>17</v>
      </c>
      <c r="U102" s="43" t="s">
        <v>30</v>
      </c>
      <c r="V102" s="44" t="s">
        <v>17</v>
      </c>
      <c r="W102" s="43" t="s">
        <v>34</v>
      </c>
      <c r="X102" s="37" t="s">
        <v>221</v>
      </c>
    </row>
    <row r="103" ht="28.2" customHeight="1" spans="1:24">
      <c r="A103" s="28">
        <f>IF(B103="","",ROW()-COUNTBLANK($B$4:B103)-3)</f>
        <v>100</v>
      </c>
      <c r="B103" s="28" t="str">
        <f>'web survey'!C101</f>
        <v>FU-Z1-Eng</v>
      </c>
      <c r="C103" s="29" t="str">
        <f>'web survey'!AA101</f>
        <v>204379917</v>
      </c>
      <c r="D103" s="30" t="str">
        <f>IF(B103="FU-ACInstall",VLOOKUP(VALUE('web survey'!D101),ref!$B$6:$C$7,2,0)&amp;" ("&amp;'web survey'!D101&amp;")",VLOOKUP(VALUE('web survey'!D101),ref!$E$6:$F$10,2,0)&amp;" ("&amp;'web survey'!D101&amp;")")</f>
        <v>Not Good (-10)</v>
      </c>
      <c r="E103" s="32" t="str">
        <f>'web survey'!S101</f>
        <v/>
      </c>
      <c r="F103" s="30" t="str">
        <f>IF(B103="FU-ACInstall",VLOOKUP(VALUE('web survey'!E101),ref!$B$10:$C$12,2,0)&amp;" ("&amp;'web survey'!E101&amp;")",VLOOKUP(VALUE('web survey'!E101),ref!$E$13:$F$17,2,0)&amp;" ("&amp;'web survey'!E101&amp;")")</f>
        <v>Very Good (10)</v>
      </c>
      <c r="G103" s="32" t="str">
        <f>'web survey'!T101</f>
        <v/>
      </c>
      <c r="H103" s="30" t="str">
        <f>IF(B103="FU-ACInstall",VLOOKUP(VALUE('web survey'!F101),ref!$B$15:$C$17,2,0)&amp;" ("&amp;'web survey'!F101&amp;")",VLOOKUP(VALUE('web survey'!F101),ref!$E$20:$F$21,2,0)&amp;" ("&amp;'web survey'!F101&amp;")")</f>
        <v>Appropriate with SAP / in Warranty (10)</v>
      </c>
      <c r="I103" s="32" t="str">
        <f>'web survey'!U101</f>
        <v/>
      </c>
      <c r="J103" s="30" t="str">
        <f>IF(B103="FU-ACInstall","-",VLOOKUP(VALUE('web survey'!G101),ref!$E$24:$F$26,2,0)&amp;" ("&amp;'web survey'!G101&amp;")")</f>
        <v>Kurang jelas (3)</v>
      </c>
      <c r="K103" s="28" t="str">
        <f>YEAR('web survey'!Z101)&amp;"-"&amp;IF(MONTH('web survey'!Z101)&lt;10,"0"&amp;MONTH('web survey'!Z101),MONTH('web survey'!Z101))&amp;"-"&amp;IF(DAY('web survey'!Z101)&lt;10,"0"&amp;DAY('web survey'!Z101),DAY('web survey'!Z101))&amp;" "&amp;IF(HOUR('web survey'!Z101)&lt;10,"0"&amp;HOUR('web survey'!Z101),HOUR('web survey'!Z101))&amp;":"&amp;IF(MINUTE('web survey'!Z101)&lt;10,"0"&amp;MINUTE('web survey'!Z101),MINUTE('web survey'!Z101))&amp;(":00'")</f>
        <v>2026-06-13 16:12:00'</v>
      </c>
      <c r="N103" s="37">
        <v>100</v>
      </c>
      <c r="O103" s="37" t="s">
        <v>27</v>
      </c>
      <c r="P103" s="38" t="s">
        <v>222</v>
      </c>
      <c r="Q103" s="43" t="s">
        <v>33</v>
      </c>
      <c r="R103" s="44" t="s">
        <v>17</v>
      </c>
      <c r="S103" s="43" t="s">
        <v>37</v>
      </c>
      <c r="T103" s="44" t="s">
        <v>17</v>
      </c>
      <c r="U103" s="43" t="s">
        <v>30</v>
      </c>
      <c r="V103" s="44" t="s">
        <v>17</v>
      </c>
      <c r="W103" s="43" t="s">
        <v>154</v>
      </c>
      <c r="X103" s="37" t="s">
        <v>221</v>
      </c>
    </row>
    <row r="104" ht="28.2" customHeight="1" spans="1:24">
      <c r="A104" s="28">
        <f>IF(B104="","",ROW()-COUNTBLANK($B$4:B104)-3)</f>
        <v>101</v>
      </c>
      <c r="B104" s="28" t="str">
        <f>'web survey'!C102</f>
        <v>FU-Z1-Eng</v>
      </c>
      <c r="C104" s="29" t="str">
        <f>'web survey'!AA102</f>
        <v>1100356792</v>
      </c>
      <c r="D104" s="30" t="str">
        <f>IF(B104="FU-ACInstall",VLOOKUP(VALUE('web survey'!D102),ref!$B$6:$C$7,2,0)&amp;" ("&amp;'web survey'!D102&amp;")",VLOOKUP(VALUE('web survey'!D102),ref!$E$6:$F$10,2,0)&amp;" ("&amp;'web survey'!D102&amp;")")</f>
        <v>Good (10)</v>
      </c>
      <c r="E104" s="32" t="str">
        <f>'web survey'!S102</f>
        <v/>
      </c>
      <c r="F104" s="30" t="str">
        <f>IF(B104="FU-ACInstall",VLOOKUP(VALUE('web survey'!E102),ref!$B$10:$C$12,2,0)&amp;" ("&amp;'web survey'!E102&amp;")",VLOOKUP(VALUE('web survey'!E102),ref!$E$13:$F$17,2,0)&amp;" ("&amp;'web survey'!E102&amp;")")</f>
        <v>Very Good (10)</v>
      </c>
      <c r="G104" s="32" t="str">
        <f>'web survey'!T102</f>
        <v/>
      </c>
      <c r="H104" s="30" t="str">
        <f>IF(B104="FU-ACInstall",VLOOKUP(VALUE('web survey'!F102),ref!$B$15:$C$17,2,0)&amp;" ("&amp;'web survey'!F102&amp;")",VLOOKUP(VALUE('web survey'!F102),ref!$E$20:$F$21,2,0)&amp;" ("&amp;'web survey'!F102&amp;")")</f>
        <v>Appropriate with SAP / in Warranty (10)</v>
      </c>
      <c r="I104" s="32" t="str">
        <f>'web survey'!U102</f>
        <v/>
      </c>
      <c r="J104" s="30" t="str">
        <f>IF(B104="FU-ACInstall","-",VLOOKUP(VALUE('web survey'!G102),ref!$E$24:$F$26,2,0)&amp;" ("&amp;'web survey'!G102&amp;")")</f>
        <v>Jelas (5)</v>
      </c>
      <c r="K104" s="28" t="str">
        <f>YEAR('web survey'!Z102)&amp;"-"&amp;IF(MONTH('web survey'!Z102)&lt;10,"0"&amp;MONTH('web survey'!Z102),MONTH('web survey'!Z102))&amp;"-"&amp;IF(DAY('web survey'!Z102)&lt;10,"0"&amp;DAY('web survey'!Z102),DAY('web survey'!Z102))&amp;" "&amp;IF(HOUR('web survey'!Z102)&lt;10,"0"&amp;HOUR('web survey'!Z102),HOUR('web survey'!Z102))&amp;":"&amp;IF(MINUTE('web survey'!Z102)&lt;10,"0"&amp;MINUTE('web survey'!Z102),MINUTE('web survey'!Z102))&amp;(":00'")</f>
        <v>2026-06-13 16:11:00'</v>
      </c>
      <c r="N104" s="37">
        <v>101</v>
      </c>
      <c r="O104" s="37" t="s">
        <v>27</v>
      </c>
      <c r="P104" s="38" t="s">
        <v>223</v>
      </c>
      <c r="Q104" s="43" t="s">
        <v>18</v>
      </c>
      <c r="R104" s="44" t="s">
        <v>17</v>
      </c>
      <c r="S104" s="43" t="s">
        <v>37</v>
      </c>
      <c r="T104" s="44" t="s">
        <v>17</v>
      </c>
      <c r="U104" s="43" t="s">
        <v>30</v>
      </c>
      <c r="V104" s="44" t="s">
        <v>17</v>
      </c>
      <c r="W104" s="43" t="s">
        <v>34</v>
      </c>
      <c r="X104" s="37" t="s">
        <v>224</v>
      </c>
    </row>
    <row r="105" ht="28.2" customHeight="1" spans="1:24">
      <c r="A105" s="28">
        <f>IF(B105="","",ROW()-COUNTBLANK($B$4:B105)-3)</f>
        <v>102</v>
      </c>
      <c r="B105" s="28" t="str">
        <f>'web survey'!C103</f>
        <v>FU-Z1-Eng</v>
      </c>
      <c r="C105" s="29" t="str">
        <f>'web survey'!AA103</f>
        <v>204473089</v>
      </c>
      <c r="D105" s="30" t="str">
        <f>IF(B105="FU-ACInstall",VLOOKUP(VALUE('web survey'!D103),ref!$B$6:$C$7,2,0)&amp;" ("&amp;'web survey'!D103&amp;")",VLOOKUP(VALUE('web survey'!D103),ref!$E$6:$F$10,2,0)&amp;" ("&amp;'web survey'!D103&amp;")")</f>
        <v>Good (10)</v>
      </c>
      <c r="E105" s="32" t="str">
        <f>'web survey'!S103</f>
        <v/>
      </c>
      <c r="F105" s="30" t="str">
        <f>IF(B105="FU-ACInstall",VLOOKUP(VALUE('web survey'!E103),ref!$B$10:$C$12,2,0)&amp;" ("&amp;'web survey'!E103&amp;")",VLOOKUP(VALUE('web survey'!E103),ref!$E$13:$F$17,2,0)&amp;" ("&amp;'web survey'!E103&amp;")")</f>
        <v>Very Good (10)</v>
      </c>
      <c r="G105" s="32" t="str">
        <f>'web survey'!T103</f>
        <v/>
      </c>
      <c r="H105" s="30" t="str">
        <f>IF(B105="FU-ACInstall",VLOOKUP(VALUE('web survey'!F103),ref!$B$15:$C$17,2,0)&amp;" ("&amp;'web survey'!F103&amp;")",VLOOKUP(VALUE('web survey'!F103),ref!$E$20:$F$21,2,0)&amp;" ("&amp;'web survey'!F103&amp;")")</f>
        <v>Appropriate with SAP / in Warranty (10)</v>
      </c>
      <c r="I105" s="32" t="str">
        <f>'web survey'!U103</f>
        <v/>
      </c>
      <c r="J105" s="30" t="str">
        <f>IF(B105="FU-ACInstall","-",VLOOKUP(VALUE('web survey'!G103),ref!$E$24:$F$26,2,0)&amp;" ("&amp;'web survey'!G103&amp;")")</f>
        <v>Jelas (5)</v>
      </c>
      <c r="K105" s="28" t="str">
        <f>YEAR('web survey'!Z103)&amp;"-"&amp;IF(MONTH('web survey'!Z103)&lt;10,"0"&amp;MONTH('web survey'!Z103),MONTH('web survey'!Z103))&amp;"-"&amp;IF(DAY('web survey'!Z103)&lt;10,"0"&amp;DAY('web survey'!Z103),DAY('web survey'!Z103))&amp;" "&amp;IF(HOUR('web survey'!Z103)&lt;10,"0"&amp;HOUR('web survey'!Z103),HOUR('web survey'!Z103))&amp;":"&amp;IF(MINUTE('web survey'!Z103)&lt;10,"0"&amp;MINUTE('web survey'!Z103),MINUTE('web survey'!Z103))&amp;(":00'")</f>
        <v>2026-06-13 16:08:00'</v>
      </c>
      <c r="N105" s="37">
        <v>102</v>
      </c>
      <c r="O105" s="37" t="s">
        <v>27</v>
      </c>
      <c r="P105" s="38" t="s">
        <v>225</v>
      </c>
      <c r="Q105" s="43" t="s">
        <v>18</v>
      </c>
      <c r="R105" s="44" t="s">
        <v>17</v>
      </c>
      <c r="S105" s="43" t="s">
        <v>37</v>
      </c>
      <c r="T105" s="44" t="s">
        <v>17</v>
      </c>
      <c r="U105" s="43" t="s">
        <v>30</v>
      </c>
      <c r="V105" s="44" t="s">
        <v>17</v>
      </c>
      <c r="W105" s="43" t="s">
        <v>34</v>
      </c>
      <c r="X105" s="37" t="s">
        <v>226</v>
      </c>
    </row>
    <row r="106" ht="28.2" customHeight="1" spans="1:24">
      <c r="A106" s="28">
        <f>IF(B106="","",ROW()-COUNTBLANK($B$4:B106)-3)</f>
        <v>103</v>
      </c>
      <c r="B106" s="28" t="str">
        <f>'web survey'!C104</f>
        <v>FU-Z1-Eng</v>
      </c>
      <c r="C106" s="29" t="str">
        <f>'web survey'!AA104</f>
        <v>100976378</v>
      </c>
      <c r="D106" s="30" t="str">
        <f>IF(B106="FU-ACInstall",VLOOKUP(VALUE('web survey'!D104),ref!$B$6:$C$7,2,0)&amp;" ("&amp;'web survey'!D104&amp;")",VLOOKUP(VALUE('web survey'!D104),ref!$E$6:$F$10,2,0)&amp;" ("&amp;'web survey'!D104&amp;")")</f>
        <v>Good (10)</v>
      </c>
      <c r="E106" s="32" t="str">
        <f>'web survey'!S104</f>
        <v/>
      </c>
      <c r="F106" s="30" t="str">
        <f>IF(B106="FU-ACInstall",VLOOKUP(VALUE('web survey'!E104),ref!$B$10:$C$12,2,0)&amp;" ("&amp;'web survey'!E104&amp;")",VLOOKUP(VALUE('web survey'!E104),ref!$E$13:$F$17,2,0)&amp;" ("&amp;'web survey'!E104&amp;")")</f>
        <v>Very Good (10)</v>
      </c>
      <c r="G106" s="32" t="str">
        <f>'web survey'!T104</f>
        <v/>
      </c>
      <c r="H106" s="30" t="str">
        <f>IF(B106="FU-ACInstall",VLOOKUP(VALUE('web survey'!F104),ref!$B$15:$C$17,2,0)&amp;" ("&amp;'web survey'!F104&amp;")",VLOOKUP(VALUE('web survey'!F104),ref!$E$20:$F$21,2,0)&amp;" ("&amp;'web survey'!F104&amp;")")</f>
        <v>Appropriate with SAP / in Warranty (10)</v>
      </c>
      <c r="I106" s="32" t="str">
        <f>'web survey'!U104</f>
        <v/>
      </c>
      <c r="J106" s="30" t="str">
        <f>IF(B106="FU-ACInstall","-",VLOOKUP(VALUE('web survey'!G104),ref!$E$24:$F$26,2,0)&amp;" ("&amp;'web survey'!G104&amp;")")</f>
        <v>Jelas (5)</v>
      </c>
      <c r="K106" s="28" t="str">
        <f>YEAR('web survey'!Z104)&amp;"-"&amp;IF(MONTH('web survey'!Z104)&lt;10,"0"&amp;MONTH('web survey'!Z104),MONTH('web survey'!Z104))&amp;"-"&amp;IF(DAY('web survey'!Z104)&lt;10,"0"&amp;DAY('web survey'!Z104),DAY('web survey'!Z104))&amp;" "&amp;IF(HOUR('web survey'!Z104)&lt;10,"0"&amp;HOUR('web survey'!Z104),HOUR('web survey'!Z104))&amp;":"&amp;IF(MINUTE('web survey'!Z104)&lt;10,"0"&amp;MINUTE('web survey'!Z104),MINUTE('web survey'!Z104))&amp;(":00'")</f>
        <v>2026-06-13 15:57:00'</v>
      </c>
      <c r="N106" s="37">
        <v>103</v>
      </c>
      <c r="O106" s="37" t="s">
        <v>27</v>
      </c>
      <c r="P106" s="38" t="s">
        <v>227</v>
      </c>
      <c r="Q106" s="43" t="s">
        <v>18</v>
      </c>
      <c r="R106" s="44" t="s">
        <v>17</v>
      </c>
      <c r="S106" s="43" t="s">
        <v>37</v>
      </c>
      <c r="T106" s="44" t="s">
        <v>17</v>
      </c>
      <c r="U106" s="43" t="s">
        <v>30</v>
      </c>
      <c r="V106" s="44" t="s">
        <v>17</v>
      </c>
      <c r="W106" s="43" t="s">
        <v>34</v>
      </c>
      <c r="X106" s="37" t="s">
        <v>228</v>
      </c>
    </row>
    <row r="107" ht="28.2" customHeight="1" spans="1:24">
      <c r="A107" s="28">
        <f>IF(B107="","",ROW()-COUNTBLANK($B$4:B107)-3)</f>
        <v>104</v>
      </c>
      <c r="B107" s="28" t="str">
        <f>'web survey'!C105</f>
        <v>FU-Z1-Eng</v>
      </c>
      <c r="C107" s="29" t="str">
        <f>'web survey'!AA105</f>
        <v>204317707</v>
      </c>
      <c r="D107" s="30" t="str">
        <f>IF(B107="FU-ACInstall",VLOOKUP(VALUE('web survey'!D105),ref!$B$6:$C$7,2,0)&amp;" ("&amp;'web survey'!D105&amp;")",VLOOKUP(VALUE('web survey'!D105),ref!$E$6:$F$10,2,0)&amp;" ("&amp;'web survey'!D105&amp;")")</f>
        <v>Good (10)</v>
      </c>
      <c r="E107" s="32" t="str">
        <f>'web survey'!S105</f>
        <v/>
      </c>
      <c r="F107" s="30" t="str">
        <f>IF(B107="FU-ACInstall",VLOOKUP(VALUE('web survey'!E105),ref!$B$10:$C$12,2,0)&amp;" ("&amp;'web survey'!E105&amp;")",VLOOKUP(VALUE('web survey'!E105),ref!$E$13:$F$17,2,0)&amp;" ("&amp;'web survey'!E105&amp;")")</f>
        <v>Very Good (10)</v>
      </c>
      <c r="G107" s="32" t="str">
        <f>'web survey'!T105</f>
        <v/>
      </c>
      <c r="H107" s="30" t="str">
        <f>IF(B107="FU-ACInstall",VLOOKUP(VALUE('web survey'!F105),ref!$B$15:$C$17,2,0)&amp;" ("&amp;'web survey'!F105&amp;")",VLOOKUP(VALUE('web survey'!F105),ref!$E$20:$F$21,2,0)&amp;" ("&amp;'web survey'!F105&amp;")")</f>
        <v>Appropriate with SAP / in Warranty (10)</v>
      </c>
      <c r="I107" s="32" t="str">
        <f>'web survey'!U105</f>
        <v/>
      </c>
      <c r="J107" s="30" t="str">
        <f>IF(B107="FU-ACInstall","-",VLOOKUP(VALUE('web survey'!G105),ref!$E$24:$F$26,2,0)&amp;" ("&amp;'web survey'!G105&amp;")")</f>
        <v>Jelas (5)</v>
      </c>
      <c r="K107" s="28" t="str">
        <f>YEAR('web survey'!Z105)&amp;"-"&amp;IF(MONTH('web survey'!Z105)&lt;10,"0"&amp;MONTH('web survey'!Z105),MONTH('web survey'!Z105))&amp;"-"&amp;IF(DAY('web survey'!Z105)&lt;10,"0"&amp;DAY('web survey'!Z105),DAY('web survey'!Z105))&amp;" "&amp;IF(HOUR('web survey'!Z105)&lt;10,"0"&amp;HOUR('web survey'!Z105),HOUR('web survey'!Z105))&amp;":"&amp;IF(MINUTE('web survey'!Z105)&lt;10,"0"&amp;MINUTE('web survey'!Z105),MINUTE('web survey'!Z105))&amp;(":00'")</f>
        <v>2026-06-13 15:56:00'</v>
      </c>
      <c r="N107" s="37">
        <v>104</v>
      </c>
      <c r="O107" s="37" t="s">
        <v>27</v>
      </c>
      <c r="P107" s="38" t="s">
        <v>229</v>
      </c>
      <c r="Q107" s="43" t="s">
        <v>18</v>
      </c>
      <c r="R107" s="44" t="s">
        <v>17</v>
      </c>
      <c r="S107" s="43" t="s">
        <v>37</v>
      </c>
      <c r="T107" s="44" t="s">
        <v>17</v>
      </c>
      <c r="U107" s="43" t="s">
        <v>30</v>
      </c>
      <c r="V107" s="44" t="s">
        <v>17</v>
      </c>
      <c r="W107" s="43" t="s">
        <v>34</v>
      </c>
      <c r="X107" s="37" t="s">
        <v>230</v>
      </c>
    </row>
    <row r="108" ht="28.2" customHeight="1" spans="1:24">
      <c r="A108" s="28">
        <f>IF(B108="","",ROW()-COUNTBLANK($B$4:B108)-3)</f>
        <v>105</v>
      </c>
      <c r="B108" s="28" t="str">
        <f>'web survey'!C106</f>
        <v>FU-Z1-Eng</v>
      </c>
      <c r="C108" s="29" t="str">
        <f>'web survey'!AA106</f>
        <v>1214A2603380</v>
      </c>
      <c r="D108" s="30" t="str">
        <f>IF(B108="FU-ACInstall",VLOOKUP(VALUE('web survey'!D106),ref!$B$6:$C$7,2,0)&amp;" ("&amp;'web survey'!D106&amp;")",VLOOKUP(VALUE('web survey'!D106),ref!$E$6:$F$10,2,0)&amp;" ("&amp;'web survey'!D106&amp;")")</f>
        <v>Good (10)</v>
      </c>
      <c r="E108" s="32" t="str">
        <f>'web survey'!S106</f>
        <v/>
      </c>
      <c r="F108" s="30" t="str">
        <f>IF(B108="FU-ACInstall",VLOOKUP(VALUE('web survey'!E106),ref!$B$10:$C$12,2,0)&amp;" ("&amp;'web survey'!E106&amp;")",VLOOKUP(VALUE('web survey'!E106),ref!$E$13:$F$17,2,0)&amp;" ("&amp;'web survey'!E106&amp;")")</f>
        <v>Very Good (10)</v>
      </c>
      <c r="G108" s="32" t="str">
        <f>'web survey'!T106</f>
        <v/>
      </c>
      <c r="H108" s="30" t="str">
        <f>IF(B108="FU-ACInstall",VLOOKUP(VALUE('web survey'!F106),ref!$B$15:$C$17,2,0)&amp;" ("&amp;'web survey'!F106&amp;")",VLOOKUP(VALUE('web survey'!F106),ref!$E$20:$F$21,2,0)&amp;" ("&amp;'web survey'!F106&amp;")")</f>
        <v>Appropriate with SAP / in Warranty (10)</v>
      </c>
      <c r="I108" s="32" t="str">
        <f>'web survey'!U106</f>
        <v/>
      </c>
      <c r="J108" s="30" t="str">
        <f>IF(B108="FU-ACInstall","-",VLOOKUP(VALUE('web survey'!G106),ref!$E$24:$F$26,2,0)&amp;" ("&amp;'web survey'!G106&amp;")")</f>
        <v>Jelas (5)</v>
      </c>
      <c r="K108" s="28" t="str">
        <f>YEAR('web survey'!Z106)&amp;"-"&amp;IF(MONTH('web survey'!Z106)&lt;10,"0"&amp;MONTH('web survey'!Z106),MONTH('web survey'!Z106))&amp;"-"&amp;IF(DAY('web survey'!Z106)&lt;10,"0"&amp;DAY('web survey'!Z106),DAY('web survey'!Z106))&amp;" "&amp;IF(HOUR('web survey'!Z106)&lt;10,"0"&amp;HOUR('web survey'!Z106),HOUR('web survey'!Z106))&amp;":"&amp;IF(MINUTE('web survey'!Z106)&lt;10,"0"&amp;MINUTE('web survey'!Z106),MINUTE('web survey'!Z106))&amp;(":00'")</f>
        <v>2026-06-13 15:56:00'</v>
      </c>
      <c r="N108" s="37">
        <v>105</v>
      </c>
      <c r="O108" s="37" t="s">
        <v>27</v>
      </c>
      <c r="P108" s="38" t="s">
        <v>231</v>
      </c>
      <c r="Q108" s="43" t="s">
        <v>18</v>
      </c>
      <c r="R108" s="44" t="s">
        <v>17</v>
      </c>
      <c r="S108" s="43" t="s">
        <v>37</v>
      </c>
      <c r="T108" s="44" t="s">
        <v>17</v>
      </c>
      <c r="U108" s="43" t="s">
        <v>30</v>
      </c>
      <c r="V108" s="44" t="s">
        <v>17</v>
      </c>
      <c r="W108" s="43" t="s">
        <v>34</v>
      </c>
      <c r="X108" s="37" t="s">
        <v>230</v>
      </c>
    </row>
    <row r="109" ht="28.2" customHeight="1" spans="1:24">
      <c r="A109" s="28">
        <f>IF(B109="","",ROW()-COUNTBLANK($B$4:B109)-3)</f>
        <v>106</v>
      </c>
      <c r="B109" s="28" t="str">
        <f>'web survey'!C107</f>
        <v>FU-Z1-Eng</v>
      </c>
      <c r="C109" s="29" t="str">
        <f>'web survey'!AA107</f>
        <v>204472811</v>
      </c>
      <c r="D109" s="30" t="str">
        <f>IF(B109="FU-ACInstall",VLOOKUP(VALUE('web survey'!D107),ref!$B$6:$C$7,2,0)&amp;" ("&amp;'web survey'!D107&amp;")",VLOOKUP(VALUE('web survey'!D107),ref!$E$6:$F$10,2,0)&amp;" ("&amp;'web survey'!D107&amp;")")</f>
        <v>Good (10)</v>
      </c>
      <c r="E109" s="32" t="str">
        <f>'web survey'!S107</f>
        <v/>
      </c>
      <c r="F109" s="30" t="str">
        <f>IF(B109="FU-ACInstall",VLOOKUP(VALUE('web survey'!E107),ref!$B$10:$C$12,2,0)&amp;" ("&amp;'web survey'!E107&amp;")",VLOOKUP(VALUE('web survey'!E107),ref!$E$13:$F$17,2,0)&amp;" ("&amp;'web survey'!E107&amp;")")</f>
        <v>Very Good (10)</v>
      </c>
      <c r="G109" s="32" t="str">
        <f>'web survey'!T107</f>
        <v/>
      </c>
      <c r="H109" s="30" t="str">
        <f>IF(B109="FU-ACInstall",VLOOKUP(VALUE('web survey'!F107),ref!$B$15:$C$17,2,0)&amp;" ("&amp;'web survey'!F107&amp;")",VLOOKUP(VALUE('web survey'!F107),ref!$E$20:$F$21,2,0)&amp;" ("&amp;'web survey'!F107&amp;")")</f>
        <v>Appropriate with SAP / in Warranty (10)</v>
      </c>
      <c r="I109" s="32" t="str">
        <f>'web survey'!U107</f>
        <v/>
      </c>
      <c r="J109" s="30" t="str">
        <f>IF(B109="FU-ACInstall","-",VLOOKUP(VALUE('web survey'!G107),ref!$E$24:$F$26,2,0)&amp;" ("&amp;'web survey'!G107&amp;")")</f>
        <v>Jelas (5)</v>
      </c>
      <c r="K109" s="28" t="str">
        <f>YEAR('web survey'!Z107)&amp;"-"&amp;IF(MONTH('web survey'!Z107)&lt;10,"0"&amp;MONTH('web survey'!Z107),MONTH('web survey'!Z107))&amp;"-"&amp;IF(DAY('web survey'!Z107)&lt;10,"0"&amp;DAY('web survey'!Z107),DAY('web survey'!Z107))&amp;" "&amp;IF(HOUR('web survey'!Z107)&lt;10,"0"&amp;HOUR('web survey'!Z107),HOUR('web survey'!Z107))&amp;":"&amp;IF(MINUTE('web survey'!Z107)&lt;10,"0"&amp;MINUTE('web survey'!Z107),MINUTE('web survey'!Z107))&amp;(":00'")</f>
        <v>2026-06-13 15:55:00'</v>
      </c>
      <c r="N109" s="37">
        <v>106</v>
      </c>
      <c r="O109" s="37" t="s">
        <v>27</v>
      </c>
      <c r="P109" s="38" t="s">
        <v>232</v>
      </c>
      <c r="Q109" s="43" t="s">
        <v>18</v>
      </c>
      <c r="R109" s="44" t="s">
        <v>17</v>
      </c>
      <c r="S109" s="43" t="s">
        <v>37</v>
      </c>
      <c r="T109" s="44" t="s">
        <v>17</v>
      </c>
      <c r="U109" s="43" t="s">
        <v>30</v>
      </c>
      <c r="V109" s="44" t="s">
        <v>17</v>
      </c>
      <c r="W109" s="43" t="s">
        <v>34</v>
      </c>
      <c r="X109" s="37" t="s">
        <v>233</v>
      </c>
    </row>
    <row r="110" ht="28.2" customHeight="1" spans="1:24">
      <c r="A110" s="28">
        <f>IF(B110="","",ROW()-COUNTBLANK($B$4:B110)-3)</f>
        <v>107</v>
      </c>
      <c r="B110" s="28" t="str">
        <f>'web survey'!C108</f>
        <v>FU-Z1-Eng</v>
      </c>
      <c r="C110" s="29" t="str">
        <f>'web survey'!AA108</f>
        <v>204472813</v>
      </c>
      <c r="D110" s="30" t="str">
        <f>IF(B110="FU-ACInstall",VLOOKUP(VALUE('web survey'!D108),ref!$B$6:$C$7,2,0)&amp;" ("&amp;'web survey'!D108&amp;")",VLOOKUP(VALUE('web survey'!D108),ref!$E$6:$F$10,2,0)&amp;" ("&amp;'web survey'!D108&amp;")")</f>
        <v>Good (10)</v>
      </c>
      <c r="E110" s="32" t="str">
        <f>'web survey'!S108</f>
        <v/>
      </c>
      <c r="F110" s="30" t="str">
        <f>IF(B110="FU-ACInstall",VLOOKUP(VALUE('web survey'!E108),ref!$B$10:$C$12,2,0)&amp;" ("&amp;'web survey'!E108&amp;")",VLOOKUP(VALUE('web survey'!E108),ref!$E$13:$F$17,2,0)&amp;" ("&amp;'web survey'!E108&amp;")")</f>
        <v>Very Good (10)</v>
      </c>
      <c r="G110" s="32" t="str">
        <f>'web survey'!T108</f>
        <v/>
      </c>
      <c r="H110" s="30" t="str">
        <f>IF(B110="FU-ACInstall",VLOOKUP(VALUE('web survey'!F108),ref!$B$15:$C$17,2,0)&amp;" ("&amp;'web survey'!F108&amp;")",VLOOKUP(VALUE('web survey'!F108),ref!$E$20:$F$21,2,0)&amp;" ("&amp;'web survey'!F108&amp;")")</f>
        <v>Appropriate with SAP / in Warranty (10)</v>
      </c>
      <c r="I110" s="32" t="str">
        <f>'web survey'!U108</f>
        <v/>
      </c>
      <c r="J110" s="30" t="str">
        <f>IF(B110="FU-ACInstall","-",VLOOKUP(VALUE('web survey'!G108),ref!$E$24:$F$26,2,0)&amp;" ("&amp;'web survey'!G108&amp;")")</f>
        <v>Jelas (5)</v>
      </c>
      <c r="K110" s="28" t="str">
        <f>YEAR('web survey'!Z108)&amp;"-"&amp;IF(MONTH('web survey'!Z108)&lt;10,"0"&amp;MONTH('web survey'!Z108),MONTH('web survey'!Z108))&amp;"-"&amp;IF(DAY('web survey'!Z108)&lt;10,"0"&amp;DAY('web survey'!Z108),DAY('web survey'!Z108))&amp;" "&amp;IF(HOUR('web survey'!Z108)&lt;10,"0"&amp;HOUR('web survey'!Z108),HOUR('web survey'!Z108))&amp;":"&amp;IF(MINUTE('web survey'!Z108)&lt;10,"0"&amp;MINUTE('web survey'!Z108),MINUTE('web survey'!Z108))&amp;(":00'")</f>
        <v>2026-06-13 15:55:00'</v>
      </c>
      <c r="N110" s="37">
        <v>107</v>
      </c>
      <c r="O110" s="37" t="s">
        <v>27</v>
      </c>
      <c r="P110" s="38" t="s">
        <v>234</v>
      </c>
      <c r="Q110" s="43" t="s">
        <v>18</v>
      </c>
      <c r="R110" s="44" t="s">
        <v>17</v>
      </c>
      <c r="S110" s="43" t="s">
        <v>37</v>
      </c>
      <c r="T110" s="44" t="s">
        <v>17</v>
      </c>
      <c r="U110" s="43" t="s">
        <v>30</v>
      </c>
      <c r="V110" s="44" t="s">
        <v>17</v>
      </c>
      <c r="W110" s="43" t="s">
        <v>34</v>
      </c>
      <c r="X110" s="37" t="s">
        <v>233</v>
      </c>
    </row>
    <row r="111" ht="28.2" customHeight="1" spans="1:24">
      <c r="A111" s="28">
        <f>IF(B111="","",ROW()-COUNTBLANK($B$4:B111)-3)</f>
        <v>108</v>
      </c>
      <c r="B111" s="28" t="str">
        <f>'web survey'!C109</f>
        <v>FU-Z1-Eng</v>
      </c>
      <c r="C111" s="29" t="str">
        <f>'web survey'!AA109</f>
        <v>204473330</v>
      </c>
      <c r="D111" s="30" t="str">
        <f>IF(B111="FU-ACInstall",VLOOKUP(VALUE('web survey'!D109),ref!$B$6:$C$7,2,0)&amp;" ("&amp;'web survey'!D109&amp;")",VLOOKUP(VALUE('web survey'!D109),ref!$E$6:$F$10,2,0)&amp;" ("&amp;'web survey'!D109&amp;")")</f>
        <v>Good (10)</v>
      </c>
      <c r="E111" s="32" t="str">
        <f>'web survey'!S109</f>
        <v/>
      </c>
      <c r="F111" s="30" t="str">
        <f>IF(B111="FU-ACInstall",VLOOKUP(VALUE('web survey'!E109),ref!$B$10:$C$12,2,0)&amp;" ("&amp;'web survey'!E109&amp;")",VLOOKUP(VALUE('web survey'!E109),ref!$E$13:$F$17,2,0)&amp;" ("&amp;'web survey'!E109&amp;")")</f>
        <v>Very Good (10)</v>
      </c>
      <c r="G111" s="32" t="str">
        <f>'web survey'!T109</f>
        <v/>
      </c>
      <c r="H111" s="30" t="str">
        <f>IF(B111="FU-ACInstall",VLOOKUP(VALUE('web survey'!F109),ref!$B$15:$C$17,2,0)&amp;" ("&amp;'web survey'!F109&amp;")",VLOOKUP(VALUE('web survey'!F109),ref!$E$20:$F$21,2,0)&amp;" ("&amp;'web survey'!F109&amp;")")</f>
        <v>Appropriate with SAP / in Warranty (10)</v>
      </c>
      <c r="I111" s="32" t="str">
        <f>'web survey'!U109</f>
        <v/>
      </c>
      <c r="J111" s="30" t="str">
        <f>IF(B111="FU-ACInstall","-",VLOOKUP(VALUE('web survey'!G109),ref!$E$24:$F$26,2,0)&amp;" ("&amp;'web survey'!G109&amp;")")</f>
        <v>Jelas (5)</v>
      </c>
      <c r="K111" s="28" t="str">
        <f>YEAR('web survey'!Z109)&amp;"-"&amp;IF(MONTH('web survey'!Z109)&lt;10,"0"&amp;MONTH('web survey'!Z109),MONTH('web survey'!Z109))&amp;"-"&amp;IF(DAY('web survey'!Z109)&lt;10,"0"&amp;DAY('web survey'!Z109),DAY('web survey'!Z109))&amp;" "&amp;IF(HOUR('web survey'!Z109)&lt;10,"0"&amp;HOUR('web survey'!Z109),HOUR('web survey'!Z109))&amp;":"&amp;IF(MINUTE('web survey'!Z109)&lt;10,"0"&amp;MINUTE('web survey'!Z109),MINUTE('web survey'!Z109))&amp;(":00'")</f>
        <v>2026-06-13 15:44:00'</v>
      </c>
      <c r="N111" s="37">
        <v>108</v>
      </c>
      <c r="O111" s="37" t="s">
        <v>27</v>
      </c>
      <c r="P111" s="38" t="s">
        <v>235</v>
      </c>
      <c r="Q111" s="43" t="s">
        <v>18</v>
      </c>
      <c r="R111" s="44" t="s">
        <v>17</v>
      </c>
      <c r="S111" s="43" t="s">
        <v>37</v>
      </c>
      <c r="T111" s="44" t="s">
        <v>17</v>
      </c>
      <c r="U111" s="43" t="s">
        <v>30</v>
      </c>
      <c r="V111" s="44" t="s">
        <v>17</v>
      </c>
      <c r="W111" s="43" t="s">
        <v>34</v>
      </c>
      <c r="X111" s="37" t="s">
        <v>236</v>
      </c>
    </row>
    <row r="112" ht="28.2" customHeight="1" spans="1:24">
      <c r="A112" s="28">
        <f>IF(B112="","",ROW()-COUNTBLANK($B$4:B112)-3)</f>
        <v>109</v>
      </c>
      <c r="B112" s="28" t="str">
        <f>'web survey'!C110</f>
        <v>FU-Z1-Eng</v>
      </c>
      <c r="C112" s="29" t="str">
        <f>'web survey'!AA110</f>
        <v>1105A2603376</v>
      </c>
      <c r="D112" s="30" t="str">
        <f>IF(B112="FU-ACInstall",VLOOKUP(VALUE('web survey'!D110),ref!$B$6:$C$7,2,0)&amp;" ("&amp;'web survey'!D110&amp;")",VLOOKUP(VALUE('web survey'!D110),ref!$E$6:$F$10,2,0)&amp;" ("&amp;'web survey'!D110&amp;")")</f>
        <v>Good (10)</v>
      </c>
      <c r="E112" s="32" t="str">
        <f>'web survey'!S110</f>
        <v/>
      </c>
      <c r="F112" s="30" t="str">
        <f>IF(B112="FU-ACInstall",VLOOKUP(VALUE('web survey'!E110),ref!$B$10:$C$12,2,0)&amp;" ("&amp;'web survey'!E110&amp;")",VLOOKUP(VALUE('web survey'!E110),ref!$E$13:$F$17,2,0)&amp;" ("&amp;'web survey'!E110&amp;")")</f>
        <v>Very Good (10)</v>
      </c>
      <c r="G112" s="32" t="str">
        <f>'web survey'!T110</f>
        <v/>
      </c>
      <c r="H112" s="30" t="str">
        <f>IF(B112="FU-ACInstall",VLOOKUP(VALUE('web survey'!F110),ref!$B$15:$C$17,2,0)&amp;" ("&amp;'web survey'!F110&amp;")",VLOOKUP(VALUE('web survey'!F110),ref!$E$20:$F$21,2,0)&amp;" ("&amp;'web survey'!F110&amp;")")</f>
        <v>Appropriate with SAP / in Warranty (10)</v>
      </c>
      <c r="I112" s="32" t="str">
        <f>'web survey'!U110</f>
        <v/>
      </c>
      <c r="J112" s="30" t="str">
        <f>IF(B112="FU-ACInstall","-",VLOOKUP(VALUE('web survey'!G110),ref!$E$24:$F$26,2,0)&amp;" ("&amp;'web survey'!G110&amp;")")</f>
        <v>Jelas (5)</v>
      </c>
      <c r="K112" s="28" t="str">
        <f>YEAR('web survey'!Z110)&amp;"-"&amp;IF(MONTH('web survey'!Z110)&lt;10,"0"&amp;MONTH('web survey'!Z110),MONTH('web survey'!Z110))&amp;"-"&amp;IF(DAY('web survey'!Z110)&lt;10,"0"&amp;DAY('web survey'!Z110),DAY('web survey'!Z110))&amp;" "&amp;IF(HOUR('web survey'!Z110)&lt;10,"0"&amp;HOUR('web survey'!Z110),HOUR('web survey'!Z110))&amp;":"&amp;IF(MINUTE('web survey'!Z110)&lt;10,"0"&amp;MINUTE('web survey'!Z110),MINUTE('web survey'!Z110))&amp;(":00'")</f>
        <v>2026-06-13 15:41:00'</v>
      </c>
      <c r="N112" s="37">
        <v>109</v>
      </c>
      <c r="O112" s="37" t="s">
        <v>27</v>
      </c>
      <c r="P112" s="38" t="s">
        <v>237</v>
      </c>
      <c r="Q112" s="43" t="s">
        <v>18</v>
      </c>
      <c r="R112" s="44" t="s">
        <v>17</v>
      </c>
      <c r="S112" s="43" t="s">
        <v>37</v>
      </c>
      <c r="T112" s="44" t="s">
        <v>17</v>
      </c>
      <c r="U112" s="43" t="s">
        <v>30</v>
      </c>
      <c r="V112" s="44" t="s">
        <v>17</v>
      </c>
      <c r="W112" s="43" t="s">
        <v>34</v>
      </c>
      <c r="X112" s="37" t="s">
        <v>238</v>
      </c>
    </row>
    <row r="113" ht="28.2" customHeight="1" spans="1:24">
      <c r="A113" s="28">
        <f>IF(B113="","",ROW()-COUNTBLANK($B$4:B113)-3)</f>
        <v>110</v>
      </c>
      <c r="B113" s="28" t="str">
        <f>'web survey'!C111</f>
        <v>FU-Z1-Eng</v>
      </c>
      <c r="C113" s="29" t="str">
        <f>'web survey'!AA111</f>
        <v>204470085</v>
      </c>
      <c r="D113" s="30" t="str">
        <f>IF(B113="FU-ACInstall",VLOOKUP(VALUE('web survey'!D111),ref!$B$6:$C$7,2,0)&amp;" ("&amp;'web survey'!D111&amp;")",VLOOKUP(VALUE('web survey'!D111),ref!$E$6:$F$10,2,0)&amp;" ("&amp;'web survey'!D111&amp;")")</f>
        <v>Good (10)</v>
      </c>
      <c r="E113" s="32" t="str">
        <f>'web survey'!S111</f>
        <v/>
      </c>
      <c r="F113" s="30" t="str">
        <f>IF(B113="FU-ACInstall",VLOOKUP(VALUE('web survey'!E111),ref!$B$10:$C$12,2,0)&amp;" ("&amp;'web survey'!E111&amp;")",VLOOKUP(VALUE('web survey'!E111),ref!$E$13:$F$17,2,0)&amp;" ("&amp;'web survey'!E111&amp;")")</f>
        <v>Very Good (10)</v>
      </c>
      <c r="G113" s="32" t="str">
        <f>'web survey'!T111</f>
        <v/>
      </c>
      <c r="H113" s="30" t="str">
        <f>IF(B113="FU-ACInstall",VLOOKUP(VALUE('web survey'!F111),ref!$B$15:$C$17,2,0)&amp;" ("&amp;'web survey'!F111&amp;")",VLOOKUP(VALUE('web survey'!F111),ref!$E$20:$F$21,2,0)&amp;" ("&amp;'web survey'!F111&amp;")")</f>
        <v>Appropriate with SAP / in Warranty (10)</v>
      </c>
      <c r="I113" s="32" t="str">
        <f>'web survey'!U111</f>
        <v/>
      </c>
      <c r="J113" s="30" t="str">
        <f>IF(B113="FU-ACInstall","-",VLOOKUP(VALUE('web survey'!G111),ref!$E$24:$F$26,2,0)&amp;" ("&amp;'web survey'!G111&amp;")")</f>
        <v>Jelas (5)</v>
      </c>
      <c r="K113" s="28" t="str">
        <f>YEAR('web survey'!Z111)&amp;"-"&amp;IF(MONTH('web survey'!Z111)&lt;10,"0"&amp;MONTH('web survey'!Z111),MONTH('web survey'!Z111))&amp;"-"&amp;IF(DAY('web survey'!Z111)&lt;10,"0"&amp;DAY('web survey'!Z111),DAY('web survey'!Z111))&amp;" "&amp;IF(HOUR('web survey'!Z111)&lt;10,"0"&amp;HOUR('web survey'!Z111),HOUR('web survey'!Z111))&amp;":"&amp;IF(MINUTE('web survey'!Z111)&lt;10,"0"&amp;MINUTE('web survey'!Z111),MINUTE('web survey'!Z111))&amp;(":00'")</f>
        <v>2026-06-13 15:37:00'</v>
      </c>
      <c r="N113" s="37">
        <v>110</v>
      </c>
      <c r="O113" s="37" t="s">
        <v>27</v>
      </c>
      <c r="P113" s="38" t="s">
        <v>239</v>
      </c>
      <c r="Q113" s="43" t="s">
        <v>18</v>
      </c>
      <c r="R113" s="44" t="s">
        <v>17</v>
      </c>
      <c r="S113" s="43" t="s">
        <v>37</v>
      </c>
      <c r="T113" s="44" t="s">
        <v>17</v>
      </c>
      <c r="U113" s="43" t="s">
        <v>30</v>
      </c>
      <c r="V113" s="44" t="s">
        <v>17</v>
      </c>
      <c r="W113" s="43" t="s">
        <v>34</v>
      </c>
      <c r="X113" s="37" t="s">
        <v>240</v>
      </c>
    </row>
    <row r="114" ht="28.2" customHeight="1" spans="1:24">
      <c r="A114" s="28">
        <f>IF(B114="","",ROW()-COUNTBLANK($B$4:B114)-3)</f>
        <v>111</v>
      </c>
      <c r="B114" s="28" t="str">
        <f>'web survey'!C112</f>
        <v>FU-Z1-Eng</v>
      </c>
      <c r="C114" s="29" t="str">
        <f>'web survey'!AA112</f>
        <v>204473327</v>
      </c>
      <c r="D114" s="30" t="str">
        <f>IF(B114="FU-ACInstall",VLOOKUP(VALUE('web survey'!D112),ref!$B$6:$C$7,2,0)&amp;" ("&amp;'web survey'!D112&amp;")",VLOOKUP(VALUE('web survey'!D112),ref!$E$6:$F$10,2,0)&amp;" ("&amp;'web survey'!D112&amp;")")</f>
        <v>Good (10)</v>
      </c>
      <c r="E114" s="32" t="str">
        <f>'web survey'!S112</f>
        <v/>
      </c>
      <c r="F114" s="30" t="str">
        <f>IF(B114="FU-ACInstall",VLOOKUP(VALUE('web survey'!E112),ref!$B$10:$C$12,2,0)&amp;" ("&amp;'web survey'!E112&amp;")",VLOOKUP(VALUE('web survey'!E112),ref!$E$13:$F$17,2,0)&amp;" ("&amp;'web survey'!E112&amp;")")</f>
        <v>Good (5)</v>
      </c>
      <c r="G114" s="32" t="str">
        <f>'web survey'!T112</f>
        <v/>
      </c>
      <c r="H114" s="30" t="str">
        <f>IF(B114="FU-ACInstall",VLOOKUP(VALUE('web survey'!F112),ref!$B$15:$C$17,2,0)&amp;" ("&amp;'web survey'!F112&amp;")",VLOOKUP(VALUE('web survey'!F112),ref!$E$20:$F$21,2,0)&amp;" ("&amp;'web survey'!F112&amp;")")</f>
        <v>Appropriate with SAP / in Warranty (10)</v>
      </c>
      <c r="I114" s="32" t="str">
        <f>'web survey'!U112</f>
        <v/>
      </c>
      <c r="J114" s="30" t="str">
        <f>IF(B114="FU-ACInstall","-",VLOOKUP(VALUE('web survey'!G112),ref!$E$24:$F$26,2,0)&amp;" ("&amp;'web survey'!G112&amp;")")</f>
        <v>Jelas (5)</v>
      </c>
      <c r="K114" s="28" t="str">
        <f>YEAR('web survey'!Z112)&amp;"-"&amp;IF(MONTH('web survey'!Z112)&lt;10,"0"&amp;MONTH('web survey'!Z112),MONTH('web survey'!Z112))&amp;"-"&amp;IF(DAY('web survey'!Z112)&lt;10,"0"&amp;DAY('web survey'!Z112),DAY('web survey'!Z112))&amp;" "&amp;IF(HOUR('web survey'!Z112)&lt;10,"0"&amp;HOUR('web survey'!Z112),HOUR('web survey'!Z112))&amp;":"&amp;IF(MINUTE('web survey'!Z112)&lt;10,"0"&amp;MINUTE('web survey'!Z112),MINUTE('web survey'!Z112))&amp;(":00'")</f>
        <v>2026-06-13 15:37:00'</v>
      </c>
      <c r="N114" s="37">
        <v>111</v>
      </c>
      <c r="O114" s="37" t="s">
        <v>27</v>
      </c>
      <c r="P114" s="38" t="s">
        <v>241</v>
      </c>
      <c r="Q114" s="43" t="s">
        <v>18</v>
      </c>
      <c r="R114" s="44" t="s">
        <v>17</v>
      </c>
      <c r="S114" s="43" t="s">
        <v>29</v>
      </c>
      <c r="T114" s="44" t="s">
        <v>17</v>
      </c>
      <c r="U114" s="43" t="s">
        <v>30</v>
      </c>
      <c r="V114" s="44" t="s">
        <v>17</v>
      </c>
      <c r="W114" s="43" t="s">
        <v>34</v>
      </c>
      <c r="X114" s="37" t="s">
        <v>240</v>
      </c>
    </row>
    <row r="115" ht="28.2" customHeight="1" spans="1:24">
      <c r="A115" s="28">
        <f>IF(B115="","",ROW()-COUNTBLANK($B$4:B115)-3)</f>
        <v>112</v>
      </c>
      <c r="B115" s="28" t="str">
        <f>'web survey'!C113</f>
        <v>FU-Z1-Eng</v>
      </c>
      <c r="C115" s="29" t="str">
        <f>'web survey'!AA113</f>
        <v>204472517</v>
      </c>
      <c r="D115" s="30" t="str">
        <f>IF(B115="FU-ACInstall",VLOOKUP(VALUE('web survey'!D113),ref!$B$6:$C$7,2,0)&amp;" ("&amp;'web survey'!D113&amp;")",VLOOKUP(VALUE('web survey'!D113),ref!$E$6:$F$10,2,0)&amp;" ("&amp;'web survey'!D113&amp;")")</f>
        <v>Good (10)</v>
      </c>
      <c r="E115" s="32" t="str">
        <f>'web survey'!S113</f>
        <v/>
      </c>
      <c r="F115" s="30" t="str">
        <f>IF(B115="FU-ACInstall",VLOOKUP(VALUE('web survey'!E113),ref!$B$10:$C$12,2,0)&amp;" ("&amp;'web survey'!E113&amp;")",VLOOKUP(VALUE('web survey'!E113),ref!$E$13:$F$17,2,0)&amp;" ("&amp;'web survey'!E113&amp;")")</f>
        <v>Very Good (10)</v>
      </c>
      <c r="G115" s="32" t="str">
        <f>'web survey'!T113</f>
        <v/>
      </c>
      <c r="H115" s="30" t="str">
        <f>IF(B115="FU-ACInstall",VLOOKUP(VALUE('web survey'!F113),ref!$B$15:$C$17,2,0)&amp;" ("&amp;'web survey'!F113&amp;")",VLOOKUP(VALUE('web survey'!F113),ref!$E$20:$F$21,2,0)&amp;" ("&amp;'web survey'!F113&amp;")")</f>
        <v>Appropriate with SAP / in Warranty (10)</v>
      </c>
      <c r="I115" s="32" t="str">
        <f>'web survey'!U113</f>
        <v/>
      </c>
      <c r="J115" s="30" t="str">
        <f>IF(B115="FU-ACInstall","-",VLOOKUP(VALUE('web survey'!G113),ref!$E$24:$F$26,2,0)&amp;" ("&amp;'web survey'!G113&amp;")")</f>
        <v>Jelas (5)</v>
      </c>
      <c r="K115" s="28" t="str">
        <f>YEAR('web survey'!Z113)&amp;"-"&amp;IF(MONTH('web survey'!Z113)&lt;10,"0"&amp;MONTH('web survey'!Z113),MONTH('web survey'!Z113))&amp;"-"&amp;IF(DAY('web survey'!Z113)&lt;10,"0"&amp;DAY('web survey'!Z113),DAY('web survey'!Z113))&amp;" "&amp;IF(HOUR('web survey'!Z113)&lt;10,"0"&amp;HOUR('web survey'!Z113),HOUR('web survey'!Z113))&amp;":"&amp;IF(MINUTE('web survey'!Z113)&lt;10,"0"&amp;MINUTE('web survey'!Z113),MINUTE('web survey'!Z113))&amp;(":00'")</f>
        <v>2026-06-13 15:35:00'</v>
      </c>
      <c r="N115" s="37">
        <v>112</v>
      </c>
      <c r="O115" s="37" t="s">
        <v>27</v>
      </c>
      <c r="P115" s="38" t="s">
        <v>242</v>
      </c>
      <c r="Q115" s="43" t="s">
        <v>18</v>
      </c>
      <c r="R115" s="44" t="s">
        <v>17</v>
      </c>
      <c r="S115" s="43" t="s">
        <v>37</v>
      </c>
      <c r="T115" s="44" t="s">
        <v>17</v>
      </c>
      <c r="U115" s="43" t="s">
        <v>30</v>
      </c>
      <c r="V115" s="44" t="s">
        <v>17</v>
      </c>
      <c r="W115" s="43" t="s">
        <v>34</v>
      </c>
      <c r="X115" s="37" t="s">
        <v>243</v>
      </c>
    </row>
    <row r="116" ht="28.2" customHeight="1" spans="1:24">
      <c r="A116" s="28">
        <f>IF(B116="","",ROW()-COUNTBLANK($B$4:B116)-3)</f>
        <v>113</v>
      </c>
      <c r="B116" s="28" t="str">
        <f>'web survey'!C114</f>
        <v>FU-Z1-Eng</v>
      </c>
      <c r="C116" s="29" t="str">
        <f>'web survey'!AA114</f>
        <v>204473498</v>
      </c>
      <c r="D116" s="30" t="str">
        <f>IF(B116="FU-ACInstall",VLOOKUP(VALUE('web survey'!D114),ref!$B$6:$C$7,2,0)&amp;" ("&amp;'web survey'!D114&amp;")",VLOOKUP(VALUE('web survey'!D114),ref!$E$6:$F$10,2,0)&amp;" ("&amp;'web survey'!D114&amp;")")</f>
        <v>Not Good (-10)</v>
      </c>
      <c r="E116" s="32" t="str">
        <f>'web survey'!S114</f>
        <v/>
      </c>
      <c r="F116" s="30" t="str">
        <f>IF(B116="FU-ACInstall",VLOOKUP(VALUE('web survey'!E114),ref!$B$10:$C$12,2,0)&amp;" ("&amp;'web survey'!E114&amp;")",VLOOKUP(VALUE('web survey'!E114),ref!$E$13:$F$17,2,0)&amp;" ("&amp;'web survey'!E114&amp;")")</f>
        <v>Good (5)</v>
      </c>
      <c r="G116" s="32" t="str">
        <f>'web survey'!T114</f>
        <v/>
      </c>
      <c r="H116" s="30" t="str">
        <f>IF(B116="FU-ACInstall",VLOOKUP(VALUE('web survey'!F114),ref!$B$15:$C$17,2,0)&amp;" ("&amp;'web survey'!F114&amp;")",VLOOKUP(VALUE('web survey'!F114),ref!$E$20:$F$21,2,0)&amp;" ("&amp;'web survey'!F114&amp;")")</f>
        <v>Appropriate with SAP / in Warranty (10)</v>
      </c>
      <c r="I116" s="32" t="str">
        <f>'web survey'!U114</f>
        <v/>
      </c>
      <c r="J116" s="30" t="str">
        <f>IF(B116="FU-ACInstall","-",VLOOKUP(VALUE('web survey'!G114),ref!$E$24:$F$26,2,0)&amp;" ("&amp;'web survey'!G114&amp;")")</f>
        <v>Jelas (5)</v>
      </c>
      <c r="K116" s="28" t="str">
        <f>YEAR('web survey'!Z114)&amp;"-"&amp;IF(MONTH('web survey'!Z114)&lt;10,"0"&amp;MONTH('web survey'!Z114),MONTH('web survey'!Z114))&amp;"-"&amp;IF(DAY('web survey'!Z114)&lt;10,"0"&amp;DAY('web survey'!Z114),DAY('web survey'!Z114))&amp;" "&amp;IF(HOUR('web survey'!Z114)&lt;10,"0"&amp;HOUR('web survey'!Z114),HOUR('web survey'!Z114))&amp;":"&amp;IF(MINUTE('web survey'!Z114)&lt;10,"0"&amp;MINUTE('web survey'!Z114),MINUTE('web survey'!Z114))&amp;(":00'")</f>
        <v>2026-06-13 15:32:00'</v>
      </c>
      <c r="N116" s="37">
        <v>113</v>
      </c>
      <c r="O116" s="37" t="s">
        <v>27</v>
      </c>
      <c r="P116" s="38" t="s">
        <v>244</v>
      </c>
      <c r="Q116" s="43" t="s">
        <v>33</v>
      </c>
      <c r="R116" s="44" t="s">
        <v>17</v>
      </c>
      <c r="S116" s="43" t="s">
        <v>29</v>
      </c>
      <c r="T116" s="44" t="s">
        <v>17</v>
      </c>
      <c r="U116" s="43" t="s">
        <v>30</v>
      </c>
      <c r="V116" s="44" t="s">
        <v>17</v>
      </c>
      <c r="W116" s="43" t="s">
        <v>34</v>
      </c>
      <c r="X116" s="37" t="s">
        <v>245</v>
      </c>
    </row>
    <row r="117" ht="28.2" customHeight="1" spans="1:24">
      <c r="A117" s="28">
        <f>IF(B117="","",ROW()-COUNTBLANK($B$4:B117)-3)</f>
        <v>114</v>
      </c>
      <c r="B117" s="28" t="str">
        <f>'web survey'!C115</f>
        <v>FU-Z1-Eng</v>
      </c>
      <c r="C117" s="29" t="str">
        <f>'web survey'!AA115</f>
        <v>1214A2603541</v>
      </c>
      <c r="D117" s="30" t="str">
        <f>IF(B117="FU-ACInstall",VLOOKUP(VALUE('web survey'!D115),ref!$B$6:$C$7,2,0)&amp;" ("&amp;'web survey'!D115&amp;")",VLOOKUP(VALUE('web survey'!D115),ref!$E$6:$F$10,2,0)&amp;" ("&amp;'web survey'!D115&amp;")")</f>
        <v>Good (10)</v>
      </c>
      <c r="E117" s="32" t="str">
        <f>'web survey'!S115</f>
        <v/>
      </c>
      <c r="F117" s="30" t="str">
        <f>IF(B117="FU-ACInstall",VLOOKUP(VALUE('web survey'!E115),ref!$B$10:$C$12,2,0)&amp;" ("&amp;'web survey'!E115&amp;")",VLOOKUP(VALUE('web survey'!E115),ref!$E$13:$F$17,2,0)&amp;" ("&amp;'web survey'!E115&amp;")")</f>
        <v>Average (3)</v>
      </c>
      <c r="G117" s="32" t="str">
        <f>'web survey'!T115</f>
        <v/>
      </c>
      <c r="H117" s="30" t="str">
        <f>IF(B117="FU-ACInstall",VLOOKUP(VALUE('web survey'!F115),ref!$B$15:$C$17,2,0)&amp;" ("&amp;'web survey'!F115&amp;")",VLOOKUP(VALUE('web survey'!F115),ref!$E$20:$F$21,2,0)&amp;" ("&amp;'web survey'!F115&amp;")")</f>
        <v>Appropriate with SAP / in Warranty (10)</v>
      </c>
      <c r="I117" s="32" t="str">
        <f>'web survey'!U115</f>
        <v/>
      </c>
      <c r="J117" s="30" t="str">
        <f>IF(B117="FU-ACInstall","-",VLOOKUP(VALUE('web survey'!G115),ref!$E$24:$F$26,2,0)&amp;" ("&amp;'web survey'!G115&amp;")")</f>
        <v>Jelas (5)</v>
      </c>
      <c r="K117" s="28" t="str">
        <f>YEAR('web survey'!Z115)&amp;"-"&amp;IF(MONTH('web survey'!Z115)&lt;10,"0"&amp;MONTH('web survey'!Z115),MONTH('web survey'!Z115))&amp;"-"&amp;IF(DAY('web survey'!Z115)&lt;10,"0"&amp;DAY('web survey'!Z115),DAY('web survey'!Z115))&amp;" "&amp;IF(HOUR('web survey'!Z115)&lt;10,"0"&amp;HOUR('web survey'!Z115),HOUR('web survey'!Z115))&amp;":"&amp;IF(MINUTE('web survey'!Z115)&lt;10,"0"&amp;MINUTE('web survey'!Z115),MINUTE('web survey'!Z115))&amp;(":00'")</f>
        <v>2026-06-13 15:30:00'</v>
      </c>
      <c r="N117" s="37">
        <v>114</v>
      </c>
      <c r="O117" s="37" t="s">
        <v>27</v>
      </c>
      <c r="P117" s="38" t="s">
        <v>246</v>
      </c>
      <c r="Q117" s="43" t="s">
        <v>18</v>
      </c>
      <c r="R117" s="44" t="s">
        <v>17</v>
      </c>
      <c r="S117" s="43" t="s">
        <v>204</v>
      </c>
      <c r="T117" s="44" t="s">
        <v>17</v>
      </c>
      <c r="U117" s="43" t="s">
        <v>30</v>
      </c>
      <c r="V117" s="44" t="s">
        <v>17</v>
      </c>
      <c r="W117" s="43" t="s">
        <v>34</v>
      </c>
      <c r="X117" s="37" t="s">
        <v>247</v>
      </c>
    </row>
    <row r="118" ht="28.2" customHeight="1" spans="1:24">
      <c r="A118" s="28">
        <f>IF(B118="","",ROW()-COUNTBLANK($B$4:B118)-3)</f>
        <v>115</v>
      </c>
      <c r="B118" s="28" t="str">
        <f>'web survey'!C116</f>
        <v>FU-Z1-Eng</v>
      </c>
      <c r="C118" s="29" t="str">
        <f>'web survey'!AA116</f>
        <v>1033A2601343</v>
      </c>
      <c r="D118" s="30" t="str">
        <f>IF(B118="FU-ACInstall",VLOOKUP(VALUE('web survey'!D116),ref!$B$6:$C$7,2,0)&amp;" ("&amp;'web survey'!D116&amp;")",VLOOKUP(VALUE('web survey'!D116),ref!$E$6:$F$10,2,0)&amp;" ("&amp;'web survey'!D116&amp;")")</f>
        <v>Good (10)</v>
      </c>
      <c r="E118" s="32" t="str">
        <f>'web survey'!S116</f>
        <v/>
      </c>
      <c r="F118" s="30" t="str">
        <f>IF(B118="FU-ACInstall",VLOOKUP(VALUE('web survey'!E116),ref!$B$10:$C$12,2,0)&amp;" ("&amp;'web survey'!E116&amp;")",VLOOKUP(VALUE('web survey'!E116),ref!$E$13:$F$17,2,0)&amp;" ("&amp;'web survey'!E116&amp;")")</f>
        <v>Very Good (10)</v>
      </c>
      <c r="G118" s="32" t="str">
        <f>'web survey'!T116</f>
        <v/>
      </c>
      <c r="H118" s="30" t="str">
        <f>IF(B118="FU-ACInstall",VLOOKUP(VALUE('web survey'!F116),ref!$B$15:$C$17,2,0)&amp;" ("&amp;'web survey'!F116&amp;")",VLOOKUP(VALUE('web survey'!F116),ref!$E$20:$F$21,2,0)&amp;" ("&amp;'web survey'!F116&amp;")")</f>
        <v>Appropriate with SAP / in Warranty (10)</v>
      </c>
      <c r="I118" s="32" t="str">
        <f>'web survey'!U116</f>
        <v/>
      </c>
      <c r="J118" s="30" t="str">
        <f>IF(B118="FU-ACInstall","-",VLOOKUP(VALUE('web survey'!G116),ref!$E$24:$F$26,2,0)&amp;" ("&amp;'web survey'!G116&amp;")")</f>
        <v>Jelas (5)</v>
      </c>
      <c r="K118" s="28" t="str">
        <f>YEAR('web survey'!Z116)&amp;"-"&amp;IF(MONTH('web survey'!Z116)&lt;10,"0"&amp;MONTH('web survey'!Z116),MONTH('web survey'!Z116))&amp;"-"&amp;IF(DAY('web survey'!Z116)&lt;10,"0"&amp;DAY('web survey'!Z116),DAY('web survey'!Z116))&amp;" "&amp;IF(HOUR('web survey'!Z116)&lt;10,"0"&amp;HOUR('web survey'!Z116),HOUR('web survey'!Z116))&amp;":"&amp;IF(MINUTE('web survey'!Z116)&lt;10,"0"&amp;MINUTE('web survey'!Z116),MINUTE('web survey'!Z116))&amp;(":00'")</f>
        <v>2026-06-13 15:30:00'</v>
      </c>
      <c r="N118" s="37">
        <v>115</v>
      </c>
      <c r="O118" s="37" t="s">
        <v>27</v>
      </c>
      <c r="P118" s="38" t="s">
        <v>248</v>
      </c>
      <c r="Q118" s="43" t="s">
        <v>18</v>
      </c>
      <c r="R118" s="44" t="s">
        <v>17</v>
      </c>
      <c r="S118" s="43" t="s">
        <v>37</v>
      </c>
      <c r="T118" s="44" t="s">
        <v>17</v>
      </c>
      <c r="U118" s="43" t="s">
        <v>30</v>
      </c>
      <c r="V118" s="44" t="s">
        <v>17</v>
      </c>
      <c r="W118" s="43" t="s">
        <v>34</v>
      </c>
      <c r="X118" s="37" t="s">
        <v>247</v>
      </c>
    </row>
    <row r="119" ht="28.2" customHeight="1" spans="1:24">
      <c r="A119" s="28">
        <f>IF(B119="","",ROW()-COUNTBLANK($B$4:B119)-3)</f>
        <v>116</v>
      </c>
      <c r="B119" s="28" t="str">
        <f>'web survey'!C117</f>
        <v>FU-Z1-Eng</v>
      </c>
      <c r="C119" s="29" t="str">
        <f>'web survey'!AA117</f>
        <v>204475155</v>
      </c>
      <c r="D119" s="30" t="str">
        <f>IF(B119="FU-ACInstall",VLOOKUP(VALUE('web survey'!D117),ref!$B$6:$C$7,2,0)&amp;" ("&amp;'web survey'!D117&amp;")",VLOOKUP(VALUE('web survey'!D117),ref!$E$6:$F$10,2,0)&amp;" ("&amp;'web survey'!D117&amp;")")</f>
        <v>Good (10)</v>
      </c>
      <c r="E119" s="32" t="str">
        <f>'web survey'!S117</f>
        <v/>
      </c>
      <c r="F119" s="30" t="str">
        <f>IF(B119="FU-ACInstall",VLOOKUP(VALUE('web survey'!E117),ref!$B$10:$C$12,2,0)&amp;" ("&amp;'web survey'!E117&amp;")",VLOOKUP(VALUE('web survey'!E117),ref!$E$13:$F$17,2,0)&amp;" ("&amp;'web survey'!E117&amp;")")</f>
        <v>Very Good (10)</v>
      </c>
      <c r="G119" s="32" t="str">
        <f>'web survey'!T117</f>
        <v/>
      </c>
      <c r="H119" s="30" t="str">
        <f>IF(B119="FU-ACInstall",VLOOKUP(VALUE('web survey'!F117),ref!$B$15:$C$17,2,0)&amp;" ("&amp;'web survey'!F117&amp;")",VLOOKUP(VALUE('web survey'!F117),ref!$E$20:$F$21,2,0)&amp;" ("&amp;'web survey'!F117&amp;")")</f>
        <v>Appropriate with SAP / in Warranty (10)</v>
      </c>
      <c r="I119" s="32" t="str">
        <f>'web survey'!U117</f>
        <v/>
      </c>
      <c r="J119" s="30" t="str">
        <f>IF(B119="FU-ACInstall","-",VLOOKUP(VALUE('web survey'!G117),ref!$E$24:$F$26,2,0)&amp;" ("&amp;'web survey'!G117&amp;")")</f>
        <v>Jelas (5)</v>
      </c>
      <c r="K119" s="28" t="str">
        <f>YEAR('web survey'!Z117)&amp;"-"&amp;IF(MONTH('web survey'!Z117)&lt;10,"0"&amp;MONTH('web survey'!Z117),MONTH('web survey'!Z117))&amp;"-"&amp;IF(DAY('web survey'!Z117)&lt;10,"0"&amp;DAY('web survey'!Z117),DAY('web survey'!Z117))&amp;" "&amp;IF(HOUR('web survey'!Z117)&lt;10,"0"&amp;HOUR('web survey'!Z117),HOUR('web survey'!Z117))&amp;":"&amp;IF(MINUTE('web survey'!Z117)&lt;10,"0"&amp;MINUTE('web survey'!Z117),MINUTE('web survey'!Z117))&amp;(":00'")</f>
        <v>2026-06-13 15:30:00'</v>
      </c>
      <c r="N119" s="37">
        <v>116</v>
      </c>
      <c r="O119" s="37" t="s">
        <v>27</v>
      </c>
      <c r="P119" s="38" t="s">
        <v>249</v>
      </c>
      <c r="Q119" s="43" t="s">
        <v>18</v>
      </c>
      <c r="R119" s="44" t="s">
        <v>17</v>
      </c>
      <c r="S119" s="43" t="s">
        <v>37</v>
      </c>
      <c r="T119" s="44" t="s">
        <v>17</v>
      </c>
      <c r="U119" s="43" t="s">
        <v>30</v>
      </c>
      <c r="V119" s="44" t="s">
        <v>17</v>
      </c>
      <c r="W119" s="43" t="s">
        <v>34</v>
      </c>
      <c r="X119" s="37" t="s">
        <v>247</v>
      </c>
    </row>
    <row r="120" ht="28.2" customHeight="1" spans="1:24">
      <c r="A120" s="28">
        <f>IF(B120="","",ROW()-COUNTBLANK($B$4:B120)-3)</f>
        <v>117</v>
      </c>
      <c r="B120" s="28" t="str">
        <f>'web survey'!C118</f>
        <v>FU-Z1-Eng</v>
      </c>
      <c r="C120" s="29" t="str">
        <f>'web survey'!AA118</f>
        <v>204472265</v>
      </c>
      <c r="D120" s="30" t="str">
        <f>IF(B120="FU-ACInstall",VLOOKUP(VALUE('web survey'!D118),ref!$B$6:$C$7,2,0)&amp;" ("&amp;'web survey'!D118&amp;")",VLOOKUP(VALUE('web survey'!D118),ref!$E$6:$F$10,2,0)&amp;" ("&amp;'web survey'!D118&amp;")")</f>
        <v>Good (10)</v>
      </c>
      <c r="E120" s="32" t="str">
        <f>'web survey'!S118</f>
        <v/>
      </c>
      <c r="F120" s="30" t="str">
        <f>IF(B120="FU-ACInstall",VLOOKUP(VALUE('web survey'!E118),ref!$B$10:$C$12,2,0)&amp;" ("&amp;'web survey'!E118&amp;")",VLOOKUP(VALUE('web survey'!E118),ref!$E$13:$F$17,2,0)&amp;" ("&amp;'web survey'!E118&amp;")")</f>
        <v>Average (3)</v>
      </c>
      <c r="G120" s="32" t="str">
        <f>'web survey'!T118</f>
        <v/>
      </c>
      <c r="H120" s="30" t="str">
        <f>IF(B120="FU-ACInstall",VLOOKUP(VALUE('web survey'!F118),ref!$B$15:$C$17,2,0)&amp;" ("&amp;'web survey'!F118&amp;")",VLOOKUP(VALUE('web survey'!F118),ref!$E$20:$F$21,2,0)&amp;" ("&amp;'web survey'!F118&amp;")")</f>
        <v>Appropriate with SAP / in Warranty (10)</v>
      </c>
      <c r="I120" s="32" t="str">
        <f>'web survey'!U118</f>
        <v/>
      </c>
      <c r="J120" s="30" t="str">
        <f>IF(B120="FU-ACInstall","-",VLOOKUP(VALUE('web survey'!G118),ref!$E$24:$F$26,2,0)&amp;" ("&amp;'web survey'!G118&amp;")")</f>
        <v>Jelas (5)</v>
      </c>
      <c r="K120" s="28" t="str">
        <f>YEAR('web survey'!Z118)&amp;"-"&amp;IF(MONTH('web survey'!Z118)&lt;10,"0"&amp;MONTH('web survey'!Z118),MONTH('web survey'!Z118))&amp;"-"&amp;IF(DAY('web survey'!Z118)&lt;10,"0"&amp;DAY('web survey'!Z118),DAY('web survey'!Z118))&amp;" "&amp;IF(HOUR('web survey'!Z118)&lt;10,"0"&amp;HOUR('web survey'!Z118),HOUR('web survey'!Z118))&amp;":"&amp;IF(MINUTE('web survey'!Z118)&lt;10,"0"&amp;MINUTE('web survey'!Z118),MINUTE('web survey'!Z118))&amp;(":00'")</f>
        <v>2026-06-13 15:28:00'</v>
      </c>
      <c r="N120" s="37">
        <v>117</v>
      </c>
      <c r="O120" s="37" t="s">
        <v>27</v>
      </c>
      <c r="P120" s="38" t="s">
        <v>250</v>
      </c>
      <c r="Q120" s="43" t="s">
        <v>18</v>
      </c>
      <c r="R120" s="44" t="s">
        <v>17</v>
      </c>
      <c r="S120" s="43" t="s">
        <v>204</v>
      </c>
      <c r="T120" s="44" t="s">
        <v>17</v>
      </c>
      <c r="U120" s="43" t="s">
        <v>30</v>
      </c>
      <c r="V120" s="44" t="s">
        <v>17</v>
      </c>
      <c r="W120" s="43" t="s">
        <v>34</v>
      </c>
      <c r="X120" s="37" t="s">
        <v>251</v>
      </c>
    </row>
    <row r="121" ht="28.2" customHeight="1" spans="1:24">
      <c r="A121" s="28">
        <f>IF(B121="","",ROW()-COUNTBLANK($B$4:B121)-3)</f>
        <v>118</v>
      </c>
      <c r="B121" s="28" t="str">
        <f>'web survey'!C119</f>
        <v>FU-Z1-Eng</v>
      </c>
      <c r="C121" s="29" t="str">
        <f>'web survey'!AA119</f>
        <v>204462367</v>
      </c>
      <c r="D121" s="30" t="str">
        <f>IF(B121="FU-ACInstall",VLOOKUP(VALUE('web survey'!D119),ref!$B$6:$C$7,2,0)&amp;" ("&amp;'web survey'!D119&amp;")",VLOOKUP(VALUE('web survey'!D119),ref!$E$6:$F$10,2,0)&amp;" ("&amp;'web survey'!D119&amp;")")</f>
        <v>Good (10)</v>
      </c>
      <c r="E121" s="32" t="str">
        <f>'web survey'!S119</f>
        <v/>
      </c>
      <c r="F121" s="30" t="str">
        <f>IF(B121="FU-ACInstall",VLOOKUP(VALUE('web survey'!E119),ref!$B$10:$C$12,2,0)&amp;" ("&amp;'web survey'!E119&amp;")",VLOOKUP(VALUE('web survey'!E119),ref!$E$13:$F$17,2,0)&amp;" ("&amp;'web survey'!E119&amp;")")</f>
        <v>Very Good (10)</v>
      </c>
      <c r="G121" s="32" t="str">
        <f>'web survey'!T119</f>
        <v/>
      </c>
      <c r="H121" s="30" t="str">
        <f>IF(B121="FU-ACInstall",VLOOKUP(VALUE('web survey'!F119),ref!$B$15:$C$17,2,0)&amp;" ("&amp;'web survey'!F119&amp;")",VLOOKUP(VALUE('web survey'!F119),ref!$E$20:$F$21,2,0)&amp;" ("&amp;'web survey'!F119&amp;")")</f>
        <v>Appropriate with SAP / in Warranty (10)</v>
      </c>
      <c r="I121" s="32" t="str">
        <f>'web survey'!U119</f>
        <v/>
      </c>
      <c r="J121" s="30" t="str">
        <f>IF(B121="FU-ACInstall","-",VLOOKUP(VALUE('web survey'!G119),ref!$E$24:$F$26,2,0)&amp;" ("&amp;'web survey'!G119&amp;")")</f>
        <v>Jelas (5)</v>
      </c>
      <c r="K121" s="28" t="str">
        <f>YEAR('web survey'!Z119)&amp;"-"&amp;IF(MONTH('web survey'!Z119)&lt;10,"0"&amp;MONTH('web survey'!Z119),MONTH('web survey'!Z119))&amp;"-"&amp;IF(DAY('web survey'!Z119)&lt;10,"0"&amp;DAY('web survey'!Z119),DAY('web survey'!Z119))&amp;" "&amp;IF(HOUR('web survey'!Z119)&lt;10,"0"&amp;HOUR('web survey'!Z119),HOUR('web survey'!Z119))&amp;":"&amp;IF(MINUTE('web survey'!Z119)&lt;10,"0"&amp;MINUTE('web survey'!Z119),MINUTE('web survey'!Z119))&amp;(":00'")</f>
        <v>2026-06-13 15:26:00'</v>
      </c>
      <c r="N121" s="37">
        <v>118</v>
      </c>
      <c r="O121" s="37" t="s">
        <v>27</v>
      </c>
      <c r="P121" s="38" t="s">
        <v>252</v>
      </c>
      <c r="Q121" s="43" t="s">
        <v>18</v>
      </c>
      <c r="R121" s="44" t="s">
        <v>17</v>
      </c>
      <c r="S121" s="43" t="s">
        <v>37</v>
      </c>
      <c r="T121" s="44" t="s">
        <v>17</v>
      </c>
      <c r="U121" s="43" t="s">
        <v>30</v>
      </c>
      <c r="V121" s="44" t="s">
        <v>17</v>
      </c>
      <c r="W121" s="43" t="s">
        <v>34</v>
      </c>
      <c r="X121" s="37" t="s">
        <v>253</v>
      </c>
    </row>
    <row r="122" ht="28.2" customHeight="1" spans="1:24">
      <c r="A122" s="28">
        <f>IF(B122="","",ROW()-COUNTBLANK($B$4:B122)-3)</f>
        <v>119</v>
      </c>
      <c r="B122" s="28" t="str">
        <f>'web survey'!C120</f>
        <v>FU-Z1-Eng</v>
      </c>
      <c r="C122" s="29" t="str">
        <f>'web survey'!AA120</f>
        <v>204462384</v>
      </c>
      <c r="D122" s="30" t="str">
        <f>IF(B122="FU-ACInstall",VLOOKUP(VALUE('web survey'!D120),ref!$B$6:$C$7,2,0)&amp;" ("&amp;'web survey'!D120&amp;")",VLOOKUP(VALUE('web survey'!D120),ref!$E$6:$F$10,2,0)&amp;" ("&amp;'web survey'!D120&amp;")")</f>
        <v>Good (10)</v>
      </c>
      <c r="E122" s="32" t="str">
        <f>'web survey'!S120</f>
        <v/>
      </c>
      <c r="F122" s="30" t="str">
        <f>IF(B122="FU-ACInstall",VLOOKUP(VALUE('web survey'!E120),ref!$B$10:$C$12,2,0)&amp;" ("&amp;'web survey'!E120&amp;")",VLOOKUP(VALUE('web survey'!E120),ref!$E$13:$F$17,2,0)&amp;" ("&amp;'web survey'!E120&amp;")")</f>
        <v>Very Good (10)</v>
      </c>
      <c r="G122" s="32" t="str">
        <f>'web survey'!T120</f>
        <v/>
      </c>
      <c r="H122" s="30" t="str">
        <f>IF(B122="FU-ACInstall",VLOOKUP(VALUE('web survey'!F120),ref!$B$15:$C$17,2,0)&amp;" ("&amp;'web survey'!F120&amp;")",VLOOKUP(VALUE('web survey'!F120),ref!$E$20:$F$21,2,0)&amp;" ("&amp;'web survey'!F120&amp;")")</f>
        <v>Appropriate with SAP / in Warranty (10)</v>
      </c>
      <c r="I122" s="32" t="str">
        <f>'web survey'!U120</f>
        <v/>
      </c>
      <c r="J122" s="30" t="str">
        <f>IF(B122="FU-ACInstall","-",VLOOKUP(VALUE('web survey'!G120),ref!$E$24:$F$26,2,0)&amp;" ("&amp;'web survey'!G120&amp;")")</f>
        <v>Jelas (5)</v>
      </c>
      <c r="K122" s="28" t="str">
        <f>YEAR('web survey'!Z120)&amp;"-"&amp;IF(MONTH('web survey'!Z120)&lt;10,"0"&amp;MONTH('web survey'!Z120),MONTH('web survey'!Z120))&amp;"-"&amp;IF(DAY('web survey'!Z120)&lt;10,"0"&amp;DAY('web survey'!Z120),DAY('web survey'!Z120))&amp;" "&amp;IF(HOUR('web survey'!Z120)&lt;10,"0"&amp;HOUR('web survey'!Z120),HOUR('web survey'!Z120))&amp;":"&amp;IF(MINUTE('web survey'!Z120)&lt;10,"0"&amp;MINUTE('web survey'!Z120),MINUTE('web survey'!Z120))&amp;(":00'")</f>
        <v>2026-06-13 15:26:00'</v>
      </c>
      <c r="N122" s="37">
        <v>119</v>
      </c>
      <c r="O122" s="37" t="s">
        <v>27</v>
      </c>
      <c r="P122" s="38" t="s">
        <v>254</v>
      </c>
      <c r="Q122" s="43" t="s">
        <v>18</v>
      </c>
      <c r="R122" s="44" t="s">
        <v>17</v>
      </c>
      <c r="S122" s="43" t="s">
        <v>37</v>
      </c>
      <c r="T122" s="44" t="s">
        <v>17</v>
      </c>
      <c r="U122" s="43" t="s">
        <v>30</v>
      </c>
      <c r="V122" s="44" t="s">
        <v>17</v>
      </c>
      <c r="W122" s="43" t="s">
        <v>34</v>
      </c>
      <c r="X122" s="37" t="s">
        <v>253</v>
      </c>
    </row>
    <row r="123" ht="28.2" customHeight="1" spans="1:24">
      <c r="A123" s="28">
        <f>IF(B123="","",ROW()-COUNTBLANK($B$4:B123)-3)</f>
        <v>120</v>
      </c>
      <c r="B123" s="28" t="str">
        <f>'web survey'!C121</f>
        <v>FU-Z1-Eng</v>
      </c>
      <c r="C123" s="29" t="str">
        <f>'web survey'!AA121</f>
        <v>204466097</v>
      </c>
      <c r="D123" s="30" t="str">
        <f>IF(B123="FU-ACInstall",VLOOKUP(VALUE('web survey'!D121),ref!$B$6:$C$7,2,0)&amp;" ("&amp;'web survey'!D121&amp;")",VLOOKUP(VALUE('web survey'!D121),ref!$E$6:$F$10,2,0)&amp;" ("&amp;'web survey'!D121&amp;")")</f>
        <v>Not Good (-10)</v>
      </c>
      <c r="E123" s="32" t="str">
        <f>'web survey'!S121</f>
        <v>ada seperti beberapa putih-putih pada panel tv</v>
      </c>
      <c r="F123" s="30" t="str">
        <f>IF(B123="FU-ACInstall",VLOOKUP(VALUE('web survey'!E121),ref!$B$10:$C$12,2,0)&amp;" ("&amp;'web survey'!E121&amp;")",VLOOKUP(VALUE('web survey'!E121),ref!$E$13:$F$17,2,0)&amp;" ("&amp;'web survey'!E121&amp;")")</f>
        <v>Very Good (10)</v>
      </c>
      <c r="G123" s="32" t="str">
        <f>'web survey'!T121</f>
        <v/>
      </c>
      <c r="H123" s="30" t="str">
        <f>IF(B123="FU-ACInstall",VLOOKUP(VALUE('web survey'!F121),ref!$B$15:$C$17,2,0)&amp;" ("&amp;'web survey'!F121&amp;")",VLOOKUP(VALUE('web survey'!F121),ref!$E$20:$F$21,2,0)&amp;" ("&amp;'web survey'!F121&amp;")")</f>
        <v>Appropriate with SAP / in Warranty (10)</v>
      </c>
      <c r="I123" s="32" t="str">
        <f>'web survey'!U121</f>
        <v/>
      </c>
      <c r="J123" s="30" t="str">
        <f>IF(B123="FU-ACInstall","-",VLOOKUP(VALUE('web survey'!G121),ref!$E$24:$F$26,2,0)&amp;" ("&amp;'web survey'!G121&amp;")")</f>
        <v>Jelas (5)</v>
      </c>
      <c r="K123" s="28" t="str">
        <f>YEAR('web survey'!Z121)&amp;"-"&amp;IF(MONTH('web survey'!Z121)&lt;10,"0"&amp;MONTH('web survey'!Z121),MONTH('web survey'!Z121))&amp;"-"&amp;IF(DAY('web survey'!Z121)&lt;10,"0"&amp;DAY('web survey'!Z121),DAY('web survey'!Z121))&amp;" "&amp;IF(HOUR('web survey'!Z121)&lt;10,"0"&amp;HOUR('web survey'!Z121),HOUR('web survey'!Z121))&amp;":"&amp;IF(MINUTE('web survey'!Z121)&lt;10,"0"&amp;MINUTE('web survey'!Z121),MINUTE('web survey'!Z121))&amp;(":00'")</f>
        <v>2026-06-13 15:22:00'</v>
      </c>
      <c r="N123" s="37">
        <v>120</v>
      </c>
      <c r="O123" s="37" t="s">
        <v>27</v>
      </c>
      <c r="P123" s="38" t="s">
        <v>255</v>
      </c>
      <c r="Q123" s="43" t="s">
        <v>33</v>
      </c>
      <c r="R123" s="44" t="s">
        <v>256</v>
      </c>
      <c r="S123" s="43" t="s">
        <v>37</v>
      </c>
      <c r="T123" s="44" t="s">
        <v>17</v>
      </c>
      <c r="U123" s="43" t="s">
        <v>30</v>
      </c>
      <c r="V123" s="44" t="s">
        <v>17</v>
      </c>
      <c r="W123" s="43" t="s">
        <v>34</v>
      </c>
      <c r="X123" s="37" t="s">
        <v>257</v>
      </c>
    </row>
    <row r="124" ht="28.2" customHeight="1" spans="1:24">
      <c r="A124" s="28">
        <f>IF(B124="","",ROW()-COUNTBLANK($B$4:B124)-3)</f>
        <v>121</v>
      </c>
      <c r="B124" s="28" t="str">
        <f>'web survey'!C122</f>
        <v>FU-Z1-Eng</v>
      </c>
      <c r="C124" s="29" t="str">
        <f>'web survey'!AA122</f>
        <v>100987300</v>
      </c>
      <c r="D124" s="30" t="str">
        <f>IF(B124="FU-ACInstall",VLOOKUP(VALUE('web survey'!D122),ref!$B$6:$C$7,2,0)&amp;" ("&amp;'web survey'!D122&amp;")",VLOOKUP(VALUE('web survey'!D122),ref!$E$6:$F$10,2,0)&amp;" ("&amp;'web survey'!D122&amp;")")</f>
        <v>Good (10)</v>
      </c>
      <c r="E124" s="32" t="str">
        <f>'web survey'!S122</f>
        <v/>
      </c>
      <c r="F124" s="30" t="str">
        <f>IF(B124="FU-ACInstall",VLOOKUP(VALUE('web survey'!E122),ref!$B$10:$C$12,2,0)&amp;" ("&amp;'web survey'!E122&amp;")",VLOOKUP(VALUE('web survey'!E122),ref!$E$13:$F$17,2,0)&amp;" ("&amp;'web survey'!E122&amp;")")</f>
        <v>Very Good (10)</v>
      </c>
      <c r="G124" s="32" t="str">
        <f>'web survey'!T122</f>
        <v/>
      </c>
      <c r="H124" s="30" t="str">
        <f>IF(B124="FU-ACInstall",VLOOKUP(VALUE('web survey'!F122),ref!$B$15:$C$17,2,0)&amp;" ("&amp;'web survey'!F122&amp;")",VLOOKUP(VALUE('web survey'!F122),ref!$E$20:$F$21,2,0)&amp;" ("&amp;'web survey'!F122&amp;")")</f>
        <v>Appropriate with SAP / in Warranty (10)</v>
      </c>
      <c r="I124" s="32" t="str">
        <f>'web survey'!U122</f>
        <v/>
      </c>
      <c r="J124" s="30" t="str">
        <f>IF(B124="FU-ACInstall","-",VLOOKUP(VALUE('web survey'!G122),ref!$E$24:$F$26,2,0)&amp;" ("&amp;'web survey'!G122&amp;")")</f>
        <v>Jelas (5)</v>
      </c>
      <c r="K124" s="28" t="str">
        <f>YEAR('web survey'!Z122)&amp;"-"&amp;IF(MONTH('web survey'!Z122)&lt;10,"0"&amp;MONTH('web survey'!Z122),MONTH('web survey'!Z122))&amp;"-"&amp;IF(DAY('web survey'!Z122)&lt;10,"0"&amp;DAY('web survey'!Z122),DAY('web survey'!Z122))&amp;" "&amp;IF(HOUR('web survey'!Z122)&lt;10,"0"&amp;HOUR('web survey'!Z122),HOUR('web survey'!Z122))&amp;":"&amp;IF(MINUTE('web survey'!Z122)&lt;10,"0"&amp;MINUTE('web survey'!Z122),MINUTE('web survey'!Z122))&amp;(":00'")</f>
        <v>2026-06-13 15:20:00'</v>
      </c>
      <c r="N124" s="37">
        <v>121</v>
      </c>
      <c r="O124" s="37" t="s">
        <v>27</v>
      </c>
      <c r="P124" s="38" t="s">
        <v>258</v>
      </c>
      <c r="Q124" s="43" t="s">
        <v>18</v>
      </c>
      <c r="R124" s="44" t="s">
        <v>17</v>
      </c>
      <c r="S124" s="43" t="s">
        <v>37</v>
      </c>
      <c r="T124" s="44" t="s">
        <v>17</v>
      </c>
      <c r="U124" s="43" t="s">
        <v>30</v>
      </c>
      <c r="V124" s="44" t="s">
        <v>17</v>
      </c>
      <c r="W124" s="43" t="s">
        <v>34</v>
      </c>
      <c r="X124" s="37" t="s">
        <v>259</v>
      </c>
    </row>
    <row r="125" ht="28.2" customHeight="1" spans="1:24">
      <c r="A125" s="28">
        <f>IF(B125="","",ROW()-COUNTBLANK($B$4:B125)-3)</f>
        <v>122</v>
      </c>
      <c r="B125" s="28" t="str">
        <f>'web survey'!C123</f>
        <v>FU-Z1-Eng</v>
      </c>
      <c r="C125" s="29" t="str">
        <f>'web survey'!AA123</f>
        <v>204469391</v>
      </c>
      <c r="D125" s="30" t="str">
        <f>IF(B125="FU-ACInstall",VLOOKUP(VALUE('web survey'!D123),ref!$B$6:$C$7,2,0)&amp;" ("&amp;'web survey'!D123&amp;")",VLOOKUP(VALUE('web survey'!D123),ref!$E$6:$F$10,2,0)&amp;" ("&amp;'web survey'!D123&amp;")")</f>
        <v>Good (10)</v>
      </c>
      <c r="E125" s="32" t="str">
        <f>'web survey'!S123</f>
        <v/>
      </c>
      <c r="F125" s="30" t="str">
        <f>IF(B125="FU-ACInstall",VLOOKUP(VALUE('web survey'!E123),ref!$B$10:$C$12,2,0)&amp;" ("&amp;'web survey'!E123&amp;")",VLOOKUP(VALUE('web survey'!E123),ref!$E$13:$F$17,2,0)&amp;" ("&amp;'web survey'!E123&amp;")")</f>
        <v>Average (3)</v>
      </c>
      <c r="G125" s="32" t="str">
        <f>'web survey'!T123</f>
        <v/>
      </c>
      <c r="H125" s="30" t="str">
        <f>IF(B125="FU-ACInstall",VLOOKUP(VALUE('web survey'!F123),ref!$B$15:$C$17,2,0)&amp;" ("&amp;'web survey'!F123&amp;")",VLOOKUP(VALUE('web survey'!F123),ref!$E$20:$F$21,2,0)&amp;" ("&amp;'web survey'!F123&amp;")")</f>
        <v>Appropriate with SAP / in Warranty (10)</v>
      </c>
      <c r="I125" s="32" t="str">
        <f>'web survey'!U123</f>
        <v/>
      </c>
      <c r="J125" s="30" t="str">
        <f>IF(B125="FU-ACInstall","-",VLOOKUP(VALUE('web survey'!G123),ref!$E$24:$F$26,2,0)&amp;" ("&amp;'web survey'!G123&amp;")")</f>
        <v>Jelas (5)</v>
      </c>
      <c r="K125" s="28" t="str">
        <f>YEAR('web survey'!Z123)&amp;"-"&amp;IF(MONTH('web survey'!Z123)&lt;10,"0"&amp;MONTH('web survey'!Z123),MONTH('web survey'!Z123))&amp;"-"&amp;IF(DAY('web survey'!Z123)&lt;10,"0"&amp;DAY('web survey'!Z123),DAY('web survey'!Z123))&amp;" "&amp;IF(HOUR('web survey'!Z123)&lt;10,"0"&amp;HOUR('web survey'!Z123),HOUR('web survey'!Z123))&amp;":"&amp;IF(MINUTE('web survey'!Z123)&lt;10,"0"&amp;MINUTE('web survey'!Z123),MINUTE('web survey'!Z123))&amp;(":00'")</f>
        <v>2026-06-13 15:19:00'</v>
      </c>
      <c r="N125" s="37">
        <v>122</v>
      </c>
      <c r="O125" s="37" t="s">
        <v>27</v>
      </c>
      <c r="P125" s="38" t="s">
        <v>260</v>
      </c>
      <c r="Q125" s="43" t="s">
        <v>18</v>
      </c>
      <c r="R125" s="44" t="s">
        <v>17</v>
      </c>
      <c r="S125" s="43" t="s">
        <v>204</v>
      </c>
      <c r="T125" s="44" t="s">
        <v>17</v>
      </c>
      <c r="U125" s="43" t="s">
        <v>30</v>
      </c>
      <c r="V125" s="44" t="s">
        <v>17</v>
      </c>
      <c r="W125" s="43" t="s">
        <v>34</v>
      </c>
      <c r="X125" s="37" t="s">
        <v>261</v>
      </c>
    </row>
    <row r="126" ht="28.2" customHeight="1" spans="1:24">
      <c r="A126" s="28">
        <f>IF(B126="","",ROW()-COUNTBLANK($B$4:B126)-3)</f>
        <v>123</v>
      </c>
      <c r="B126" s="28" t="str">
        <f>'web survey'!C124</f>
        <v>FU-Z1-Eng</v>
      </c>
      <c r="C126" s="29" t="str">
        <f>'web survey'!AA124</f>
        <v>100988201</v>
      </c>
      <c r="D126" s="30" t="str">
        <f>IF(B126="FU-ACInstall",VLOOKUP(VALUE('web survey'!D124),ref!$B$6:$C$7,2,0)&amp;" ("&amp;'web survey'!D124&amp;")",VLOOKUP(VALUE('web survey'!D124),ref!$E$6:$F$10,2,0)&amp;" ("&amp;'web survey'!D124&amp;")")</f>
        <v>Good (10)</v>
      </c>
      <c r="E126" s="32" t="str">
        <f>'web survey'!S124</f>
        <v/>
      </c>
      <c r="F126" s="30" t="str">
        <f>IF(B126="FU-ACInstall",VLOOKUP(VALUE('web survey'!E124),ref!$B$10:$C$12,2,0)&amp;" ("&amp;'web survey'!E124&amp;")",VLOOKUP(VALUE('web survey'!E124),ref!$E$13:$F$17,2,0)&amp;" ("&amp;'web survey'!E124&amp;")")</f>
        <v>Very Good (10)</v>
      </c>
      <c r="G126" s="32" t="str">
        <f>'web survey'!T124</f>
        <v/>
      </c>
      <c r="H126" s="30" t="str">
        <f>IF(B126="FU-ACInstall",VLOOKUP(VALUE('web survey'!F124),ref!$B$15:$C$17,2,0)&amp;" ("&amp;'web survey'!F124&amp;")",VLOOKUP(VALUE('web survey'!F124),ref!$E$20:$F$21,2,0)&amp;" ("&amp;'web survey'!F124&amp;")")</f>
        <v>Appropriate with SAP / in Warranty (10)</v>
      </c>
      <c r="I126" s="32" t="str">
        <f>'web survey'!U124</f>
        <v/>
      </c>
      <c r="J126" s="30" t="str">
        <f>IF(B126="FU-ACInstall","-",VLOOKUP(VALUE('web survey'!G124),ref!$E$24:$F$26,2,0)&amp;" ("&amp;'web survey'!G124&amp;")")</f>
        <v>Jelas (5)</v>
      </c>
      <c r="K126" s="28" t="str">
        <f>YEAR('web survey'!Z124)&amp;"-"&amp;IF(MONTH('web survey'!Z124)&lt;10,"0"&amp;MONTH('web survey'!Z124),MONTH('web survey'!Z124))&amp;"-"&amp;IF(DAY('web survey'!Z124)&lt;10,"0"&amp;DAY('web survey'!Z124),DAY('web survey'!Z124))&amp;" "&amp;IF(HOUR('web survey'!Z124)&lt;10,"0"&amp;HOUR('web survey'!Z124),HOUR('web survey'!Z124))&amp;":"&amp;IF(MINUTE('web survey'!Z124)&lt;10,"0"&amp;MINUTE('web survey'!Z124),MINUTE('web survey'!Z124))&amp;(":00'")</f>
        <v>2026-06-13 15:18:00'</v>
      </c>
      <c r="N126" s="37">
        <v>123</v>
      </c>
      <c r="O126" s="37" t="s">
        <v>27</v>
      </c>
      <c r="P126" s="38" t="s">
        <v>262</v>
      </c>
      <c r="Q126" s="43" t="s">
        <v>18</v>
      </c>
      <c r="R126" s="44" t="s">
        <v>17</v>
      </c>
      <c r="S126" s="43" t="s">
        <v>37</v>
      </c>
      <c r="T126" s="44" t="s">
        <v>17</v>
      </c>
      <c r="U126" s="43" t="s">
        <v>30</v>
      </c>
      <c r="V126" s="44" t="s">
        <v>17</v>
      </c>
      <c r="W126" s="43" t="s">
        <v>34</v>
      </c>
      <c r="X126" s="37" t="s">
        <v>263</v>
      </c>
    </row>
    <row r="127" ht="28.2" customHeight="1" spans="1:24">
      <c r="A127" s="28">
        <f>IF(B127="","",ROW()-COUNTBLANK($B$4:B127)-3)</f>
        <v>124</v>
      </c>
      <c r="B127" s="28" t="str">
        <f>'web survey'!C125</f>
        <v>FU-Z1-Eng</v>
      </c>
      <c r="C127" s="29" t="str">
        <f>'web survey'!AA125</f>
        <v>204472025</v>
      </c>
      <c r="D127" s="30" t="str">
        <f>IF(B127="FU-ACInstall",VLOOKUP(VALUE('web survey'!D125),ref!$B$6:$C$7,2,0)&amp;" ("&amp;'web survey'!D125&amp;")",VLOOKUP(VALUE('web survey'!D125),ref!$E$6:$F$10,2,0)&amp;" ("&amp;'web survey'!D125&amp;")")</f>
        <v>Good (10)</v>
      </c>
      <c r="E127" s="32" t="str">
        <f>'web survey'!S125</f>
        <v/>
      </c>
      <c r="F127" s="30" t="str">
        <f>IF(B127="FU-ACInstall",VLOOKUP(VALUE('web survey'!E125),ref!$B$10:$C$12,2,0)&amp;" ("&amp;'web survey'!E125&amp;")",VLOOKUP(VALUE('web survey'!E125),ref!$E$13:$F$17,2,0)&amp;" ("&amp;'web survey'!E125&amp;")")</f>
        <v>Very Good (10)</v>
      </c>
      <c r="G127" s="32" t="str">
        <f>'web survey'!T125</f>
        <v/>
      </c>
      <c r="H127" s="30" t="str">
        <f>IF(B127="FU-ACInstall",VLOOKUP(VALUE('web survey'!F125),ref!$B$15:$C$17,2,0)&amp;" ("&amp;'web survey'!F125&amp;")",VLOOKUP(VALUE('web survey'!F125),ref!$E$20:$F$21,2,0)&amp;" ("&amp;'web survey'!F125&amp;")")</f>
        <v>Appropriate with SAP / in Warranty (10)</v>
      </c>
      <c r="I127" s="32" t="str">
        <f>'web survey'!U125</f>
        <v/>
      </c>
      <c r="J127" s="30" t="str">
        <f>IF(B127="FU-ACInstall","-",VLOOKUP(VALUE('web survey'!G125),ref!$E$24:$F$26,2,0)&amp;" ("&amp;'web survey'!G125&amp;")")</f>
        <v>Jelas (5)</v>
      </c>
      <c r="K127" s="28" t="str">
        <f>YEAR('web survey'!Z125)&amp;"-"&amp;IF(MONTH('web survey'!Z125)&lt;10,"0"&amp;MONTH('web survey'!Z125),MONTH('web survey'!Z125))&amp;"-"&amp;IF(DAY('web survey'!Z125)&lt;10,"0"&amp;DAY('web survey'!Z125),DAY('web survey'!Z125))&amp;" "&amp;IF(HOUR('web survey'!Z125)&lt;10,"0"&amp;HOUR('web survey'!Z125),HOUR('web survey'!Z125))&amp;":"&amp;IF(MINUTE('web survey'!Z125)&lt;10,"0"&amp;MINUTE('web survey'!Z125),MINUTE('web survey'!Z125))&amp;(":00'")</f>
        <v>2026-06-13 15:16:00'</v>
      </c>
      <c r="N127" s="37">
        <v>124</v>
      </c>
      <c r="O127" s="37" t="s">
        <v>27</v>
      </c>
      <c r="P127" s="38" t="s">
        <v>264</v>
      </c>
      <c r="Q127" s="43" t="s">
        <v>18</v>
      </c>
      <c r="R127" s="44" t="s">
        <v>17</v>
      </c>
      <c r="S127" s="43" t="s">
        <v>37</v>
      </c>
      <c r="T127" s="44" t="s">
        <v>17</v>
      </c>
      <c r="U127" s="43" t="s">
        <v>30</v>
      </c>
      <c r="V127" s="44" t="s">
        <v>17</v>
      </c>
      <c r="W127" s="43" t="s">
        <v>34</v>
      </c>
      <c r="X127" s="37" t="s">
        <v>265</v>
      </c>
    </row>
    <row r="128" ht="28.2" customHeight="1" spans="1:24">
      <c r="A128" s="28">
        <f>IF(B128="","",ROW()-COUNTBLANK($B$4:B128)-3)</f>
        <v>125</v>
      </c>
      <c r="B128" s="28" t="str">
        <f>'web survey'!C126</f>
        <v>FU-Z1-Eng</v>
      </c>
      <c r="C128" s="29" t="str">
        <f>'web survey'!AA126</f>
        <v>204472181</v>
      </c>
      <c r="D128" s="30" t="str">
        <f>IF(B128="FU-ACInstall",VLOOKUP(VALUE('web survey'!D126),ref!$B$6:$C$7,2,0)&amp;" ("&amp;'web survey'!D126&amp;")",VLOOKUP(VALUE('web survey'!D126),ref!$E$6:$F$10,2,0)&amp;" ("&amp;'web survey'!D126&amp;")")</f>
        <v>Good (10)</v>
      </c>
      <c r="E128" s="32" t="str">
        <f>'web survey'!S126</f>
        <v/>
      </c>
      <c r="F128" s="30" t="str">
        <f>IF(B128="FU-ACInstall",VLOOKUP(VALUE('web survey'!E126),ref!$B$10:$C$12,2,0)&amp;" ("&amp;'web survey'!E126&amp;")",VLOOKUP(VALUE('web survey'!E126),ref!$E$13:$F$17,2,0)&amp;" ("&amp;'web survey'!E126&amp;")")</f>
        <v>Very Good (10)</v>
      </c>
      <c r="G128" s="32" t="str">
        <f>'web survey'!T126</f>
        <v/>
      </c>
      <c r="H128" s="30" t="str">
        <f>IF(B128="FU-ACInstall",VLOOKUP(VALUE('web survey'!F126),ref!$B$15:$C$17,2,0)&amp;" ("&amp;'web survey'!F126&amp;")",VLOOKUP(VALUE('web survey'!F126),ref!$E$20:$F$21,2,0)&amp;" ("&amp;'web survey'!F126&amp;")")</f>
        <v>Appropriate with SAP / in Warranty (10)</v>
      </c>
      <c r="I128" s="32" t="str">
        <f>'web survey'!U126</f>
        <v/>
      </c>
      <c r="J128" s="30" t="str">
        <f>IF(B128="FU-ACInstall","-",VLOOKUP(VALUE('web survey'!G126),ref!$E$24:$F$26,2,0)&amp;" ("&amp;'web survey'!G126&amp;")")</f>
        <v>Jelas (5)</v>
      </c>
      <c r="K128" s="28" t="str">
        <f>YEAR('web survey'!Z126)&amp;"-"&amp;IF(MONTH('web survey'!Z126)&lt;10,"0"&amp;MONTH('web survey'!Z126),MONTH('web survey'!Z126))&amp;"-"&amp;IF(DAY('web survey'!Z126)&lt;10,"0"&amp;DAY('web survey'!Z126),DAY('web survey'!Z126))&amp;" "&amp;IF(HOUR('web survey'!Z126)&lt;10,"0"&amp;HOUR('web survey'!Z126),HOUR('web survey'!Z126))&amp;":"&amp;IF(MINUTE('web survey'!Z126)&lt;10,"0"&amp;MINUTE('web survey'!Z126),MINUTE('web survey'!Z126))&amp;(":00'")</f>
        <v>2026-06-13 15:16:00'</v>
      </c>
      <c r="N128" s="37">
        <v>125</v>
      </c>
      <c r="O128" s="37" t="s">
        <v>27</v>
      </c>
      <c r="P128" s="38" t="s">
        <v>266</v>
      </c>
      <c r="Q128" s="43" t="s">
        <v>18</v>
      </c>
      <c r="R128" s="44" t="s">
        <v>17</v>
      </c>
      <c r="S128" s="43" t="s">
        <v>37</v>
      </c>
      <c r="T128" s="44" t="s">
        <v>17</v>
      </c>
      <c r="U128" s="43" t="s">
        <v>30</v>
      </c>
      <c r="V128" s="44" t="s">
        <v>17</v>
      </c>
      <c r="W128" s="43" t="s">
        <v>34</v>
      </c>
      <c r="X128" s="37" t="s">
        <v>265</v>
      </c>
    </row>
    <row r="129" ht="28.2" customHeight="1" spans="1:24">
      <c r="A129" s="28">
        <f>IF(B129="","",ROW()-COUNTBLANK($B$4:B129)-3)</f>
        <v>126</v>
      </c>
      <c r="B129" s="28" t="str">
        <f>'web survey'!C127</f>
        <v>FU-Z1-Eng</v>
      </c>
      <c r="C129" s="29" t="str">
        <f>'web survey'!AA127</f>
        <v>204464225</v>
      </c>
      <c r="D129" s="30" t="str">
        <f>IF(B129="FU-ACInstall",VLOOKUP(VALUE('web survey'!D127),ref!$B$6:$C$7,2,0)&amp;" ("&amp;'web survey'!D127&amp;")",VLOOKUP(VALUE('web survey'!D127),ref!$E$6:$F$10,2,0)&amp;" ("&amp;'web survey'!D127&amp;")")</f>
        <v>Good (10)</v>
      </c>
      <c r="E129" s="32" t="str">
        <f>'web survey'!S127</f>
        <v/>
      </c>
      <c r="F129" s="30" t="str">
        <f>IF(B129="FU-ACInstall",VLOOKUP(VALUE('web survey'!E127),ref!$B$10:$C$12,2,0)&amp;" ("&amp;'web survey'!E127&amp;")",VLOOKUP(VALUE('web survey'!E127),ref!$E$13:$F$17,2,0)&amp;" ("&amp;'web survey'!E127&amp;")")</f>
        <v>Good (5)</v>
      </c>
      <c r="G129" s="32" t="str">
        <f>'web survey'!T127</f>
        <v/>
      </c>
      <c r="H129" s="30" t="str">
        <f>IF(B129="FU-ACInstall",VLOOKUP(VALUE('web survey'!F127),ref!$B$15:$C$17,2,0)&amp;" ("&amp;'web survey'!F127&amp;")",VLOOKUP(VALUE('web survey'!F127),ref!$E$20:$F$21,2,0)&amp;" ("&amp;'web survey'!F127&amp;")")</f>
        <v>Appropriate with SAP / in Warranty (10)</v>
      </c>
      <c r="I129" s="32" t="str">
        <f>'web survey'!U127</f>
        <v/>
      </c>
      <c r="J129" s="30" t="str">
        <f>IF(B129="FU-ACInstall","-",VLOOKUP(VALUE('web survey'!G127),ref!$E$24:$F$26,2,0)&amp;" ("&amp;'web survey'!G127&amp;")")</f>
        <v>Jelas (5)</v>
      </c>
      <c r="K129" s="28" t="str">
        <f>YEAR('web survey'!Z127)&amp;"-"&amp;IF(MONTH('web survey'!Z127)&lt;10,"0"&amp;MONTH('web survey'!Z127),MONTH('web survey'!Z127))&amp;"-"&amp;IF(DAY('web survey'!Z127)&lt;10,"0"&amp;DAY('web survey'!Z127),DAY('web survey'!Z127))&amp;" "&amp;IF(HOUR('web survey'!Z127)&lt;10,"0"&amp;HOUR('web survey'!Z127),HOUR('web survey'!Z127))&amp;":"&amp;IF(MINUTE('web survey'!Z127)&lt;10,"0"&amp;MINUTE('web survey'!Z127),MINUTE('web survey'!Z127))&amp;(":00'")</f>
        <v>2026-06-13 15:16:00'</v>
      </c>
      <c r="N129" s="37">
        <v>126</v>
      </c>
      <c r="O129" s="37" t="s">
        <v>27</v>
      </c>
      <c r="P129" s="38" t="s">
        <v>267</v>
      </c>
      <c r="Q129" s="43" t="s">
        <v>18</v>
      </c>
      <c r="R129" s="44" t="s">
        <v>17</v>
      </c>
      <c r="S129" s="43" t="s">
        <v>29</v>
      </c>
      <c r="T129" s="44" t="s">
        <v>17</v>
      </c>
      <c r="U129" s="43" t="s">
        <v>30</v>
      </c>
      <c r="V129" s="44" t="s">
        <v>17</v>
      </c>
      <c r="W129" s="43" t="s">
        <v>34</v>
      </c>
      <c r="X129" s="37" t="s">
        <v>265</v>
      </c>
    </row>
    <row r="130" ht="28.2" customHeight="1" spans="1:24">
      <c r="A130" s="28">
        <f>IF(B130="","",ROW()-COUNTBLANK($B$4:B130)-3)</f>
        <v>127</v>
      </c>
      <c r="B130" s="28" t="str">
        <f>'web survey'!C128</f>
        <v>FU-Z1-Eng</v>
      </c>
      <c r="C130" s="29" t="str">
        <f>'web survey'!AA128</f>
        <v>204474994</v>
      </c>
      <c r="D130" s="30" t="str">
        <f>IF(B130="FU-ACInstall",VLOOKUP(VALUE('web survey'!D128),ref!$B$6:$C$7,2,0)&amp;" ("&amp;'web survey'!D128&amp;")",VLOOKUP(VALUE('web survey'!D128),ref!$E$6:$F$10,2,0)&amp;" ("&amp;'web survey'!D128&amp;")")</f>
        <v>Good (10)</v>
      </c>
      <c r="E130" s="32" t="str">
        <f>'web survey'!S128</f>
        <v/>
      </c>
      <c r="F130" s="30" t="str">
        <f>IF(B130="FU-ACInstall",VLOOKUP(VALUE('web survey'!E128),ref!$B$10:$C$12,2,0)&amp;" ("&amp;'web survey'!E128&amp;")",VLOOKUP(VALUE('web survey'!E128),ref!$E$13:$F$17,2,0)&amp;" ("&amp;'web survey'!E128&amp;")")</f>
        <v>Good (5)</v>
      </c>
      <c r="G130" s="32" t="str">
        <f>'web survey'!T128</f>
        <v/>
      </c>
      <c r="H130" s="30" t="str">
        <f>IF(B130="FU-ACInstall",VLOOKUP(VALUE('web survey'!F128),ref!$B$15:$C$17,2,0)&amp;" ("&amp;'web survey'!F128&amp;")",VLOOKUP(VALUE('web survey'!F128),ref!$E$20:$F$21,2,0)&amp;" ("&amp;'web survey'!F128&amp;")")</f>
        <v>Appropriate with SAP / in Warranty (10)</v>
      </c>
      <c r="I130" s="32" t="str">
        <f>'web survey'!U128</f>
        <v/>
      </c>
      <c r="J130" s="30" t="str">
        <f>IF(B130="FU-ACInstall","-",VLOOKUP(VALUE('web survey'!G128),ref!$E$24:$F$26,2,0)&amp;" ("&amp;'web survey'!G128&amp;")")</f>
        <v>Jelas (5)</v>
      </c>
      <c r="K130" s="28" t="str">
        <f>YEAR('web survey'!Z128)&amp;"-"&amp;IF(MONTH('web survey'!Z128)&lt;10,"0"&amp;MONTH('web survey'!Z128),MONTH('web survey'!Z128))&amp;"-"&amp;IF(DAY('web survey'!Z128)&lt;10,"0"&amp;DAY('web survey'!Z128),DAY('web survey'!Z128))&amp;" "&amp;IF(HOUR('web survey'!Z128)&lt;10,"0"&amp;HOUR('web survey'!Z128),HOUR('web survey'!Z128))&amp;":"&amp;IF(MINUTE('web survey'!Z128)&lt;10,"0"&amp;MINUTE('web survey'!Z128),MINUTE('web survey'!Z128))&amp;(":00'")</f>
        <v>2026-06-13 15:15:00'</v>
      </c>
      <c r="N130" s="37">
        <v>127</v>
      </c>
      <c r="O130" s="37" t="s">
        <v>27</v>
      </c>
      <c r="P130" s="38" t="s">
        <v>268</v>
      </c>
      <c r="Q130" s="43" t="s">
        <v>18</v>
      </c>
      <c r="R130" s="44" t="s">
        <v>17</v>
      </c>
      <c r="S130" s="43" t="s">
        <v>29</v>
      </c>
      <c r="T130" s="44" t="s">
        <v>17</v>
      </c>
      <c r="U130" s="43" t="s">
        <v>30</v>
      </c>
      <c r="V130" s="44" t="s">
        <v>17</v>
      </c>
      <c r="W130" s="43" t="s">
        <v>34</v>
      </c>
      <c r="X130" s="37" t="s">
        <v>269</v>
      </c>
    </row>
    <row r="131" ht="28.2" customHeight="1" spans="1:24">
      <c r="A131" s="28">
        <f>IF(B131="","",ROW()-COUNTBLANK($B$4:B131)-3)</f>
        <v>128</v>
      </c>
      <c r="B131" s="28" t="str">
        <f>'web survey'!C129</f>
        <v>FU-Z1-Eng</v>
      </c>
      <c r="C131" s="29" t="str">
        <f>'web survey'!AA129</f>
        <v>204473075</v>
      </c>
      <c r="D131" s="30" t="str">
        <f>IF(B131="FU-ACInstall",VLOOKUP(VALUE('web survey'!D129),ref!$B$6:$C$7,2,0)&amp;" ("&amp;'web survey'!D129&amp;")",VLOOKUP(VALUE('web survey'!D129),ref!$E$6:$F$10,2,0)&amp;" ("&amp;'web survey'!D129&amp;")")</f>
        <v>Good (10)</v>
      </c>
      <c r="E131" s="32" t="str">
        <f>'web survey'!S129</f>
        <v/>
      </c>
      <c r="F131" s="30" t="str">
        <f>IF(B131="FU-ACInstall",VLOOKUP(VALUE('web survey'!E129),ref!$B$10:$C$12,2,0)&amp;" ("&amp;'web survey'!E129&amp;")",VLOOKUP(VALUE('web survey'!E129),ref!$E$13:$F$17,2,0)&amp;" ("&amp;'web survey'!E129&amp;")")</f>
        <v>Good (5)</v>
      </c>
      <c r="G131" s="32" t="str">
        <f>'web survey'!T129</f>
        <v/>
      </c>
      <c r="H131" s="30" t="str">
        <f>IF(B131="FU-ACInstall",VLOOKUP(VALUE('web survey'!F129),ref!$B$15:$C$17,2,0)&amp;" ("&amp;'web survey'!F129&amp;")",VLOOKUP(VALUE('web survey'!F129),ref!$E$20:$F$21,2,0)&amp;" ("&amp;'web survey'!F129&amp;")")</f>
        <v>Appropriate with SAP / in Warranty (10)</v>
      </c>
      <c r="I131" s="32" t="str">
        <f>'web survey'!U129</f>
        <v/>
      </c>
      <c r="J131" s="30" t="str">
        <f>IF(B131="FU-ACInstall","-",VLOOKUP(VALUE('web survey'!G129),ref!$E$24:$F$26,2,0)&amp;" ("&amp;'web survey'!G129&amp;")")</f>
        <v>Jelas (5)</v>
      </c>
      <c r="K131" s="28" t="str">
        <f>YEAR('web survey'!Z129)&amp;"-"&amp;IF(MONTH('web survey'!Z129)&lt;10,"0"&amp;MONTH('web survey'!Z129),MONTH('web survey'!Z129))&amp;"-"&amp;IF(DAY('web survey'!Z129)&lt;10,"0"&amp;DAY('web survey'!Z129),DAY('web survey'!Z129))&amp;" "&amp;IF(HOUR('web survey'!Z129)&lt;10,"0"&amp;HOUR('web survey'!Z129),HOUR('web survey'!Z129))&amp;":"&amp;IF(MINUTE('web survey'!Z129)&lt;10,"0"&amp;MINUTE('web survey'!Z129),MINUTE('web survey'!Z129))&amp;(":00'")</f>
        <v>2026-06-13 15:15:00'</v>
      </c>
      <c r="N131" s="37">
        <v>128</v>
      </c>
      <c r="O131" s="37" t="s">
        <v>27</v>
      </c>
      <c r="P131" s="38" t="s">
        <v>270</v>
      </c>
      <c r="Q131" s="43" t="s">
        <v>18</v>
      </c>
      <c r="R131" s="44" t="s">
        <v>17</v>
      </c>
      <c r="S131" s="43" t="s">
        <v>29</v>
      </c>
      <c r="T131" s="44" t="s">
        <v>17</v>
      </c>
      <c r="U131" s="43" t="s">
        <v>30</v>
      </c>
      <c r="V131" s="44" t="s">
        <v>17</v>
      </c>
      <c r="W131" s="43" t="s">
        <v>34</v>
      </c>
      <c r="X131" s="37" t="s">
        <v>269</v>
      </c>
    </row>
    <row r="132" ht="28.2" customHeight="1" spans="1:24">
      <c r="A132" s="28">
        <f>IF(B132="","",ROW()-COUNTBLANK($B$4:B132)-3)</f>
        <v>129</v>
      </c>
      <c r="B132" s="28" t="str">
        <f>'web survey'!C130</f>
        <v>FU-Z1-Eng</v>
      </c>
      <c r="C132" s="29" t="str">
        <f>'web survey'!AA130</f>
        <v>3309A2600202</v>
      </c>
      <c r="D132" s="30" t="str">
        <f>IF(B132="FU-ACInstall",VLOOKUP(VALUE('web survey'!D130),ref!$B$6:$C$7,2,0)&amp;" ("&amp;'web survey'!D130&amp;")",VLOOKUP(VALUE('web survey'!D130),ref!$E$6:$F$10,2,0)&amp;" ("&amp;'web survey'!D130&amp;")")</f>
        <v>Good (10)</v>
      </c>
      <c r="E132" s="32" t="str">
        <f>'web survey'!S130</f>
        <v/>
      </c>
      <c r="F132" s="30" t="str">
        <f>IF(B132="FU-ACInstall",VLOOKUP(VALUE('web survey'!E130),ref!$B$10:$C$12,2,0)&amp;" ("&amp;'web survey'!E130&amp;")",VLOOKUP(VALUE('web survey'!E130),ref!$E$13:$F$17,2,0)&amp;" ("&amp;'web survey'!E130&amp;")")</f>
        <v>Very Good (10)</v>
      </c>
      <c r="G132" s="32" t="str">
        <f>'web survey'!T130</f>
        <v/>
      </c>
      <c r="H132" s="30" t="str">
        <f>IF(B132="FU-ACInstall",VLOOKUP(VALUE('web survey'!F130),ref!$B$15:$C$17,2,0)&amp;" ("&amp;'web survey'!F130&amp;")",VLOOKUP(VALUE('web survey'!F130),ref!$E$20:$F$21,2,0)&amp;" ("&amp;'web survey'!F130&amp;")")</f>
        <v>Appropriate with SAP / in Warranty (10)</v>
      </c>
      <c r="I132" s="32" t="str">
        <f>'web survey'!U130</f>
        <v/>
      </c>
      <c r="J132" s="30" t="str">
        <f>IF(B132="FU-ACInstall","-",VLOOKUP(VALUE('web survey'!G130),ref!$E$24:$F$26,2,0)&amp;" ("&amp;'web survey'!G130&amp;")")</f>
        <v>Jelas (5)</v>
      </c>
      <c r="K132" s="28" t="str">
        <f>YEAR('web survey'!Z130)&amp;"-"&amp;IF(MONTH('web survey'!Z130)&lt;10,"0"&amp;MONTH('web survey'!Z130),MONTH('web survey'!Z130))&amp;"-"&amp;IF(DAY('web survey'!Z130)&lt;10,"0"&amp;DAY('web survey'!Z130),DAY('web survey'!Z130))&amp;" "&amp;IF(HOUR('web survey'!Z130)&lt;10,"0"&amp;HOUR('web survey'!Z130),HOUR('web survey'!Z130))&amp;":"&amp;IF(MINUTE('web survey'!Z130)&lt;10,"0"&amp;MINUTE('web survey'!Z130),MINUTE('web survey'!Z130))&amp;(":00'")</f>
        <v>2026-06-13 15:13:00'</v>
      </c>
      <c r="N132" s="37">
        <v>129</v>
      </c>
      <c r="O132" s="37" t="s">
        <v>27</v>
      </c>
      <c r="P132" s="38" t="s">
        <v>271</v>
      </c>
      <c r="Q132" s="43" t="s">
        <v>18</v>
      </c>
      <c r="R132" s="44" t="s">
        <v>17</v>
      </c>
      <c r="S132" s="43" t="s">
        <v>37</v>
      </c>
      <c r="T132" s="44" t="s">
        <v>17</v>
      </c>
      <c r="U132" s="43" t="s">
        <v>30</v>
      </c>
      <c r="V132" s="44" t="s">
        <v>17</v>
      </c>
      <c r="W132" s="43" t="s">
        <v>34</v>
      </c>
      <c r="X132" s="37" t="s">
        <v>272</v>
      </c>
    </row>
    <row r="133" ht="28.2" customHeight="1" spans="1:24">
      <c r="A133" s="28">
        <f>IF(B133="","",ROW()-COUNTBLANK($B$4:B133)-3)</f>
        <v>130</v>
      </c>
      <c r="B133" s="28" t="str">
        <f>'web survey'!C131</f>
        <v>FU-Z1-Eng</v>
      </c>
      <c r="C133" s="29" t="str">
        <f>'web survey'!AA131</f>
        <v>204473699</v>
      </c>
      <c r="D133" s="30" t="str">
        <f>IF(B133="FU-ACInstall",VLOOKUP(VALUE('web survey'!D131),ref!$B$6:$C$7,2,0)&amp;" ("&amp;'web survey'!D131&amp;")",VLOOKUP(VALUE('web survey'!D131),ref!$E$6:$F$10,2,0)&amp;" ("&amp;'web survey'!D131&amp;")")</f>
        <v>Good (10)</v>
      </c>
      <c r="E133" s="32" t="str">
        <f>'web survey'!S131</f>
        <v/>
      </c>
      <c r="F133" s="30" t="str">
        <f>IF(B133="FU-ACInstall",VLOOKUP(VALUE('web survey'!E131),ref!$B$10:$C$12,2,0)&amp;" ("&amp;'web survey'!E131&amp;")",VLOOKUP(VALUE('web survey'!E131),ref!$E$13:$F$17,2,0)&amp;" ("&amp;'web survey'!E131&amp;")")</f>
        <v>Very Good (10)</v>
      </c>
      <c r="G133" s="32" t="str">
        <f>'web survey'!T131</f>
        <v/>
      </c>
      <c r="H133" s="30" t="str">
        <f>IF(B133="FU-ACInstall",VLOOKUP(VALUE('web survey'!F131),ref!$B$15:$C$17,2,0)&amp;" ("&amp;'web survey'!F131&amp;")",VLOOKUP(VALUE('web survey'!F131),ref!$E$20:$F$21,2,0)&amp;" ("&amp;'web survey'!F131&amp;")")</f>
        <v>Appropriate with SAP / in Warranty (10)</v>
      </c>
      <c r="I133" s="32" t="str">
        <f>'web survey'!U131</f>
        <v/>
      </c>
      <c r="J133" s="30" t="str">
        <f>IF(B133="FU-ACInstall","-",VLOOKUP(VALUE('web survey'!G131),ref!$E$24:$F$26,2,0)&amp;" ("&amp;'web survey'!G131&amp;")")</f>
        <v>Jelas (5)</v>
      </c>
      <c r="K133" s="28" t="str">
        <f>YEAR('web survey'!Z131)&amp;"-"&amp;IF(MONTH('web survey'!Z131)&lt;10,"0"&amp;MONTH('web survey'!Z131),MONTH('web survey'!Z131))&amp;"-"&amp;IF(DAY('web survey'!Z131)&lt;10,"0"&amp;DAY('web survey'!Z131),DAY('web survey'!Z131))&amp;" "&amp;IF(HOUR('web survey'!Z131)&lt;10,"0"&amp;HOUR('web survey'!Z131),HOUR('web survey'!Z131))&amp;":"&amp;IF(MINUTE('web survey'!Z131)&lt;10,"0"&amp;MINUTE('web survey'!Z131),MINUTE('web survey'!Z131))&amp;(":00'")</f>
        <v>2026-06-13 15:12:00'</v>
      </c>
      <c r="N133" s="37">
        <v>130</v>
      </c>
      <c r="O133" s="37" t="s">
        <v>27</v>
      </c>
      <c r="P133" s="38" t="s">
        <v>273</v>
      </c>
      <c r="Q133" s="43" t="s">
        <v>18</v>
      </c>
      <c r="R133" s="44" t="s">
        <v>17</v>
      </c>
      <c r="S133" s="43" t="s">
        <v>37</v>
      </c>
      <c r="T133" s="44" t="s">
        <v>17</v>
      </c>
      <c r="U133" s="43" t="s">
        <v>30</v>
      </c>
      <c r="V133" s="44" t="s">
        <v>17</v>
      </c>
      <c r="W133" s="43" t="s">
        <v>34</v>
      </c>
      <c r="X133" s="37" t="s">
        <v>274</v>
      </c>
    </row>
    <row r="134" ht="28.2" customHeight="1" spans="1:24">
      <c r="A134" s="28">
        <f>IF(B134="","",ROW()-COUNTBLANK($B$4:B134)-3)</f>
        <v>131</v>
      </c>
      <c r="B134" s="28" t="str">
        <f>'web survey'!C132</f>
        <v>FU-Z1-Eng</v>
      </c>
      <c r="C134" s="29" t="str">
        <f>'web survey'!AA132</f>
        <v>4102A2600664</v>
      </c>
      <c r="D134" s="30" t="str">
        <f>IF(B134="FU-ACInstall",VLOOKUP(VALUE('web survey'!D132),ref!$B$6:$C$7,2,0)&amp;" ("&amp;'web survey'!D132&amp;")",VLOOKUP(VALUE('web survey'!D132),ref!$E$6:$F$10,2,0)&amp;" ("&amp;'web survey'!D132&amp;")")</f>
        <v>Good (10)</v>
      </c>
      <c r="E134" s="32" t="str">
        <f>'web survey'!S132</f>
        <v/>
      </c>
      <c r="F134" s="30" t="str">
        <f>IF(B134="FU-ACInstall",VLOOKUP(VALUE('web survey'!E132),ref!$B$10:$C$12,2,0)&amp;" ("&amp;'web survey'!E132&amp;")",VLOOKUP(VALUE('web survey'!E132),ref!$E$13:$F$17,2,0)&amp;" ("&amp;'web survey'!E132&amp;")")</f>
        <v>Average (3)</v>
      </c>
      <c r="G134" s="32" t="str">
        <f>'web survey'!T132</f>
        <v/>
      </c>
      <c r="H134" s="30" t="str">
        <f>IF(B134="FU-ACInstall",VLOOKUP(VALUE('web survey'!F132),ref!$B$15:$C$17,2,0)&amp;" ("&amp;'web survey'!F132&amp;")",VLOOKUP(VALUE('web survey'!F132),ref!$E$20:$F$21,2,0)&amp;" ("&amp;'web survey'!F132&amp;")")</f>
        <v>Appropriate with SAP / in Warranty (10)</v>
      </c>
      <c r="I134" s="32" t="str">
        <f>'web survey'!U132</f>
        <v/>
      </c>
      <c r="J134" s="30" t="str">
        <f>IF(B134="FU-ACInstall","-",VLOOKUP(VALUE('web survey'!G132),ref!$E$24:$F$26,2,0)&amp;" ("&amp;'web survey'!G132&amp;")")</f>
        <v>Jelas (5)</v>
      </c>
      <c r="K134" s="28" t="str">
        <f>YEAR('web survey'!Z132)&amp;"-"&amp;IF(MONTH('web survey'!Z132)&lt;10,"0"&amp;MONTH('web survey'!Z132),MONTH('web survey'!Z132))&amp;"-"&amp;IF(DAY('web survey'!Z132)&lt;10,"0"&amp;DAY('web survey'!Z132),DAY('web survey'!Z132))&amp;" "&amp;IF(HOUR('web survey'!Z132)&lt;10,"0"&amp;HOUR('web survey'!Z132),HOUR('web survey'!Z132))&amp;":"&amp;IF(MINUTE('web survey'!Z132)&lt;10,"0"&amp;MINUTE('web survey'!Z132),MINUTE('web survey'!Z132))&amp;(":00'")</f>
        <v>2026-06-13 15:12:00'</v>
      </c>
      <c r="N134" s="37">
        <v>131</v>
      </c>
      <c r="O134" s="37" t="s">
        <v>27</v>
      </c>
      <c r="P134" s="38" t="s">
        <v>275</v>
      </c>
      <c r="Q134" s="43" t="s">
        <v>18</v>
      </c>
      <c r="R134" s="44" t="s">
        <v>17</v>
      </c>
      <c r="S134" s="43" t="s">
        <v>204</v>
      </c>
      <c r="T134" s="44" t="s">
        <v>17</v>
      </c>
      <c r="U134" s="43" t="s">
        <v>30</v>
      </c>
      <c r="V134" s="44" t="s">
        <v>17</v>
      </c>
      <c r="W134" s="43" t="s">
        <v>34</v>
      </c>
      <c r="X134" s="37" t="s">
        <v>274</v>
      </c>
    </row>
    <row r="135" ht="28.2" customHeight="1" spans="1:24">
      <c r="A135" s="28">
        <f>IF(B135="","",ROW()-COUNTBLANK($B$4:B135)-3)</f>
        <v>132</v>
      </c>
      <c r="B135" s="28" t="str">
        <f>'web survey'!C133</f>
        <v>FU-Z1-Eng</v>
      </c>
      <c r="C135" s="29" t="str">
        <f>'web survey'!AA133</f>
        <v>204460620</v>
      </c>
      <c r="D135" s="30" t="str">
        <f>IF(B135="FU-ACInstall",VLOOKUP(VALUE('web survey'!D133),ref!$B$6:$C$7,2,0)&amp;" ("&amp;'web survey'!D133&amp;")",VLOOKUP(VALUE('web survey'!D133),ref!$E$6:$F$10,2,0)&amp;" ("&amp;'web survey'!D133&amp;")")</f>
        <v>Good (10)</v>
      </c>
      <c r="E135" s="32" t="str">
        <f>'web survey'!S133</f>
        <v/>
      </c>
      <c r="F135" s="30" t="str">
        <f>IF(B135="FU-ACInstall",VLOOKUP(VALUE('web survey'!E133),ref!$B$10:$C$12,2,0)&amp;" ("&amp;'web survey'!E133&amp;")",VLOOKUP(VALUE('web survey'!E133),ref!$E$13:$F$17,2,0)&amp;" ("&amp;'web survey'!E133&amp;")")</f>
        <v>Very Good (10)</v>
      </c>
      <c r="G135" s="32" t="str">
        <f>'web survey'!T133</f>
        <v/>
      </c>
      <c r="H135" s="30" t="str">
        <f>IF(B135="FU-ACInstall",VLOOKUP(VALUE('web survey'!F133),ref!$B$15:$C$17,2,0)&amp;" ("&amp;'web survey'!F133&amp;")",VLOOKUP(VALUE('web survey'!F133),ref!$E$20:$F$21,2,0)&amp;" ("&amp;'web survey'!F133&amp;")")</f>
        <v>Appropriate with SAP / in Warranty (10)</v>
      </c>
      <c r="I135" s="32" t="str">
        <f>'web survey'!U133</f>
        <v/>
      </c>
      <c r="J135" s="30" t="str">
        <f>IF(B135="FU-ACInstall","-",VLOOKUP(VALUE('web survey'!G133),ref!$E$24:$F$26,2,0)&amp;" ("&amp;'web survey'!G133&amp;")")</f>
        <v>Jelas (5)</v>
      </c>
      <c r="K135" s="28" t="str">
        <f>YEAR('web survey'!Z133)&amp;"-"&amp;IF(MONTH('web survey'!Z133)&lt;10,"0"&amp;MONTH('web survey'!Z133),MONTH('web survey'!Z133))&amp;"-"&amp;IF(DAY('web survey'!Z133)&lt;10,"0"&amp;DAY('web survey'!Z133),DAY('web survey'!Z133))&amp;" "&amp;IF(HOUR('web survey'!Z133)&lt;10,"0"&amp;HOUR('web survey'!Z133),HOUR('web survey'!Z133))&amp;":"&amp;IF(MINUTE('web survey'!Z133)&lt;10,"0"&amp;MINUTE('web survey'!Z133),MINUTE('web survey'!Z133))&amp;(":00'")</f>
        <v>2026-06-13 15:11:00'</v>
      </c>
      <c r="N135" s="37">
        <v>132</v>
      </c>
      <c r="O135" s="37" t="s">
        <v>27</v>
      </c>
      <c r="P135" s="38" t="s">
        <v>276</v>
      </c>
      <c r="Q135" s="43" t="s">
        <v>18</v>
      </c>
      <c r="R135" s="44" t="s">
        <v>17</v>
      </c>
      <c r="S135" s="43" t="s">
        <v>37</v>
      </c>
      <c r="T135" s="44" t="s">
        <v>17</v>
      </c>
      <c r="U135" s="43" t="s">
        <v>30</v>
      </c>
      <c r="V135" s="44" t="s">
        <v>17</v>
      </c>
      <c r="W135" s="43" t="s">
        <v>34</v>
      </c>
      <c r="X135" s="37" t="s">
        <v>277</v>
      </c>
    </row>
    <row r="136" ht="28.2" customHeight="1" spans="1:24">
      <c r="A136" s="28">
        <f>IF(B136="","",ROW()-COUNTBLANK($B$4:B136)-3)</f>
        <v>133</v>
      </c>
      <c r="B136" s="28" t="str">
        <f>'web survey'!C134</f>
        <v>FU-Z1-Eng</v>
      </c>
      <c r="C136" s="29" t="str">
        <f>'web survey'!AA134</f>
        <v>204468244</v>
      </c>
      <c r="D136" s="30" t="str">
        <f>IF(B136="FU-ACInstall",VLOOKUP(VALUE('web survey'!D134),ref!$B$6:$C$7,2,0)&amp;" ("&amp;'web survey'!D134&amp;")",VLOOKUP(VALUE('web survey'!D134),ref!$E$6:$F$10,2,0)&amp;" ("&amp;'web survey'!D134&amp;")")</f>
        <v>Good (10)</v>
      </c>
      <c r="E136" s="32" t="str">
        <f>'web survey'!S134</f>
        <v/>
      </c>
      <c r="F136" s="30" t="str">
        <f>IF(B136="FU-ACInstall",VLOOKUP(VALUE('web survey'!E134),ref!$B$10:$C$12,2,0)&amp;" ("&amp;'web survey'!E134&amp;")",VLOOKUP(VALUE('web survey'!E134),ref!$E$13:$F$17,2,0)&amp;" ("&amp;'web survey'!E134&amp;")")</f>
        <v>Good (5)</v>
      </c>
      <c r="G136" s="32" t="str">
        <f>'web survey'!T134</f>
        <v/>
      </c>
      <c r="H136" s="30" t="str">
        <f>IF(B136="FU-ACInstall",VLOOKUP(VALUE('web survey'!F134),ref!$B$15:$C$17,2,0)&amp;" ("&amp;'web survey'!F134&amp;")",VLOOKUP(VALUE('web survey'!F134),ref!$E$20:$F$21,2,0)&amp;" ("&amp;'web survey'!F134&amp;")")</f>
        <v>Appropriate with SAP / in Warranty (10)</v>
      </c>
      <c r="I136" s="32" t="str">
        <f>'web survey'!U134</f>
        <v/>
      </c>
      <c r="J136" s="30" t="str">
        <f>IF(B136="FU-ACInstall","-",VLOOKUP(VALUE('web survey'!G134),ref!$E$24:$F$26,2,0)&amp;" ("&amp;'web survey'!G134&amp;")")</f>
        <v>Jelas (5)</v>
      </c>
      <c r="K136" s="28" t="str">
        <f>YEAR('web survey'!Z134)&amp;"-"&amp;IF(MONTH('web survey'!Z134)&lt;10,"0"&amp;MONTH('web survey'!Z134),MONTH('web survey'!Z134))&amp;"-"&amp;IF(DAY('web survey'!Z134)&lt;10,"0"&amp;DAY('web survey'!Z134),DAY('web survey'!Z134))&amp;" "&amp;IF(HOUR('web survey'!Z134)&lt;10,"0"&amp;HOUR('web survey'!Z134),HOUR('web survey'!Z134))&amp;":"&amp;IF(MINUTE('web survey'!Z134)&lt;10,"0"&amp;MINUTE('web survey'!Z134),MINUTE('web survey'!Z134))&amp;(":00'")</f>
        <v>2026-06-13 15:11:00'</v>
      </c>
      <c r="N136" s="37">
        <v>133</v>
      </c>
      <c r="O136" s="37" t="s">
        <v>27</v>
      </c>
      <c r="P136" s="38" t="s">
        <v>278</v>
      </c>
      <c r="Q136" s="43" t="s">
        <v>18</v>
      </c>
      <c r="R136" s="44" t="s">
        <v>17</v>
      </c>
      <c r="S136" s="43" t="s">
        <v>29</v>
      </c>
      <c r="T136" s="44" t="s">
        <v>17</v>
      </c>
      <c r="U136" s="43" t="s">
        <v>30</v>
      </c>
      <c r="V136" s="44" t="s">
        <v>17</v>
      </c>
      <c r="W136" s="43" t="s">
        <v>34</v>
      </c>
      <c r="X136" s="37" t="s">
        <v>277</v>
      </c>
    </row>
    <row r="137" ht="28.2" customHeight="1" spans="1:24">
      <c r="A137" s="28">
        <f>IF(B137="","",ROW()-COUNTBLANK($B$4:B137)-3)</f>
        <v>134</v>
      </c>
      <c r="B137" s="28" t="str">
        <f>'web survey'!C135</f>
        <v>FU-Z1-Eng</v>
      </c>
      <c r="C137" s="29" t="str">
        <f>'web survey'!AA135</f>
        <v>1214A2603325</v>
      </c>
      <c r="D137" s="30" t="str">
        <f>IF(B137="FU-ACInstall",VLOOKUP(VALUE('web survey'!D135),ref!$B$6:$C$7,2,0)&amp;" ("&amp;'web survey'!D135&amp;")",VLOOKUP(VALUE('web survey'!D135),ref!$E$6:$F$10,2,0)&amp;" ("&amp;'web survey'!D135&amp;")")</f>
        <v>Good (10)</v>
      </c>
      <c r="E137" s="32" t="str">
        <f>'web survey'!S135</f>
        <v/>
      </c>
      <c r="F137" s="30" t="str">
        <f>IF(B137="FU-ACInstall",VLOOKUP(VALUE('web survey'!E135),ref!$B$10:$C$12,2,0)&amp;" ("&amp;'web survey'!E135&amp;")",VLOOKUP(VALUE('web survey'!E135),ref!$E$13:$F$17,2,0)&amp;" ("&amp;'web survey'!E135&amp;")")</f>
        <v>Very Good (10)</v>
      </c>
      <c r="G137" s="32" t="str">
        <f>'web survey'!T135</f>
        <v/>
      </c>
      <c r="H137" s="30" t="str">
        <f>IF(B137="FU-ACInstall",VLOOKUP(VALUE('web survey'!F135),ref!$B$15:$C$17,2,0)&amp;" ("&amp;'web survey'!F135&amp;")",VLOOKUP(VALUE('web survey'!F135),ref!$E$20:$F$21,2,0)&amp;" ("&amp;'web survey'!F135&amp;")")</f>
        <v>Appropriate with SAP / in Warranty (10)</v>
      </c>
      <c r="I137" s="32" t="str">
        <f>'web survey'!U135</f>
        <v/>
      </c>
      <c r="J137" s="30" t="str">
        <f>IF(B137="FU-ACInstall","-",VLOOKUP(VALUE('web survey'!G135),ref!$E$24:$F$26,2,0)&amp;" ("&amp;'web survey'!G135&amp;")")</f>
        <v>Jelas (5)</v>
      </c>
      <c r="K137" s="28" t="str">
        <f>YEAR('web survey'!Z135)&amp;"-"&amp;IF(MONTH('web survey'!Z135)&lt;10,"0"&amp;MONTH('web survey'!Z135),MONTH('web survey'!Z135))&amp;"-"&amp;IF(DAY('web survey'!Z135)&lt;10,"0"&amp;DAY('web survey'!Z135),DAY('web survey'!Z135))&amp;" "&amp;IF(HOUR('web survey'!Z135)&lt;10,"0"&amp;HOUR('web survey'!Z135),HOUR('web survey'!Z135))&amp;":"&amp;IF(MINUTE('web survey'!Z135)&lt;10,"0"&amp;MINUTE('web survey'!Z135),MINUTE('web survey'!Z135))&amp;(":00'")</f>
        <v>2026-06-13 15:10:00'</v>
      </c>
      <c r="N137" s="37">
        <v>134</v>
      </c>
      <c r="O137" s="37" t="s">
        <v>27</v>
      </c>
      <c r="P137" s="38" t="s">
        <v>279</v>
      </c>
      <c r="Q137" s="43" t="s">
        <v>18</v>
      </c>
      <c r="R137" s="44" t="s">
        <v>17</v>
      </c>
      <c r="S137" s="43" t="s">
        <v>37</v>
      </c>
      <c r="T137" s="44" t="s">
        <v>17</v>
      </c>
      <c r="U137" s="43" t="s">
        <v>30</v>
      </c>
      <c r="V137" s="44" t="s">
        <v>17</v>
      </c>
      <c r="W137" s="43" t="s">
        <v>34</v>
      </c>
      <c r="X137" s="37" t="s">
        <v>280</v>
      </c>
    </row>
    <row r="138" ht="28.2" customHeight="1" spans="1:24">
      <c r="A138" s="28">
        <f>IF(B138="","",ROW()-COUNTBLANK($B$4:B138)-3)</f>
        <v>135</v>
      </c>
      <c r="B138" s="28" t="str">
        <f>'web survey'!C136</f>
        <v>FU-Z1-Eng</v>
      </c>
      <c r="C138" s="29" t="str">
        <f>'web survey'!AA136</f>
        <v>1100357019</v>
      </c>
      <c r="D138" s="30" t="str">
        <f>IF(B138="FU-ACInstall",VLOOKUP(VALUE('web survey'!D136),ref!$B$6:$C$7,2,0)&amp;" ("&amp;'web survey'!D136&amp;")",VLOOKUP(VALUE('web survey'!D136),ref!$E$6:$F$10,2,0)&amp;" ("&amp;'web survey'!D136&amp;")")</f>
        <v>Good (10)</v>
      </c>
      <c r="E138" s="32" t="str">
        <f>'web survey'!S136</f>
        <v/>
      </c>
      <c r="F138" s="30" t="str">
        <f>IF(B138="FU-ACInstall",VLOOKUP(VALUE('web survey'!E136),ref!$B$10:$C$12,2,0)&amp;" ("&amp;'web survey'!E136&amp;")",VLOOKUP(VALUE('web survey'!E136),ref!$E$13:$F$17,2,0)&amp;" ("&amp;'web survey'!E136&amp;")")</f>
        <v>Very Good (10)</v>
      </c>
      <c r="G138" s="32" t="str">
        <f>'web survey'!T136</f>
        <v/>
      </c>
      <c r="H138" s="30" t="str">
        <f>IF(B138="FU-ACInstall",VLOOKUP(VALUE('web survey'!F136),ref!$B$15:$C$17,2,0)&amp;" ("&amp;'web survey'!F136&amp;")",VLOOKUP(VALUE('web survey'!F136),ref!$E$20:$F$21,2,0)&amp;" ("&amp;'web survey'!F136&amp;")")</f>
        <v>Appropriate with SAP / in Warranty (10)</v>
      </c>
      <c r="I138" s="32" t="str">
        <f>'web survey'!U136</f>
        <v/>
      </c>
      <c r="J138" s="30" t="str">
        <f>IF(B138="FU-ACInstall","-",VLOOKUP(VALUE('web survey'!G136),ref!$E$24:$F$26,2,0)&amp;" ("&amp;'web survey'!G136&amp;")")</f>
        <v>Jelas (5)</v>
      </c>
      <c r="K138" s="28" t="str">
        <f>YEAR('web survey'!Z136)&amp;"-"&amp;IF(MONTH('web survey'!Z136)&lt;10,"0"&amp;MONTH('web survey'!Z136),MONTH('web survey'!Z136))&amp;"-"&amp;IF(DAY('web survey'!Z136)&lt;10,"0"&amp;DAY('web survey'!Z136),DAY('web survey'!Z136))&amp;" "&amp;IF(HOUR('web survey'!Z136)&lt;10,"0"&amp;HOUR('web survey'!Z136),HOUR('web survey'!Z136))&amp;":"&amp;IF(MINUTE('web survey'!Z136)&lt;10,"0"&amp;MINUTE('web survey'!Z136),MINUTE('web survey'!Z136))&amp;(":00'")</f>
        <v>2026-06-13 15:09:00'</v>
      </c>
      <c r="N138" s="37">
        <v>135</v>
      </c>
      <c r="O138" s="37" t="s">
        <v>27</v>
      </c>
      <c r="P138" s="38" t="s">
        <v>281</v>
      </c>
      <c r="Q138" s="43" t="s">
        <v>18</v>
      </c>
      <c r="R138" s="44" t="s">
        <v>17</v>
      </c>
      <c r="S138" s="43" t="s">
        <v>37</v>
      </c>
      <c r="T138" s="44" t="s">
        <v>17</v>
      </c>
      <c r="U138" s="43" t="s">
        <v>30</v>
      </c>
      <c r="V138" s="44" t="s">
        <v>17</v>
      </c>
      <c r="W138" s="43" t="s">
        <v>34</v>
      </c>
      <c r="X138" s="37" t="s">
        <v>282</v>
      </c>
    </row>
    <row r="139" ht="28.2" customHeight="1" spans="1:24">
      <c r="A139" s="28">
        <f>IF(B139="","",ROW()-COUNTBLANK($B$4:B139)-3)</f>
        <v>136</v>
      </c>
      <c r="B139" s="28" t="str">
        <f>'web survey'!C137</f>
        <v>FU-Z1-Eng</v>
      </c>
      <c r="C139" s="29" t="str">
        <f>'web survey'!AA137</f>
        <v>204473230</v>
      </c>
      <c r="D139" s="30" t="str">
        <f>IF(B139="FU-ACInstall",VLOOKUP(VALUE('web survey'!D137),ref!$B$6:$C$7,2,0)&amp;" ("&amp;'web survey'!D137&amp;")",VLOOKUP(VALUE('web survey'!D137),ref!$E$6:$F$10,2,0)&amp;" ("&amp;'web survey'!D137&amp;")")</f>
        <v>Good (10)</v>
      </c>
      <c r="E139" s="32" t="str">
        <f>'web survey'!S137</f>
        <v/>
      </c>
      <c r="F139" s="30" t="str">
        <f>IF(B139="FU-ACInstall",VLOOKUP(VALUE('web survey'!E137),ref!$B$10:$C$12,2,0)&amp;" ("&amp;'web survey'!E137&amp;")",VLOOKUP(VALUE('web survey'!E137),ref!$E$13:$F$17,2,0)&amp;" ("&amp;'web survey'!E137&amp;")")</f>
        <v>Very Good (10)</v>
      </c>
      <c r="G139" s="32" t="str">
        <f>'web survey'!T137</f>
        <v/>
      </c>
      <c r="H139" s="30" t="str">
        <f>IF(B139="FU-ACInstall",VLOOKUP(VALUE('web survey'!F137),ref!$B$15:$C$17,2,0)&amp;" ("&amp;'web survey'!F137&amp;")",VLOOKUP(VALUE('web survey'!F137),ref!$E$20:$F$21,2,0)&amp;" ("&amp;'web survey'!F137&amp;")")</f>
        <v>Appropriate with SAP / in Warranty (10)</v>
      </c>
      <c r="I139" s="32" t="str">
        <f>'web survey'!U137</f>
        <v/>
      </c>
      <c r="J139" s="30" t="str">
        <f>IF(B139="FU-ACInstall","-",VLOOKUP(VALUE('web survey'!G137),ref!$E$24:$F$26,2,0)&amp;" ("&amp;'web survey'!G137&amp;")")</f>
        <v>Jelas (5)</v>
      </c>
      <c r="K139" s="28" t="str">
        <f>YEAR('web survey'!Z137)&amp;"-"&amp;IF(MONTH('web survey'!Z137)&lt;10,"0"&amp;MONTH('web survey'!Z137),MONTH('web survey'!Z137))&amp;"-"&amp;IF(DAY('web survey'!Z137)&lt;10,"0"&amp;DAY('web survey'!Z137),DAY('web survey'!Z137))&amp;" "&amp;IF(HOUR('web survey'!Z137)&lt;10,"0"&amp;HOUR('web survey'!Z137),HOUR('web survey'!Z137))&amp;":"&amp;IF(MINUTE('web survey'!Z137)&lt;10,"0"&amp;MINUTE('web survey'!Z137),MINUTE('web survey'!Z137))&amp;(":00'")</f>
        <v>2026-06-13 15:09:00'</v>
      </c>
      <c r="N139" s="37">
        <v>136</v>
      </c>
      <c r="O139" s="37" t="s">
        <v>27</v>
      </c>
      <c r="P139" s="38" t="s">
        <v>283</v>
      </c>
      <c r="Q139" s="43" t="s">
        <v>18</v>
      </c>
      <c r="R139" s="44" t="s">
        <v>17</v>
      </c>
      <c r="S139" s="43" t="s">
        <v>37</v>
      </c>
      <c r="T139" s="44" t="s">
        <v>17</v>
      </c>
      <c r="U139" s="43" t="s">
        <v>30</v>
      </c>
      <c r="V139" s="44" t="s">
        <v>17</v>
      </c>
      <c r="W139" s="43" t="s">
        <v>34</v>
      </c>
      <c r="X139" s="37" t="s">
        <v>282</v>
      </c>
    </row>
    <row r="140" ht="28.2" customHeight="1" spans="1:24">
      <c r="A140" s="28">
        <f>IF(B140="","",ROW()-COUNTBLANK($B$4:B140)-3)</f>
        <v>137</v>
      </c>
      <c r="B140" s="28" t="str">
        <f>'web survey'!C138</f>
        <v>FU-Z1-Eng</v>
      </c>
      <c r="C140" s="29" t="str">
        <f>'web survey'!AA138</f>
        <v>204464029</v>
      </c>
      <c r="D140" s="30" t="str">
        <f>IF(B140="FU-ACInstall",VLOOKUP(VALUE('web survey'!D138),ref!$B$6:$C$7,2,0)&amp;" ("&amp;'web survey'!D138&amp;")",VLOOKUP(VALUE('web survey'!D138),ref!$E$6:$F$10,2,0)&amp;" ("&amp;'web survey'!D138&amp;")")</f>
        <v>Good (10)</v>
      </c>
      <c r="E140" s="32" t="str">
        <f>'web survey'!S138</f>
        <v/>
      </c>
      <c r="F140" s="30" t="str">
        <f>IF(B140="FU-ACInstall",VLOOKUP(VALUE('web survey'!E138),ref!$B$10:$C$12,2,0)&amp;" ("&amp;'web survey'!E138&amp;")",VLOOKUP(VALUE('web survey'!E138),ref!$E$13:$F$17,2,0)&amp;" ("&amp;'web survey'!E138&amp;")")</f>
        <v>Very Good (10)</v>
      </c>
      <c r="G140" s="32" t="str">
        <f>'web survey'!T138</f>
        <v/>
      </c>
      <c r="H140" s="30" t="str">
        <f>IF(B140="FU-ACInstall",VLOOKUP(VALUE('web survey'!F138),ref!$B$15:$C$17,2,0)&amp;" ("&amp;'web survey'!F138&amp;")",VLOOKUP(VALUE('web survey'!F138),ref!$E$20:$F$21,2,0)&amp;" ("&amp;'web survey'!F138&amp;")")</f>
        <v>Appropriate with SAP / in Warranty (10)</v>
      </c>
      <c r="I140" s="32" t="str">
        <f>'web survey'!U138</f>
        <v/>
      </c>
      <c r="J140" s="30" t="str">
        <f>IF(B140="FU-ACInstall","-",VLOOKUP(VALUE('web survey'!G138),ref!$E$24:$F$26,2,0)&amp;" ("&amp;'web survey'!G138&amp;")")</f>
        <v>Jelas (5)</v>
      </c>
      <c r="K140" s="28" t="str">
        <f>YEAR('web survey'!Z138)&amp;"-"&amp;IF(MONTH('web survey'!Z138)&lt;10,"0"&amp;MONTH('web survey'!Z138),MONTH('web survey'!Z138))&amp;"-"&amp;IF(DAY('web survey'!Z138)&lt;10,"0"&amp;DAY('web survey'!Z138),DAY('web survey'!Z138))&amp;" "&amp;IF(HOUR('web survey'!Z138)&lt;10,"0"&amp;HOUR('web survey'!Z138),HOUR('web survey'!Z138))&amp;":"&amp;IF(MINUTE('web survey'!Z138)&lt;10,"0"&amp;MINUTE('web survey'!Z138),MINUTE('web survey'!Z138))&amp;(":00'")</f>
        <v>2026-06-13 15:09:00'</v>
      </c>
      <c r="N140" s="37">
        <v>137</v>
      </c>
      <c r="O140" s="37" t="s">
        <v>27</v>
      </c>
      <c r="P140" s="38" t="s">
        <v>284</v>
      </c>
      <c r="Q140" s="43" t="s">
        <v>18</v>
      </c>
      <c r="R140" s="44" t="s">
        <v>17</v>
      </c>
      <c r="S140" s="43" t="s">
        <v>37</v>
      </c>
      <c r="T140" s="44" t="s">
        <v>17</v>
      </c>
      <c r="U140" s="43" t="s">
        <v>30</v>
      </c>
      <c r="V140" s="44" t="s">
        <v>17</v>
      </c>
      <c r="W140" s="43" t="s">
        <v>34</v>
      </c>
      <c r="X140" s="37" t="s">
        <v>282</v>
      </c>
    </row>
    <row r="141" ht="28.2" customHeight="1" spans="1:24">
      <c r="A141" s="28">
        <f>IF(B141="","",ROW()-COUNTBLANK($B$4:B141)-3)</f>
        <v>138</v>
      </c>
      <c r="B141" s="28" t="str">
        <f>'web survey'!C139</f>
        <v>FU-Z1-Eng</v>
      </c>
      <c r="C141" s="29" t="str">
        <f>'web survey'!AA139</f>
        <v>3309A2600252</v>
      </c>
      <c r="D141" s="30" t="str">
        <f>IF(B141="FU-ACInstall",VLOOKUP(VALUE('web survey'!D139),ref!$B$6:$C$7,2,0)&amp;" ("&amp;'web survey'!D139&amp;")",VLOOKUP(VALUE('web survey'!D139),ref!$E$6:$F$10,2,0)&amp;" ("&amp;'web survey'!D139&amp;")")</f>
        <v>Good (10)</v>
      </c>
      <c r="E141" s="32" t="str">
        <f>'web survey'!S139</f>
        <v/>
      </c>
      <c r="F141" s="30" t="str">
        <f>IF(B141="FU-ACInstall",VLOOKUP(VALUE('web survey'!E139),ref!$B$10:$C$12,2,0)&amp;" ("&amp;'web survey'!E139&amp;")",VLOOKUP(VALUE('web survey'!E139),ref!$E$13:$F$17,2,0)&amp;" ("&amp;'web survey'!E139&amp;")")</f>
        <v>Very Good (10)</v>
      </c>
      <c r="G141" s="32" t="str">
        <f>'web survey'!T139</f>
        <v/>
      </c>
      <c r="H141" s="30" t="str">
        <f>IF(B141="FU-ACInstall",VLOOKUP(VALUE('web survey'!F139),ref!$B$15:$C$17,2,0)&amp;" ("&amp;'web survey'!F139&amp;")",VLOOKUP(VALUE('web survey'!F139),ref!$E$20:$F$21,2,0)&amp;" ("&amp;'web survey'!F139&amp;")")</f>
        <v>Different with SAP (-10)</v>
      </c>
      <c r="I141" s="32" t="str">
        <f>'web survey'!U139</f>
        <v/>
      </c>
      <c r="J141" s="30" t="str">
        <f>IF(B141="FU-ACInstall","-",VLOOKUP(VALUE('web survey'!G139),ref!$E$24:$F$26,2,0)&amp;" ("&amp;'web survey'!G139&amp;")")</f>
        <v>Jelas (5)</v>
      </c>
      <c r="K141" s="28" t="str">
        <f>YEAR('web survey'!Z139)&amp;"-"&amp;IF(MONTH('web survey'!Z139)&lt;10,"0"&amp;MONTH('web survey'!Z139),MONTH('web survey'!Z139))&amp;"-"&amp;IF(DAY('web survey'!Z139)&lt;10,"0"&amp;DAY('web survey'!Z139),DAY('web survey'!Z139))&amp;" "&amp;IF(HOUR('web survey'!Z139)&lt;10,"0"&amp;HOUR('web survey'!Z139),HOUR('web survey'!Z139))&amp;":"&amp;IF(MINUTE('web survey'!Z139)&lt;10,"0"&amp;MINUTE('web survey'!Z139),MINUTE('web survey'!Z139))&amp;(":00'")</f>
        <v>2026-06-13 15:08:00'</v>
      </c>
      <c r="N141" s="37">
        <v>138</v>
      </c>
      <c r="O141" s="37" t="s">
        <v>27</v>
      </c>
      <c r="P141" s="38" t="s">
        <v>285</v>
      </c>
      <c r="Q141" s="43" t="s">
        <v>18</v>
      </c>
      <c r="R141" s="44" t="s">
        <v>17</v>
      </c>
      <c r="S141" s="43" t="s">
        <v>37</v>
      </c>
      <c r="T141" s="44" t="s">
        <v>17</v>
      </c>
      <c r="U141" s="43" t="s">
        <v>87</v>
      </c>
      <c r="V141" s="44" t="s">
        <v>17</v>
      </c>
      <c r="W141" s="43" t="s">
        <v>34</v>
      </c>
      <c r="X141" s="37" t="s">
        <v>286</v>
      </c>
    </row>
    <row r="142" ht="28.2" customHeight="1" spans="1:24">
      <c r="A142" s="28">
        <f>IF(B142="","",ROW()-COUNTBLANK($B$4:B142)-3)</f>
        <v>139</v>
      </c>
      <c r="B142" s="28" t="str">
        <f>'web survey'!C140</f>
        <v>FU-Z1-Eng</v>
      </c>
      <c r="C142" s="29" t="str">
        <f>'web survey'!AA140</f>
        <v>204473360</v>
      </c>
      <c r="D142" s="30" t="str">
        <f>IF(B142="FU-ACInstall",VLOOKUP(VALUE('web survey'!D140),ref!$B$6:$C$7,2,0)&amp;" ("&amp;'web survey'!D140&amp;")",VLOOKUP(VALUE('web survey'!D140),ref!$E$6:$F$10,2,0)&amp;" ("&amp;'web survey'!D140&amp;")")</f>
        <v>Good (10)</v>
      </c>
      <c r="E142" s="32" t="str">
        <f>'web survey'!S140</f>
        <v/>
      </c>
      <c r="F142" s="30" t="str">
        <f>IF(B142="FU-ACInstall",VLOOKUP(VALUE('web survey'!E140),ref!$B$10:$C$12,2,0)&amp;" ("&amp;'web survey'!E140&amp;")",VLOOKUP(VALUE('web survey'!E140),ref!$E$13:$F$17,2,0)&amp;" ("&amp;'web survey'!E140&amp;")")</f>
        <v>Very Good (10)</v>
      </c>
      <c r="G142" s="32" t="str">
        <f>'web survey'!T140</f>
        <v/>
      </c>
      <c r="H142" s="30" t="str">
        <f>IF(B142="FU-ACInstall",VLOOKUP(VALUE('web survey'!F140),ref!$B$15:$C$17,2,0)&amp;" ("&amp;'web survey'!F140&amp;")",VLOOKUP(VALUE('web survey'!F140),ref!$E$20:$F$21,2,0)&amp;" ("&amp;'web survey'!F140&amp;")")</f>
        <v>Appropriate with SAP / in Warranty (10)</v>
      </c>
      <c r="I142" s="32" t="str">
        <f>'web survey'!U140</f>
        <v/>
      </c>
      <c r="J142" s="30" t="str">
        <f>IF(B142="FU-ACInstall","-",VLOOKUP(VALUE('web survey'!G140),ref!$E$24:$F$26,2,0)&amp;" ("&amp;'web survey'!G140&amp;")")</f>
        <v>Jelas (5)</v>
      </c>
      <c r="K142" s="28" t="str">
        <f>YEAR('web survey'!Z140)&amp;"-"&amp;IF(MONTH('web survey'!Z140)&lt;10,"0"&amp;MONTH('web survey'!Z140),MONTH('web survey'!Z140))&amp;"-"&amp;IF(DAY('web survey'!Z140)&lt;10,"0"&amp;DAY('web survey'!Z140),DAY('web survey'!Z140))&amp;" "&amp;IF(HOUR('web survey'!Z140)&lt;10,"0"&amp;HOUR('web survey'!Z140),HOUR('web survey'!Z140))&amp;":"&amp;IF(MINUTE('web survey'!Z140)&lt;10,"0"&amp;MINUTE('web survey'!Z140),MINUTE('web survey'!Z140))&amp;(":00'")</f>
        <v>2026-06-13 15:08:00'</v>
      </c>
      <c r="N142" s="37">
        <v>139</v>
      </c>
      <c r="O142" s="37" t="s">
        <v>27</v>
      </c>
      <c r="P142" s="38" t="s">
        <v>287</v>
      </c>
      <c r="Q142" s="43" t="s">
        <v>18</v>
      </c>
      <c r="R142" s="44" t="s">
        <v>17</v>
      </c>
      <c r="S142" s="43" t="s">
        <v>37</v>
      </c>
      <c r="T142" s="44" t="s">
        <v>17</v>
      </c>
      <c r="U142" s="43" t="s">
        <v>30</v>
      </c>
      <c r="V142" s="44" t="s">
        <v>17</v>
      </c>
      <c r="W142" s="43" t="s">
        <v>34</v>
      </c>
      <c r="X142" s="37" t="s">
        <v>286</v>
      </c>
    </row>
    <row r="143" ht="28.2" customHeight="1" spans="1:24">
      <c r="A143" s="28">
        <f>IF(B143="","",ROW()-COUNTBLANK($B$4:B143)-3)</f>
        <v>140</v>
      </c>
      <c r="B143" s="28" t="str">
        <f>'web survey'!C141</f>
        <v>FU-Z1-Eng</v>
      </c>
      <c r="C143" s="29" t="str">
        <f>'web survey'!AA141</f>
        <v>204474069</v>
      </c>
      <c r="D143" s="30" t="str">
        <f>IF(B143="FU-ACInstall",VLOOKUP(VALUE('web survey'!D141),ref!$B$6:$C$7,2,0)&amp;" ("&amp;'web survey'!D141&amp;")",VLOOKUP(VALUE('web survey'!D141),ref!$E$6:$F$10,2,0)&amp;" ("&amp;'web survey'!D141&amp;")")</f>
        <v>Good (10)</v>
      </c>
      <c r="E143" s="32" t="str">
        <f>'web survey'!S141</f>
        <v/>
      </c>
      <c r="F143" s="30" t="str">
        <f>IF(B143="FU-ACInstall",VLOOKUP(VALUE('web survey'!E141),ref!$B$10:$C$12,2,0)&amp;" ("&amp;'web survey'!E141&amp;")",VLOOKUP(VALUE('web survey'!E141),ref!$E$13:$F$17,2,0)&amp;" ("&amp;'web survey'!E141&amp;")")</f>
        <v>Good (5)</v>
      </c>
      <c r="G143" s="32" t="str">
        <f>'web survey'!T141</f>
        <v/>
      </c>
      <c r="H143" s="30" t="str">
        <f>IF(B143="FU-ACInstall",VLOOKUP(VALUE('web survey'!F141),ref!$B$15:$C$17,2,0)&amp;" ("&amp;'web survey'!F141&amp;")",VLOOKUP(VALUE('web survey'!F141),ref!$E$20:$F$21,2,0)&amp;" ("&amp;'web survey'!F141&amp;")")</f>
        <v>Appropriate with SAP / in Warranty (10)</v>
      </c>
      <c r="I143" s="32" t="str">
        <f>'web survey'!U141</f>
        <v/>
      </c>
      <c r="J143" s="30" t="str">
        <f>IF(B143="FU-ACInstall","-",VLOOKUP(VALUE('web survey'!G141),ref!$E$24:$F$26,2,0)&amp;" ("&amp;'web survey'!G141&amp;")")</f>
        <v>Jelas (5)</v>
      </c>
      <c r="K143" s="28" t="str">
        <f>YEAR('web survey'!Z141)&amp;"-"&amp;IF(MONTH('web survey'!Z141)&lt;10,"0"&amp;MONTH('web survey'!Z141),MONTH('web survey'!Z141))&amp;"-"&amp;IF(DAY('web survey'!Z141)&lt;10,"0"&amp;DAY('web survey'!Z141),DAY('web survey'!Z141))&amp;" "&amp;IF(HOUR('web survey'!Z141)&lt;10,"0"&amp;HOUR('web survey'!Z141),HOUR('web survey'!Z141))&amp;":"&amp;IF(MINUTE('web survey'!Z141)&lt;10,"0"&amp;MINUTE('web survey'!Z141),MINUTE('web survey'!Z141))&amp;(":00'")</f>
        <v>2026-06-13 15:07:00'</v>
      </c>
      <c r="N143" s="37">
        <v>140</v>
      </c>
      <c r="O143" s="37" t="s">
        <v>27</v>
      </c>
      <c r="P143" s="38" t="s">
        <v>288</v>
      </c>
      <c r="Q143" s="43" t="s">
        <v>18</v>
      </c>
      <c r="R143" s="44" t="s">
        <v>17</v>
      </c>
      <c r="S143" s="43" t="s">
        <v>29</v>
      </c>
      <c r="T143" s="44" t="s">
        <v>17</v>
      </c>
      <c r="U143" s="43" t="s">
        <v>30</v>
      </c>
      <c r="V143" s="44" t="s">
        <v>17</v>
      </c>
      <c r="W143" s="43" t="s">
        <v>34</v>
      </c>
      <c r="X143" s="37" t="s">
        <v>289</v>
      </c>
    </row>
    <row r="144" ht="28.2" customHeight="1" spans="1:24">
      <c r="A144" s="28">
        <f>IF(B144="","",ROW()-COUNTBLANK($B$4:B144)-3)</f>
        <v>141</v>
      </c>
      <c r="B144" s="28" t="str">
        <f>'web survey'!C142</f>
        <v>FU-Z1-Eng</v>
      </c>
      <c r="C144" s="29" t="str">
        <f>'web survey'!AA142</f>
        <v>1100357352</v>
      </c>
      <c r="D144" s="30" t="str">
        <f>IF(B144="FU-ACInstall",VLOOKUP(VALUE('web survey'!D142),ref!$B$6:$C$7,2,0)&amp;" ("&amp;'web survey'!D142&amp;")",VLOOKUP(VALUE('web survey'!D142),ref!$E$6:$F$10,2,0)&amp;" ("&amp;'web survey'!D142&amp;")")</f>
        <v>Good (10)</v>
      </c>
      <c r="E144" s="32" t="str">
        <f>'web survey'!S142</f>
        <v/>
      </c>
      <c r="F144" s="30" t="str">
        <f>IF(B144="FU-ACInstall",VLOOKUP(VALUE('web survey'!E142),ref!$B$10:$C$12,2,0)&amp;" ("&amp;'web survey'!E142&amp;")",VLOOKUP(VALUE('web survey'!E142),ref!$E$13:$F$17,2,0)&amp;" ("&amp;'web survey'!E142&amp;")")</f>
        <v>Very Good (10)</v>
      </c>
      <c r="G144" s="32" t="str">
        <f>'web survey'!T142</f>
        <v/>
      </c>
      <c r="H144" s="30" t="str">
        <f>IF(B144="FU-ACInstall",VLOOKUP(VALUE('web survey'!F142),ref!$B$15:$C$17,2,0)&amp;" ("&amp;'web survey'!F142&amp;")",VLOOKUP(VALUE('web survey'!F142),ref!$E$20:$F$21,2,0)&amp;" ("&amp;'web survey'!F142&amp;")")</f>
        <v>Appropriate with SAP / in Warranty (10)</v>
      </c>
      <c r="I144" s="32" t="str">
        <f>'web survey'!U142</f>
        <v/>
      </c>
      <c r="J144" s="30" t="str">
        <f>IF(B144="FU-ACInstall","-",VLOOKUP(VALUE('web survey'!G142),ref!$E$24:$F$26,2,0)&amp;" ("&amp;'web survey'!G142&amp;")")</f>
        <v>Jelas (5)</v>
      </c>
      <c r="K144" s="28" t="str">
        <f>YEAR('web survey'!Z142)&amp;"-"&amp;IF(MONTH('web survey'!Z142)&lt;10,"0"&amp;MONTH('web survey'!Z142),MONTH('web survey'!Z142))&amp;"-"&amp;IF(DAY('web survey'!Z142)&lt;10,"0"&amp;DAY('web survey'!Z142),DAY('web survey'!Z142))&amp;" "&amp;IF(HOUR('web survey'!Z142)&lt;10,"0"&amp;HOUR('web survey'!Z142),HOUR('web survey'!Z142))&amp;":"&amp;IF(MINUTE('web survey'!Z142)&lt;10,"0"&amp;MINUTE('web survey'!Z142),MINUTE('web survey'!Z142))&amp;(":00'")</f>
        <v>2026-06-13 15:07:00'</v>
      </c>
      <c r="N144" s="37">
        <v>141</v>
      </c>
      <c r="O144" s="37" t="s">
        <v>27</v>
      </c>
      <c r="P144" s="38" t="s">
        <v>290</v>
      </c>
      <c r="Q144" s="43" t="s">
        <v>18</v>
      </c>
      <c r="R144" s="44" t="s">
        <v>17</v>
      </c>
      <c r="S144" s="43" t="s">
        <v>37</v>
      </c>
      <c r="T144" s="44" t="s">
        <v>17</v>
      </c>
      <c r="U144" s="43" t="s">
        <v>30</v>
      </c>
      <c r="V144" s="44" t="s">
        <v>17</v>
      </c>
      <c r="W144" s="43" t="s">
        <v>34</v>
      </c>
      <c r="X144" s="37" t="s">
        <v>289</v>
      </c>
    </row>
    <row r="145" ht="28.2" customHeight="1" spans="1:24">
      <c r="A145" s="28">
        <f>IF(B145="","",ROW()-COUNTBLANK($B$4:B145)-3)</f>
        <v>142</v>
      </c>
      <c r="B145" s="28" t="str">
        <f>'web survey'!C143</f>
        <v>FU-Z1-Eng</v>
      </c>
      <c r="C145" s="29" t="str">
        <f>'web survey'!AA143</f>
        <v>1033A2601422</v>
      </c>
      <c r="D145" s="30" t="str">
        <f>IF(B145="FU-ACInstall",VLOOKUP(VALUE('web survey'!D143),ref!$B$6:$C$7,2,0)&amp;" ("&amp;'web survey'!D143&amp;")",VLOOKUP(VALUE('web survey'!D143),ref!$E$6:$F$10,2,0)&amp;" ("&amp;'web survey'!D143&amp;")")</f>
        <v>Good (10)</v>
      </c>
      <c r="E145" s="32" t="str">
        <f>'web survey'!S143</f>
        <v/>
      </c>
      <c r="F145" s="30" t="str">
        <f>IF(B145="FU-ACInstall",VLOOKUP(VALUE('web survey'!E143),ref!$B$10:$C$12,2,0)&amp;" ("&amp;'web survey'!E143&amp;")",VLOOKUP(VALUE('web survey'!E143),ref!$E$13:$F$17,2,0)&amp;" ("&amp;'web survey'!E143&amp;")")</f>
        <v>Good (5)</v>
      </c>
      <c r="G145" s="32" t="str">
        <f>'web survey'!T143</f>
        <v/>
      </c>
      <c r="H145" s="30" t="str">
        <f>IF(B145="FU-ACInstall",VLOOKUP(VALUE('web survey'!F143),ref!$B$15:$C$17,2,0)&amp;" ("&amp;'web survey'!F143&amp;")",VLOOKUP(VALUE('web survey'!F143),ref!$E$20:$F$21,2,0)&amp;" ("&amp;'web survey'!F143&amp;")")</f>
        <v>Appropriate with SAP / in Warranty (10)</v>
      </c>
      <c r="I145" s="32" t="str">
        <f>'web survey'!U143</f>
        <v/>
      </c>
      <c r="J145" s="30" t="str">
        <f>IF(B145="FU-ACInstall","-",VLOOKUP(VALUE('web survey'!G143),ref!$E$24:$F$26,2,0)&amp;" ("&amp;'web survey'!G143&amp;")")</f>
        <v>Jelas (5)</v>
      </c>
      <c r="K145" s="28" t="str">
        <f>YEAR('web survey'!Z143)&amp;"-"&amp;IF(MONTH('web survey'!Z143)&lt;10,"0"&amp;MONTH('web survey'!Z143),MONTH('web survey'!Z143))&amp;"-"&amp;IF(DAY('web survey'!Z143)&lt;10,"0"&amp;DAY('web survey'!Z143),DAY('web survey'!Z143))&amp;" "&amp;IF(HOUR('web survey'!Z143)&lt;10,"0"&amp;HOUR('web survey'!Z143),HOUR('web survey'!Z143))&amp;":"&amp;IF(MINUTE('web survey'!Z143)&lt;10,"0"&amp;MINUTE('web survey'!Z143),MINUTE('web survey'!Z143))&amp;(":00'")</f>
        <v>2026-06-13 15:07:00'</v>
      </c>
      <c r="N145" s="37">
        <v>142</v>
      </c>
      <c r="O145" s="37" t="s">
        <v>27</v>
      </c>
      <c r="P145" s="38" t="s">
        <v>291</v>
      </c>
      <c r="Q145" s="43" t="s">
        <v>18</v>
      </c>
      <c r="R145" s="44" t="s">
        <v>17</v>
      </c>
      <c r="S145" s="43" t="s">
        <v>29</v>
      </c>
      <c r="T145" s="44" t="s">
        <v>17</v>
      </c>
      <c r="U145" s="43" t="s">
        <v>30</v>
      </c>
      <c r="V145" s="44" t="s">
        <v>17</v>
      </c>
      <c r="W145" s="43" t="s">
        <v>34</v>
      </c>
      <c r="X145" s="37" t="s">
        <v>289</v>
      </c>
    </row>
    <row r="146" ht="28.2" customHeight="1" spans="1:24">
      <c r="A146" s="28">
        <f>IF(B146="","",ROW()-COUNTBLANK($B$4:B146)-3)</f>
        <v>143</v>
      </c>
      <c r="B146" s="28" t="str">
        <f>'web survey'!C144</f>
        <v>FU-Z1-Eng</v>
      </c>
      <c r="C146" s="29" t="str">
        <f>'web survey'!AA144</f>
        <v>100987598</v>
      </c>
      <c r="D146" s="30" t="str">
        <f>IF(B146="FU-ACInstall",VLOOKUP(VALUE('web survey'!D144),ref!$B$6:$C$7,2,0)&amp;" ("&amp;'web survey'!D144&amp;")",VLOOKUP(VALUE('web survey'!D144),ref!$E$6:$F$10,2,0)&amp;" ("&amp;'web survey'!D144&amp;")")</f>
        <v>Good (10)</v>
      </c>
      <c r="E146" s="32" t="str">
        <f>'web survey'!S144</f>
        <v/>
      </c>
      <c r="F146" s="30" t="str">
        <f>IF(B146="FU-ACInstall",VLOOKUP(VALUE('web survey'!E144),ref!$B$10:$C$12,2,0)&amp;" ("&amp;'web survey'!E144&amp;")",VLOOKUP(VALUE('web survey'!E144),ref!$E$13:$F$17,2,0)&amp;" ("&amp;'web survey'!E144&amp;")")</f>
        <v>Very Good (10)</v>
      </c>
      <c r="G146" s="32" t="str">
        <f>'web survey'!T144</f>
        <v/>
      </c>
      <c r="H146" s="30" t="str">
        <f>IF(B146="FU-ACInstall",VLOOKUP(VALUE('web survey'!F144),ref!$B$15:$C$17,2,0)&amp;" ("&amp;'web survey'!F144&amp;")",VLOOKUP(VALUE('web survey'!F144),ref!$E$20:$F$21,2,0)&amp;" ("&amp;'web survey'!F144&amp;")")</f>
        <v>Appropriate with SAP / in Warranty (10)</v>
      </c>
      <c r="I146" s="32" t="str">
        <f>'web survey'!U144</f>
        <v/>
      </c>
      <c r="J146" s="30" t="str">
        <f>IF(B146="FU-ACInstall","-",VLOOKUP(VALUE('web survey'!G144),ref!$E$24:$F$26,2,0)&amp;" ("&amp;'web survey'!G144&amp;")")</f>
        <v>Kurang jelas (3)</v>
      </c>
      <c r="K146" s="28" t="str">
        <f>YEAR('web survey'!Z144)&amp;"-"&amp;IF(MONTH('web survey'!Z144)&lt;10,"0"&amp;MONTH('web survey'!Z144),MONTH('web survey'!Z144))&amp;"-"&amp;IF(DAY('web survey'!Z144)&lt;10,"0"&amp;DAY('web survey'!Z144),DAY('web survey'!Z144))&amp;" "&amp;IF(HOUR('web survey'!Z144)&lt;10,"0"&amp;HOUR('web survey'!Z144),HOUR('web survey'!Z144))&amp;":"&amp;IF(MINUTE('web survey'!Z144)&lt;10,"0"&amp;MINUTE('web survey'!Z144),MINUTE('web survey'!Z144))&amp;(":00'")</f>
        <v>2026-06-13 15:07:00'</v>
      </c>
      <c r="N146" s="37">
        <v>143</v>
      </c>
      <c r="O146" s="37" t="s">
        <v>27</v>
      </c>
      <c r="P146" s="38" t="s">
        <v>292</v>
      </c>
      <c r="Q146" s="43" t="s">
        <v>18</v>
      </c>
      <c r="R146" s="44" t="s">
        <v>17</v>
      </c>
      <c r="S146" s="43" t="s">
        <v>37</v>
      </c>
      <c r="T146" s="44" t="s">
        <v>17</v>
      </c>
      <c r="U146" s="43" t="s">
        <v>30</v>
      </c>
      <c r="V146" s="44" t="s">
        <v>17</v>
      </c>
      <c r="W146" s="43" t="s">
        <v>154</v>
      </c>
      <c r="X146" s="37" t="s">
        <v>289</v>
      </c>
    </row>
    <row r="147" ht="28.2" customHeight="1" spans="1:24">
      <c r="A147" s="28">
        <f>IF(B147="","",ROW()-COUNTBLANK($B$4:B147)-3)</f>
        <v>144</v>
      </c>
      <c r="B147" s="28" t="str">
        <f>'web survey'!C145</f>
        <v>FU-Z1-Eng</v>
      </c>
      <c r="C147" s="29" t="str">
        <f>'web survey'!AA145</f>
        <v>1506A2600033</v>
      </c>
      <c r="D147" s="30" t="str">
        <f>IF(B147="FU-ACInstall",VLOOKUP(VALUE('web survey'!D145),ref!$B$6:$C$7,2,0)&amp;" ("&amp;'web survey'!D145&amp;")",VLOOKUP(VALUE('web survey'!D145),ref!$E$6:$F$10,2,0)&amp;" ("&amp;'web survey'!D145&amp;")")</f>
        <v>Good (10)</v>
      </c>
      <c r="E147" s="32" t="str">
        <f>'web survey'!S145</f>
        <v/>
      </c>
      <c r="F147" s="30" t="str">
        <f>IF(B147="FU-ACInstall",VLOOKUP(VALUE('web survey'!E145),ref!$B$10:$C$12,2,0)&amp;" ("&amp;'web survey'!E145&amp;")",VLOOKUP(VALUE('web survey'!E145),ref!$E$13:$F$17,2,0)&amp;" ("&amp;'web survey'!E145&amp;")")</f>
        <v>Very Good (10)</v>
      </c>
      <c r="G147" s="32" t="str">
        <f>'web survey'!T145</f>
        <v/>
      </c>
      <c r="H147" s="30" t="str">
        <f>IF(B147="FU-ACInstall",VLOOKUP(VALUE('web survey'!F145),ref!$B$15:$C$17,2,0)&amp;" ("&amp;'web survey'!F145&amp;")",VLOOKUP(VALUE('web survey'!F145),ref!$E$20:$F$21,2,0)&amp;" ("&amp;'web survey'!F145&amp;")")</f>
        <v>Appropriate with SAP / in Warranty (10)</v>
      </c>
      <c r="I147" s="32" t="str">
        <f>'web survey'!U145</f>
        <v/>
      </c>
      <c r="J147" s="30" t="str">
        <f>IF(B147="FU-ACInstall","-",VLOOKUP(VALUE('web survey'!G145),ref!$E$24:$F$26,2,0)&amp;" ("&amp;'web survey'!G145&amp;")")</f>
        <v>Jelas (5)</v>
      </c>
      <c r="K147" s="28" t="str">
        <f>YEAR('web survey'!Z145)&amp;"-"&amp;IF(MONTH('web survey'!Z145)&lt;10,"0"&amp;MONTH('web survey'!Z145),MONTH('web survey'!Z145))&amp;"-"&amp;IF(DAY('web survey'!Z145)&lt;10,"0"&amp;DAY('web survey'!Z145),DAY('web survey'!Z145))&amp;" "&amp;IF(HOUR('web survey'!Z145)&lt;10,"0"&amp;HOUR('web survey'!Z145),HOUR('web survey'!Z145))&amp;":"&amp;IF(MINUTE('web survey'!Z145)&lt;10,"0"&amp;MINUTE('web survey'!Z145),MINUTE('web survey'!Z145))&amp;(":00'")</f>
        <v>2026-06-13 15:07:00'</v>
      </c>
      <c r="N147" s="37">
        <v>144</v>
      </c>
      <c r="O147" s="37" t="s">
        <v>27</v>
      </c>
      <c r="P147" s="38" t="s">
        <v>293</v>
      </c>
      <c r="Q147" s="43" t="s">
        <v>18</v>
      </c>
      <c r="R147" s="44" t="s">
        <v>17</v>
      </c>
      <c r="S147" s="43" t="s">
        <v>37</v>
      </c>
      <c r="T147" s="44" t="s">
        <v>17</v>
      </c>
      <c r="U147" s="43" t="s">
        <v>30</v>
      </c>
      <c r="V147" s="44" t="s">
        <v>17</v>
      </c>
      <c r="W147" s="43" t="s">
        <v>34</v>
      </c>
      <c r="X147" s="37" t="s">
        <v>289</v>
      </c>
    </row>
    <row r="148" ht="28.2" customHeight="1" spans="1:24">
      <c r="A148" s="28">
        <f>IF(B148="","",ROW()-COUNTBLANK($B$4:B148)-3)</f>
        <v>145</v>
      </c>
      <c r="B148" s="28" t="str">
        <f>'web survey'!C146</f>
        <v>FU-Z1-Eng</v>
      </c>
      <c r="C148" s="29" t="str">
        <f>'web survey'!AA146</f>
        <v>204463327</v>
      </c>
      <c r="D148" s="30" t="str">
        <f>IF(B148="FU-ACInstall",VLOOKUP(VALUE('web survey'!D146),ref!$B$6:$C$7,2,0)&amp;" ("&amp;'web survey'!D146&amp;")",VLOOKUP(VALUE('web survey'!D146),ref!$E$6:$F$10,2,0)&amp;" ("&amp;'web survey'!D146&amp;")")</f>
        <v>Good (10)</v>
      </c>
      <c r="E148" s="32" t="str">
        <f>'web survey'!S146</f>
        <v/>
      </c>
      <c r="F148" s="30" t="str">
        <f>IF(B148="FU-ACInstall",VLOOKUP(VALUE('web survey'!E146),ref!$B$10:$C$12,2,0)&amp;" ("&amp;'web survey'!E146&amp;")",VLOOKUP(VALUE('web survey'!E146),ref!$E$13:$F$17,2,0)&amp;" ("&amp;'web survey'!E146&amp;")")</f>
        <v>Very Good (10)</v>
      </c>
      <c r="G148" s="32" t="str">
        <f>'web survey'!T146</f>
        <v/>
      </c>
      <c r="H148" s="30" t="str">
        <f>IF(B148="FU-ACInstall",VLOOKUP(VALUE('web survey'!F146),ref!$B$15:$C$17,2,0)&amp;" ("&amp;'web survey'!F146&amp;")",VLOOKUP(VALUE('web survey'!F146),ref!$E$20:$F$21,2,0)&amp;" ("&amp;'web survey'!F146&amp;")")</f>
        <v>Appropriate with SAP / in Warranty (10)</v>
      </c>
      <c r="I148" s="32" t="str">
        <f>'web survey'!U146</f>
        <v/>
      </c>
      <c r="J148" s="30" t="str">
        <f>IF(B148="FU-ACInstall","-",VLOOKUP(VALUE('web survey'!G146),ref!$E$24:$F$26,2,0)&amp;" ("&amp;'web survey'!G146&amp;")")</f>
        <v>Jelas (5)</v>
      </c>
      <c r="K148" s="28" t="str">
        <f>YEAR('web survey'!Z146)&amp;"-"&amp;IF(MONTH('web survey'!Z146)&lt;10,"0"&amp;MONTH('web survey'!Z146),MONTH('web survey'!Z146))&amp;"-"&amp;IF(DAY('web survey'!Z146)&lt;10,"0"&amp;DAY('web survey'!Z146),DAY('web survey'!Z146))&amp;" "&amp;IF(HOUR('web survey'!Z146)&lt;10,"0"&amp;HOUR('web survey'!Z146),HOUR('web survey'!Z146))&amp;":"&amp;IF(MINUTE('web survey'!Z146)&lt;10,"0"&amp;MINUTE('web survey'!Z146),MINUTE('web survey'!Z146))&amp;(":00'")</f>
        <v>2026-06-13 15:06:00'</v>
      </c>
      <c r="N148" s="37">
        <v>145</v>
      </c>
      <c r="O148" s="37" t="s">
        <v>27</v>
      </c>
      <c r="P148" s="38" t="s">
        <v>294</v>
      </c>
      <c r="Q148" s="43" t="s">
        <v>18</v>
      </c>
      <c r="R148" s="44" t="s">
        <v>17</v>
      </c>
      <c r="S148" s="43" t="s">
        <v>37</v>
      </c>
      <c r="T148" s="44" t="s">
        <v>17</v>
      </c>
      <c r="U148" s="43" t="s">
        <v>30</v>
      </c>
      <c r="V148" s="44" t="s">
        <v>17</v>
      </c>
      <c r="W148" s="43" t="s">
        <v>34</v>
      </c>
      <c r="X148" s="37" t="s">
        <v>295</v>
      </c>
    </row>
    <row r="149" ht="28.2" customHeight="1" spans="1:24">
      <c r="A149" s="28">
        <f>IF(B149="","",ROW()-COUNTBLANK($B$4:B149)-3)</f>
        <v>146</v>
      </c>
      <c r="B149" s="28" t="str">
        <f>'web survey'!C147</f>
        <v>FU-Z1-Eng</v>
      </c>
      <c r="C149" s="29" t="str">
        <f>'web survey'!AA147</f>
        <v>1100357052</v>
      </c>
      <c r="D149" s="30" t="str">
        <f>IF(B149="FU-ACInstall",VLOOKUP(VALUE('web survey'!D147),ref!$B$6:$C$7,2,0)&amp;" ("&amp;'web survey'!D147&amp;")",VLOOKUP(VALUE('web survey'!D147),ref!$E$6:$F$10,2,0)&amp;" ("&amp;'web survey'!D147&amp;")")</f>
        <v>Good (10)</v>
      </c>
      <c r="E149" s="32" t="str">
        <f>'web survey'!S147</f>
        <v/>
      </c>
      <c r="F149" s="30" t="str">
        <f>IF(B149="FU-ACInstall",VLOOKUP(VALUE('web survey'!E147),ref!$B$10:$C$12,2,0)&amp;" ("&amp;'web survey'!E147&amp;")",VLOOKUP(VALUE('web survey'!E147),ref!$E$13:$F$17,2,0)&amp;" ("&amp;'web survey'!E147&amp;")")</f>
        <v>Very Good (10)</v>
      </c>
      <c r="G149" s="32" t="str">
        <f>'web survey'!T147</f>
        <v/>
      </c>
      <c r="H149" s="30" t="str">
        <f>IF(B149="FU-ACInstall",VLOOKUP(VALUE('web survey'!F147),ref!$B$15:$C$17,2,0)&amp;" ("&amp;'web survey'!F147&amp;")",VLOOKUP(VALUE('web survey'!F147),ref!$E$20:$F$21,2,0)&amp;" ("&amp;'web survey'!F147&amp;")")</f>
        <v>Appropriate with SAP / in Warranty (10)</v>
      </c>
      <c r="I149" s="32" t="str">
        <f>'web survey'!U147</f>
        <v/>
      </c>
      <c r="J149" s="30" t="str">
        <f>IF(B149="FU-ACInstall","-",VLOOKUP(VALUE('web survey'!G147),ref!$E$24:$F$26,2,0)&amp;" ("&amp;'web survey'!G147&amp;")")</f>
        <v>Jelas (5)</v>
      </c>
      <c r="K149" s="28" t="str">
        <f>YEAR('web survey'!Z147)&amp;"-"&amp;IF(MONTH('web survey'!Z147)&lt;10,"0"&amp;MONTH('web survey'!Z147),MONTH('web survey'!Z147))&amp;"-"&amp;IF(DAY('web survey'!Z147)&lt;10,"0"&amp;DAY('web survey'!Z147),DAY('web survey'!Z147))&amp;" "&amp;IF(HOUR('web survey'!Z147)&lt;10,"0"&amp;HOUR('web survey'!Z147),HOUR('web survey'!Z147))&amp;":"&amp;IF(MINUTE('web survey'!Z147)&lt;10,"0"&amp;MINUTE('web survey'!Z147),MINUTE('web survey'!Z147))&amp;(":00'")</f>
        <v>2026-06-13 15:06:00'</v>
      </c>
      <c r="N149" s="37">
        <v>146</v>
      </c>
      <c r="O149" s="37" t="s">
        <v>27</v>
      </c>
      <c r="P149" s="38" t="s">
        <v>296</v>
      </c>
      <c r="Q149" s="43" t="s">
        <v>18</v>
      </c>
      <c r="R149" s="44" t="s">
        <v>17</v>
      </c>
      <c r="S149" s="43" t="s">
        <v>37</v>
      </c>
      <c r="T149" s="44" t="s">
        <v>17</v>
      </c>
      <c r="U149" s="43" t="s">
        <v>30</v>
      </c>
      <c r="V149" s="44" t="s">
        <v>17</v>
      </c>
      <c r="W149" s="43" t="s">
        <v>34</v>
      </c>
      <c r="X149" s="37" t="s">
        <v>295</v>
      </c>
    </row>
    <row r="150" ht="28.2" customHeight="1" spans="1:24">
      <c r="A150" s="28">
        <f>IF(B150="","",ROW()-COUNTBLANK($B$4:B150)-3)</f>
        <v>147</v>
      </c>
      <c r="B150" s="28" t="str">
        <f>'web survey'!C148</f>
        <v>FU-Z1-Eng</v>
      </c>
      <c r="C150" s="29" t="str">
        <f>'web survey'!AA148</f>
        <v>204474811</v>
      </c>
      <c r="D150" s="30" t="str">
        <f>IF(B150="FU-ACInstall",VLOOKUP(VALUE('web survey'!D148),ref!$B$6:$C$7,2,0)&amp;" ("&amp;'web survey'!D148&amp;")",VLOOKUP(VALUE('web survey'!D148),ref!$E$6:$F$10,2,0)&amp;" ("&amp;'web survey'!D148&amp;")")</f>
        <v>Good (10)</v>
      </c>
      <c r="E150" s="32" t="str">
        <f>'web survey'!S148</f>
        <v/>
      </c>
      <c r="F150" s="30" t="str">
        <f>IF(B150="FU-ACInstall",VLOOKUP(VALUE('web survey'!E148),ref!$B$10:$C$12,2,0)&amp;" ("&amp;'web survey'!E148&amp;")",VLOOKUP(VALUE('web survey'!E148),ref!$E$13:$F$17,2,0)&amp;" ("&amp;'web survey'!E148&amp;")")</f>
        <v>Very Good (10)</v>
      </c>
      <c r="G150" s="32" t="str">
        <f>'web survey'!T148</f>
        <v/>
      </c>
      <c r="H150" s="30" t="str">
        <f>IF(B150="FU-ACInstall",VLOOKUP(VALUE('web survey'!F148),ref!$B$15:$C$17,2,0)&amp;" ("&amp;'web survey'!F148&amp;")",VLOOKUP(VALUE('web survey'!F148),ref!$E$20:$F$21,2,0)&amp;" ("&amp;'web survey'!F148&amp;")")</f>
        <v>Appropriate with SAP / in Warranty (10)</v>
      </c>
      <c r="I150" s="32" t="str">
        <f>'web survey'!U148</f>
        <v/>
      </c>
      <c r="J150" s="30" t="str">
        <f>IF(B150="FU-ACInstall","-",VLOOKUP(VALUE('web survey'!G148),ref!$E$24:$F$26,2,0)&amp;" ("&amp;'web survey'!G148&amp;")")</f>
        <v>Jelas (5)</v>
      </c>
      <c r="K150" s="28" t="str">
        <f>YEAR('web survey'!Z148)&amp;"-"&amp;IF(MONTH('web survey'!Z148)&lt;10,"0"&amp;MONTH('web survey'!Z148),MONTH('web survey'!Z148))&amp;"-"&amp;IF(DAY('web survey'!Z148)&lt;10,"0"&amp;DAY('web survey'!Z148),DAY('web survey'!Z148))&amp;" "&amp;IF(HOUR('web survey'!Z148)&lt;10,"0"&amp;HOUR('web survey'!Z148),HOUR('web survey'!Z148))&amp;":"&amp;IF(MINUTE('web survey'!Z148)&lt;10,"0"&amp;MINUTE('web survey'!Z148),MINUTE('web survey'!Z148))&amp;(":00'")</f>
        <v>2026-06-13 15:05:00'</v>
      </c>
      <c r="N150" s="37">
        <v>147</v>
      </c>
      <c r="O150" s="37" t="s">
        <v>27</v>
      </c>
      <c r="P150" s="38" t="s">
        <v>297</v>
      </c>
      <c r="Q150" s="43" t="s">
        <v>18</v>
      </c>
      <c r="R150" s="44" t="s">
        <v>17</v>
      </c>
      <c r="S150" s="43" t="s">
        <v>37</v>
      </c>
      <c r="T150" s="44" t="s">
        <v>17</v>
      </c>
      <c r="U150" s="43" t="s">
        <v>30</v>
      </c>
      <c r="V150" s="44" t="s">
        <v>17</v>
      </c>
      <c r="W150" s="43" t="s">
        <v>34</v>
      </c>
      <c r="X150" s="37" t="s">
        <v>298</v>
      </c>
    </row>
    <row r="151" ht="28.2" customHeight="1" spans="1:24">
      <c r="A151" s="28">
        <f>IF(B151="","",ROW()-COUNTBLANK($B$4:B151)-3)</f>
        <v>148</v>
      </c>
      <c r="B151" s="28" t="str">
        <f>'web survey'!C149</f>
        <v>FU-Z1-Eng</v>
      </c>
      <c r="C151" s="29" t="str">
        <f>'web survey'!AA149</f>
        <v>1100357017</v>
      </c>
      <c r="D151" s="30" t="str">
        <f>IF(B151="FU-ACInstall",VLOOKUP(VALUE('web survey'!D149),ref!$B$6:$C$7,2,0)&amp;" ("&amp;'web survey'!D149&amp;")",VLOOKUP(VALUE('web survey'!D149),ref!$E$6:$F$10,2,0)&amp;" ("&amp;'web survey'!D149&amp;")")</f>
        <v>Good (10)</v>
      </c>
      <c r="E151" s="32" t="str">
        <f>'web survey'!S149</f>
        <v/>
      </c>
      <c r="F151" s="30" t="str">
        <f>IF(B151="FU-ACInstall",VLOOKUP(VALUE('web survey'!E149),ref!$B$10:$C$12,2,0)&amp;" ("&amp;'web survey'!E149&amp;")",VLOOKUP(VALUE('web survey'!E149),ref!$E$13:$F$17,2,0)&amp;" ("&amp;'web survey'!E149&amp;")")</f>
        <v>Very Good (10)</v>
      </c>
      <c r="G151" s="32" t="str">
        <f>'web survey'!T149</f>
        <v/>
      </c>
      <c r="H151" s="30" t="str">
        <f>IF(B151="FU-ACInstall",VLOOKUP(VALUE('web survey'!F149),ref!$B$15:$C$17,2,0)&amp;" ("&amp;'web survey'!F149&amp;")",VLOOKUP(VALUE('web survey'!F149),ref!$E$20:$F$21,2,0)&amp;" ("&amp;'web survey'!F149&amp;")")</f>
        <v>Appropriate with SAP / in Warranty (10)</v>
      </c>
      <c r="I151" s="32" t="str">
        <f>'web survey'!U149</f>
        <v/>
      </c>
      <c r="J151" s="30" t="str">
        <f>IF(B151="FU-ACInstall","-",VLOOKUP(VALUE('web survey'!G149),ref!$E$24:$F$26,2,0)&amp;" ("&amp;'web survey'!G149&amp;")")</f>
        <v>Jelas (5)</v>
      </c>
      <c r="K151" s="28" t="str">
        <f>YEAR('web survey'!Z149)&amp;"-"&amp;IF(MONTH('web survey'!Z149)&lt;10,"0"&amp;MONTH('web survey'!Z149),MONTH('web survey'!Z149))&amp;"-"&amp;IF(DAY('web survey'!Z149)&lt;10,"0"&amp;DAY('web survey'!Z149),DAY('web survey'!Z149))&amp;" "&amp;IF(HOUR('web survey'!Z149)&lt;10,"0"&amp;HOUR('web survey'!Z149),HOUR('web survey'!Z149))&amp;":"&amp;IF(MINUTE('web survey'!Z149)&lt;10,"0"&amp;MINUTE('web survey'!Z149),MINUTE('web survey'!Z149))&amp;(":00'")</f>
        <v>2026-06-13 15:05:00'</v>
      </c>
      <c r="N151" s="37">
        <v>148</v>
      </c>
      <c r="O151" s="37" t="s">
        <v>27</v>
      </c>
      <c r="P151" s="38" t="s">
        <v>299</v>
      </c>
      <c r="Q151" s="43" t="s">
        <v>18</v>
      </c>
      <c r="R151" s="44" t="s">
        <v>17</v>
      </c>
      <c r="S151" s="43" t="s">
        <v>37</v>
      </c>
      <c r="T151" s="44" t="s">
        <v>17</v>
      </c>
      <c r="U151" s="43" t="s">
        <v>30</v>
      </c>
      <c r="V151" s="44" t="s">
        <v>17</v>
      </c>
      <c r="W151" s="43" t="s">
        <v>34</v>
      </c>
      <c r="X151" s="37" t="s">
        <v>298</v>
      </c>
    </row>
    <row r="152" ht="28.2" customHeight="1" spans="1:24">
      <c r="A152" s="28">
        <f>IF(B152="","",ROW()-COUNTBLANK($B$4:B152)-3)</f>
        <v>149</v>
      </c>
      <c r="B152" s="28" t="str">
        <f>'web survey'!C150</f>
        <v>FU-Z1-Eng</v>
      </c>
      <c r="C152" s="29" t="str">
        <f>'web survey'!AA150</f>
        <v>204474806</v>
      </c>
      <c r="D152" s="30" t="str">
        <f>IF(B152="FU-ACInstall",VLOOKUP(VALUE('web survey'!D150),ref!$B$6:$C$7,2,0)&amp;" ("&amp;'web survey'!D150&amp;")",VLOOKUP(VALUE('web survey'!D150),ref!$E$6:$F$10,2,0)&amp;" ("&amp;'web survey'!D150&amp;")")</f>
        <v>Good (10)</v>
      </c>
      <c r="E152" s="32" t="str">
        <f>'web survey'!S150</f>
        <v/>
      </c>
      <c r="F152" s="30" t="str">
        <f>IF(B152="FU-ACInstall",VLOOKUP(VALUE('web survey'!E150),ref!$B$10:$C$12,2,0)&amp;" ("&amp;'web survey'!E150&amp;")",VLOOKUP(VALUE('web survey'!E150),ref!$E$13:$F$17,2,0)&amp;" ("&amp;'web survey'!E150&amp;")")</f>
        <v>Good (5)</v>
      </c>
      <c r="G152" s="32" t="str">
        <f>'web survey'!T150</f>
        <v/>
      </c>
      <c r="H152" s="30" t="str">
        <f>IF(B152="FU-ACInstall",VLOOKUP(VALUE('web survey'!F150),ref!$B$15:$C$17,2,0)&amp;" ("&amp;'web survey'!F150&amp;")",VLOOKUP(VALUE('web survey'!F150),ref!$E$20:$F$21,2,0)&amp;" ("&amp;'web survey'!F150&amp;")")</f>
        <v>Appropriate with SAP / in Warranty (10)</v>
      </c>
      <c r="I152" s="32" t="str">
        <f>'web survey'!U150</f>
        <v/>
      </c>
      <c r="J152" s="30" t="str">
        <f>IF(B152="FU-ACInstall","-",VLOOKUP(VALUE('web survey'!G150),ref!$E$24:$F$26,2,0)&amp;" ("&amp;'web survey'!G150&amp;")")</f>
        <v>Jelas (5)</v>
      </c>
      <c r="K152" s="28" t="str">
        <f>YEAR('web survey'!Z150)&amp;"-"&amp;IF(MONTH('web survey'!Z150)&lt;10,"0"&amp;MONTH('web survey'!Z150),MONTH('web survey'!Z150))&amp;"-"&amp;IF(DAY('web survey'!Z150)&lt;10,"0"&amp;DAY('web survey'!Z150),DAY('web survey'!Z150))&amp;" "&amp;IF(HOUR('web survey'!Z150)&lt;10,"0"&amp;HOUR('web survey'!Z150),HOUR('web survey'!Z150))&amp;":"&amp;IF(MINUTE('web survey'!Z150)&lt;10,"0"&amp;MINUTE('web survey'!Z150),MINUTE('web survey'!Z150))&amp;(":00'")</f>
        <v>2026-06-13 15:04:00'</v>
      </c>
      <c r="N152" s="37">
        <v>149</v>
      </c>
      <c r="O152" s="37" t="s">
        <v>27</v>
      </c>
      <c r="P152" s="38" t="s">
        <v>300</v>
      </c>
      <c r="Q152" s="43" t="s">
        <v>18</v>
      </c>
      <c r="R152" s="44" t="s">
        <v>17</v>
      </c>
      <c r="S152" s="43" t="s">
        <v>29</v>
      </c>
      <c r="T152" s="44" t="s">
        <v>17</v>
      </c>
      <c r="U152" s="43" t="s">
        <v>30</v>
      </c>
      <c r="V152" s="44" t="s">
        <v>17</v>
      </c>
      <c r="W152" s="43" t="s">
        <v>34</v>
      </c>
      <c r="X152" s="37" t="s">
        <v>301</v>
      </c>
    </row>
    <row r="153" ht="28.2" customHeight="1" spans="1:24">
      <c r="A153" s="28">
        <f>IF(B153="","",ROW()-COUNTBLANK($B$4:B153)-3)</f>
        <v>150</v>
      </c>
      <c r="B153" s="28" t="str">
        <f>'web survey'!C151</f>
        <v>FU-Z1-Eng</v>
      </c>
      <c r="C153" s="29" t="str">
        <f>'web survey'!AA151</f>
        <v>204452788</v>
      </c>
      <c r="D153" s="30" t="str">
        <f>IF(B153="FU-ACInstall",VLOOKUP(VALUE('web survey'!D151),ref!$B$6:$C$7,2,0)&amp;" ("&amp;'web survey'!D151&amp;")",VLOOKUP(VALUE('web survey'!D151),ref!$E$6:$F$10,2,0)&amp;" ("&amp;'web survey'!D151&amp;")")</f>
        <v>Good (10)</v>
      </c>
      <c r="E153" s="32" t="str">
        <f>'web survey'!S151</f>
        <v/>
      </c>
      <c r="F153" s="30" t="str">
        <f>IF(B153="FU-ACInstall",VLOOKUP(VALUE('web survey'!E151),ref!$B$10:$C$12,2,0)&amp;" ("&amp;'web survey'!E151&amp;")",VLOOKUP(VALUE('web survey'!E151),ref!$E$13:$F$17,2,0)&amp;" ("&amp;'web survey'!E151&amp;")")</f>
        <v>Good (5)</v>
      </c>
      <c r="G153" s="32" t="str">
        <f>'web survey'!T151</f>
        <v/>
      </c>
      <c r="H153" s="30" t="str">
        <f>IF(B153="FU-ACInstall",VLOOKUP(VALUE('web survey'!F151),ref!$B$15:$C$17,2,0)&amp;" ("&amp;'web survey'!F151&amp;")",VLOOKUP(VALUE('web survey'!F151),ref!$E$20:$F$21,2,0)&amp;" ("&amp;'web survey'!F151&amp;")")</f>
        <v>Appropriate with SAP / in Warranty (10)</v>
      </c>
      <c r="I153" s="32" t="str">
        <f>'web survey'!U151</f>
        <v/>
      </c>
      <c r="J153" s="30" t="str">
        <f>IF(B153="FU-ACInstall","-",VLOOKUP(VALUE('web survey'!G151),ref!$E$24:$F$26,2,0)&amp;" ("&amp;'web survey'!G151&amp;")")</f>
        <v>Jelas (5)</v>
      </c>
      <c r="K153" s="28" t="str">
        <f>YEAR('web survey'!Z151)&amp;"-"&amp;IF(MONTH('web survey'!Z151)&lt;10,"0"&amp;MONTH('web survey'!Z151),MONTH('web survey'!Z151))&amp;"-"&amp;IF(DAY('web survey'!Z151)&lt;10,"0"&amp;DAY('web survey'!Z151),DAY('web survey'!Z151))&amp;" "&amp;IF(HOUR('web survey'!Z151)&lt;10,"0"&amp;HOUR('web survey'!Z151),HOUR('web survey'!Z151))&amp;":"&amp;IF(MINUTE('web survey'!Z151)&lt;10,"0"&amp;MINUTE('web survey'!Z151),MINUTE('web survey'!Z151))&amp;(":00'")</f>
        <v>2026-06-13 15:04:00'</v>
      </c>
      <c r="N153" s="37">
        <v>150</v>
      </c>
      <c r="O153" s="37" t="s">
        <v>27</v>
      </c>
      <c r="P153" s="38" t="s">
        <v>302</v>
      </c>
      <c r="Q153" s="43" t="s">
        <v>18</v>
      </c>
      <c r="R153" s="44" t="s">
        <v>17</v>
      </c>
      <c r="S153" s="43" t="s">
        <v>29</v>
      </c>
      <c r="T153" s="44" t="s">
        <v>17</v>
      </c>
      <c r="U153" s="43" t="s">
        <v>30</v>
      </c>
      <c r="V153" s="44" t="s">
        <v>17</v>
      </c>
      <c r="W153" s="43" t="s">
        <v>34</v>
      </c>
      <c r="X153" s="37" t="s">
        <v>301</v>
      </c>
    </row>
    <row r="154" ht="28.2" customHeight="1" spans="1:24">
      <c r="A154" s="28">
        <f>IF(B154="","",ROW()-COUNTBLANK($B$4:B154)-3)</f>
        <v>151</v>
      </c>
      <c r="B154" s="28" t="str">
        <f>'web survey'!C152</f>
        <v>FU-Z1-Eng</v>
      </c>
      <c r="C154" s="29" t="str">
        <f>'web survey'!AA152</f>
        <v>204462119</v>
      </c>
      <c r="D154" s="30" t="str">
        <f>IF(B154="FU-ACInstall",VLOOKUP(VALUE('web survey'!D152),ref!$B$6:$C$7,2,0)&amp;" ("&amp;'web survey'!D152&amp;")",VLOOKUP(VALUE('web survey'!D152),ref!$E$6:$F$10,2,0)&amp;" ("&amp;'web survey'!D152&amp;")")</f>
        <v>Good (10)</v>
      </c>
      <c r="E154" s="32" t="str">
        <f>'web survey'!S152</f>
        <v/>
      </c>
      <c r="F154" s="30" t="str">
        <f>IF(B154="FU-ACInstall",VLOOKUP(VALUE('web survey'!E152),ref!$B$10:$C$12,2,0)&amp;" ("&amp;'web survey'!E152&amp;")",VLOOKUP(VALUE('web survey'!E152),ref!$E$13:$F$17,2,0)&amp;" ("&amp;'web survey'!E152&amp;")")</f>
        <v>Good (5)</v>
      </c>
      <c r="G154" s="32" t="str">
        <f>'web survey'!T152</f>
        <v/>
      </c>
      <c r="H154" s="30" t="str">
        <f>IF(B154="FU-ACInstall",VLOOKUP(VALUE('web survey'!F152),ref!$B$15:$C$17,2,0)&amp;" ("&amp;'web survey'!F152&amp;")",VLOOKUP(VALUE('web survey'!F152),ref!$E$20:$F$21,2,0)&amp;" ("&amp;'web survey'!F152&amp;")")</f>
        <v>Appropriate with SAP / in Warranty (10)</v>
      </c>
      <c r="I154" s="32" t="str">
        <f>'web survey'!U152</f>
        <v/>
      </c>
      <c r="J154" s="30" t="str">
        <f>IF(B154="FU-ACInstall","-",VLOOKUP(VALUE('web survey'!G152),ref!$E$24:$F$26,2,0)&amp;" ("&amp;'web survey'!G152&amp;")")</f>
        <v>Jelas (5)</v>
      </c>
      <c r="K154" s="28" t="str">
        <f>YEAR('web survey'!Z152)&amp;"-"&amp;IF(MONTH('web survey'!Z152)&lt;10,"0"&amp;MONTH('web survey'!Z152),MONTH('web survey'!Z152))&amp;"-"&amp;IF(DAY('web survey'!Z152)&lt;10,"0"&amp;DAY('web survey'!Z152),DAY('web survey'!Z152))&amp;" "&amp;IF(HOUR('web survey'!Z152)&lt;10,"0"&amp;HOUR('web survey'!Z152),HOUR('web survey'!Z152))&amp;":"&amp;IF(MINUTE('web survey'!Z152)&lt;10,"0"&amp;MINUTE('web survey'!Z152),MINUTE('web survey'!Z152))&amp;(":00'")</f>
        <v>2026-06-13 15:04:00'</v>
      </c>
      <c r="N154" s="37">
        <v>151</v>
      </c>
      <c r="O154" s="37" t="s">
        <v>27</v>
      </c>
      <c r="P154" s="38" t="s">
        <v>303</v>
      </c>
      <c r="Q154" s="43" t="s">
        <v>18</v>
      </c>
      <c r="R154" s="44" t="s">
        <v>17</v>
      </c>
      <c r="S154" s="43" t="s">
        <v>29</v>
      </c>
      <c r="T154" s="44" t="s">
        <v>17</v>
      </c>
      <c r="U154" s="43" t="s">
        <v>30</v>
      </c>
      <c r="V154" s="44" t="s">
        <v>17</v>
      </c>
      <c r="W154" s="43" t="s">
        <v>34</v>
      </c>
      <c r="X154" s="37" t="s">
        <v>301</v>
      </c>
    </row>
    <row r="155" ht="28.2" customHeight="1" spans="1:24">
      <c r="A155" s="28">
        <f>IF(B155="","",ROW()-COUNTBLANK($B$4:B155)-3)</f>
        <v>152</v>
      </c>
      <c r="B155" s="28" t="str">
        <f>'web survey'!C153</f>
        <v>FU-Z1-Eng</v>
      </c>
      <c r="C155" s="29" t="str">
        <f>'web survey'!AA153</f>
        <v>1214A2603425</v>
      </c>
      <c r="D155" s="30" t="str">
        <f>IF(B155="FU-ACInstall",VLOOKUP(VALUE('web survey'!D153),ref!$B$6:$C$7,2,0)&amp;" ("&amp;'web survey'!D153&amp;")",VLOOKUP(VALUE('web survey'!D153),ref!$E$6:$F$10,2,0)&amp;" ("&amp;'web survey'!D153&amp;")")</f>
        <v>Good (10)</v>
      </c>
      <c r="E155" s="32" t="str">
        <f>'web survey'!S153</f>
        <v/>
      </c>
      <c r="F155" s="30" t="str">
        <f>IF(B155="FU-ACInstall",VLOOKUP(VALUE('web survey'!E153),ref!$B$10:$C$12,2,0)&amp;" ("&amp;'web survey'!E153&amp;")",VLOOKUP(VALUE('web survey'!E153),ref!$E$13:$F$17,2,0)&amp;" ("&amp;'web survey'!E153&amp;")")</f>
        <v>Average (3)</v>
      </c>
      <c r="G155" s="32" t="str">
        <f>'web survey'!T153</f>
        <v/>
      </c>
      <c r="H155" s="30" t="str">
        <f>IF(B155="FU-ACInstall",VLOOKUP(VALUE('web survey'!F153),ref!$B$15:$C$17,2,0)&amp;" ("&amp;'web survey'!F153&amp;")",VLOOKUP(VALUE('web survey'!F153),ref!$E$20:$F$21,2,0)&amp;" ("&amp;'web survey'!F153&amp;")")</f>
        <v>Appropriate with SAP / in Warranty (10)</v>
      </c>
      <c r="I155" s="32" t="str">
        <f>'web survey'!U153</f>
        <v/>
      </c>
      <c r="J155" s="30" t="str">
        <f>IF(B155="FU-ACInstall","-",VLOOKUP(VALUE('web survey'!G153),ref!$E$24:$F$26,2,0)&amp;" ("&amp;'web survey'!G153&amp;")")</f>
        <v>Jelas (5)</v>
      </c>
      <c r="K155" s="28" t="str">
        <f>YEAR('web survey'!Z153)&amp;"-"&amp;IF(MONTH('web survey'!Z153)&lt;10,"0"&amp;MONTH('web survey'!Z153),MONTH('web survey'!Z153))&amp;"-"&amp;IF(DAY('web survey'!Z153)&lt;10,"0"&amp;DAY('web survey'!Z153),DAY('web survey'!Z153))&amp;" "&amp;IF(HOUR('web survey'!Z153)&lt;10,"0"&amp;HOUR('web survey'!Z153),HOUR('web survey'!Z153))&amp;":"&amp;IF(MINUTE('web survey'!Z153)&lt;10,"0"&amp;MINUTE('web survey'!Z153),MINUTE('web survey'!Z153))&amp;(":00'")</f>
        <v>2026-06-13 15:04:00'</v>
      </c>
      <c r="N155" s="37">
        <v>152</v>
      </c>
      <c r="O155" s="37" t="s">
        <v>27</v>
      </c>
      <c r="P155" s="38" t="s">
        <v>304</v>
      </c>
      <c r="Q155" s="43" t="s">
        <v>18</v>
      </c>
      <c r="R155" s="44" t="s">
        <v>17</v>
      </c>
      <c r="S155" s="43" t="s">
        <v>204</v>
      </c>
      <c r="T155" s="44" t="s">
        <v>17</v>
      </c>
      <c r="U155" s="43" t="s">
        <v>30</v>
      </c>
      <c r="V155" s="44" t="s">
        <v>17</v>
      </c>
      <c r="W155" s="43" t="s">
        <v>34</v>
      </c>
      <c r="X155" s="37" t="s">
        <v>301</v>
      </c>
    </row>
    <row r="156" ht="28.2" customHeight="1" spans="1:24">
      <c r="A156" s="28">
        <f>IF(B156="","",ROW()-COUNTBLANK($B$4:B156)-3)</f>
        <v>153</v>
      </c>
      <c r="B156" s="28" t="str">
        <f>'web survey'!C154</f>
        <v>FU-Z1-Eng</v>
      </c>
      <c r="C156" s="29" t="str">
        <f>'web survey'!AA154</f>
        <v>204474117</v>
      </c>
      <c r="D156" s="30" t="str">
        <f>IF(B156="FU-ACInstall",VLOOKUP(VALUE('web survey'!D154),ref!$B$6:$C$7,2,0)&amp;" ("&amp;'web survey'!D154&amp;")",VLOOKUP(VALUE('web survey'!D154),ref!$E$6:$F$10,2,0)&amp;" ("&amp;'web survey'!D154&amp;")")</f>
        <v>Not Good (-10)</v>
      </c>
      <c r="E156" s="32" t="str">
        <f>'web survey'!S154</f>
        <v/>
      </c>
      <c r="F156" s="30" t="str">
        <f>IF(B156="FU-ACInstall",VLOOKUP(VALUE('web survey'!E154),ref!$B$10:$C$12,2,0)&amp;" ("&amp;'web survey'!E154&amp;")",VLOOKUP(VALUE('web survey'!E154),ref!$E$13:$F$17,2,0)&amp;" ("&amp;'web survey'!E154&amp;")")</f>
        <v>Good (5)</v>
      </c>
      <c r="G156" s="32" t="str">
        <f>'web survey'!T154</f>
        <v/>
      </c>
      <c r="H156" s="30" t="str">
        <f>IF(B156="FU-ACInstall",VLOOKUP(VALUE('web survey'!F154),ref!$B$15:$C$17,2,0)&amp;" ("&amp;'web survey'!F154&amp;")",VLOOKUP(VALUE('web survey'!F154),ref!$E$20:$F$21,2,0)&amp;" ("&amp;'web survey'!F154&amp;")")</f>
        <v>Appropriate with SAP / in Warranty (10)</v>
      </c>
      <c r="I156" s="32" t="str">
        <f>'web survey'!U154</f>
        <v/>
      </c>
      <c r="J156" s="30" t="str">
        <f>IF(B156="FU-ACInstall","-",VLOOKUP(VALUE('web survey'!G154),ref!$E$24:$F$26,2,0)&amp;" ("&amp;'web survey'!G154&amp;")")</f>
        <v>Kurang jelas (3)</v>
      </c>
      <c r="K156" s="28" t="str">
        <f>YEAR('web survey'!Z154)&amp;"-"&amp;IF(MONTH('web survey'!Z154)&lt;10,"0"&amp;MONTH('web survey'!Z154),MONTH('web survey'!Z154))&amp;"-"&amp;IF(DAY('web survey'!Z154)&lt;10,"0"&amp;DAY('web survey'!Z154),DAY('web survey'!Z154))&amp;" "&amp;IF(HOUR('web survey'!Z154)&lt;10,"0"&amp;HOUR('web survey'!Z154),HOUR('web survey'!Z154))&amp;":"&amp;IF(MINUTE('web survey'!Z154)&lt;10,"0"&amp;MINUTE('web survey'!Z154),MINUTE('web survey'!Z154))&amp;(":00'")</f>
        <v>2026-06-13 15:03:00'</v>
      </c>
      <c r="N156" s="37">
        <v>153</v>
      </c>
      <c r="O156" s="37" t="s">
        <v>27</v>
      </c>
      <c r="P156" s="38" t="s">
        <v>305</v>
      </c>
      <c r="Q156" s="43" t="s">
        <v>33</v>
      </c>
      <c r="R156" s="44" t="s">
        <v>17</v>
      </c>
      <c r="S156" s="43" t="s">
        <v>29</v>
      </c>
      <c r="T156" s="44" t="s">
        <v>17</v>
      </c>
      <c r="U156" s="43" t="s">
        <v>30</v>
      </c>
      <c r="V156" s="44" t="s">
        <v>17</v>
      </c>
      <c r="W156" s="43" t="s">
        <v>154</v>
      </c>
      <c r="X156" s="37" t="s">
        <v>306</v>
      </c>
    </row>
    <row r="157" ht="28.2" customHeight="1" spans="1:24">
      <c r="A157" s="28">
        <f>IF(B157="","",ROW()-COUNTBLANK($B$4:B157)-3)</f>
        <v>154</v>
      </c>
      <c r="B157" s="28" t="str">
        <f>'web survey'!C155</f>
        <v>FU-Z1-Eng</v>
      </c>
      <c r="C157" s="29" t="str">
        <f>'web survey'!AA155</f>
        <v>204472972</v>
      </c>
      <c r="D157" s="30" t="str">
        <f>IF(B157="FU-ACInstall",VLOOKUP(VALUE('web survey'!D155),ref!$B$6:$C$7,2,0)&amp;" ("&amp;'web survey'!D155&amp;")",VLOOKUP(VALUE('web survey'!D155),ref!$E$6:$F$10,2,0)&amp;" ("&amp;'web survey'!D155&amp;")")</f>
        <v>Good (10)</v>
      </c>
      <c r="E157" s="32" t="str">
        <f>'web survey'!S155</f>
        <v/>
      </c>
      <c r="F157" s="30" t="str">
        <f>IF(B157="FU-ACInstall",VLOOKUP(VALUE('web survey'!E155),ref!$B$10:$C$12,2,0)&amp;" ("&amp;'web survey'!E155&amp;")",VLOOKUP(VALUE('web survey'!E155),ref!$E$13:$F$17,2,0)&amp;" ("&amp;'web survey'!E155&amp;")")</f>
        <v>Very Good (10)</v>
      </c>
      <c r="G157" s="32" t="str">
        <f>'web survey'!T155</f>
        <v/>
      </c>
      <c r="H157" s="30" t="str">
        <f>IF(B157="FU-ACInstall",VLOOKUP(VALUE('web survey'!F155),ref!$B$15:$C$17,2,0)&amp;" ("&amp;'web survey'!F155&amp;")",VLOOKUP(VALUE('web survey'!F155),ref!$E$20:$F$21,2,0)&amp;" ("&amp;'web survey'!F155&amp;")")</f>
        <v>Appropriate with SAP / in Warranty (10)</v>
      </c>
      <c r="I157" s="32" t="str">
        <f>'web survey'!U155</f>
        <v/>
      </c>
      <c r="J157" s="30" t="str">
        <f>IF(B157="FU-ACInstall","-",VLOOKUP(VALUE('web survey'!G155),ref!$E$24:$F$26,2,0)&amp;" ("&amp;'web survey'!G155&amp;")")</f>
        <v>Jelas (5)</v>
      </c>
      <c r="K157" s="28" t="str">
        <f>YEAR('web survey'!Z155)&amp;"-"&amp;IF(MONTH('web survey'!Z155)&lt;10,"0"&amp;MONTH('web survey'!Z155),MONTH('web survey'!Z155))&amp;"-"&amp;IF(DAY('web survey'!Z155)&lt;10,"0"&amp;DAY('web survey'!Z155),DAY('web survey'!Z155))&amp;" "&amp;IF(HOUR('web survey'!Z155)&lt;10,"0"&amp;HOUR('web survey'!Z155),HOUR('web survey'!Z155))&amp;":"&amp;IF(MINUTE('web survey'!Z155)&lt;10,"0"&amp;MINUTE('web survey'!Z155),MINUTE('web survey'!Z155))&amp;(":00'")</f>
        <v>2026-06-13 15:02:00'</v>
      </c>
      <c r="N157" s="37">
        <v>154</v>
      </c>
      <c r="O157" s="37" t="s">
        <v>27</v>
      </c>
      <c r="P157" s="38" t="s">
        <v>307</v>
      </c>
      <c r="Q157" s="43" t="s">
        <v>18</v>
      </c>
      <c r="R157" s="44" t="s">
        <v>17</v>
      </c>
      <c r="S157" s="43" t="s">
        <v>37</v>
      </c>
      <c r="T157" s="44" t="s">
        <v>17</v>
      </c>
      <c r="U157" s="43" t="s">
        <v>30</v>
      </c>
      <c r="V157" s="44" t="s">
        <v>17</v>
      </c>
      <c r="W157" s="43" t="s">
        <v>34</v>
      </c>
      <c r="X157" s="37" t="s">
        <v>308</v>
      </c>
    </row>
    <row r="158" ht="28.2" customHeight="1" spans="1:24">
      <c r="A158" s="28">
        <f>IF(B158="","",ROW()-COUNTBLANK($B$4:B158)-3)</f>
        <v>155</v>
      </c>
      <c r="B158" s="28" t="str">
        <f>'web survey'!C156</f>
        <v>FU-Z1-Eng</v>
      </c>
      <c r="C158" s="29" t="str">
        <f>'web survey'!AA156</f>
        <v>204466251</v>
      </c>
      <c r="D158" s="30" t="str">
        <f>IF(B158="FU-ACInstall",VLOOKUP(VALUE('web survey'!D156),ref!$B$6:$C$7,2,0)&amp;" ("&amp;'web survey'!D156&amp;")",VLOOKUP(VALUE('web survey'!D156),ref!$E$6:$F$10,2,0)&amp;" ("&amp;'web survey'!D156&amp;")")</f>
        <v>Good (10)</v>
      </c>
      <c r="E158" s="32" t="str">
        <f>'web survey'!S156</f>
        <v/>
      </c>
      <c r="F158" s="30" t="str">
        <f>IF(B158="FU-ACInstall",VLOOKUP(VALUE('web survey'!E156),ref!$B$10:$C$12,2,0)&amp;" ("&amp;'web survey'!E156&amp;")",VLOOKUP(VALUE('web survey'!E156),ref!$E$13:$F$17,2,0)&amp;" ("&amp;'web survey'!E156&amp;")")</f>
        <v>Very Good (10)</v>
      </c>
      <c r="G158" s="32" t="str">
        <f>'web survey'!T156</f>
        <v/>
      </c>
      <c r="H158" s="30" t="str">
        <f>IF(B158="FU-ACInstall",VLOOKUP(VALUE('web survey'!F156),ref!$B$15:$C$17,2,0)&amp;" ("&amp;'web survey'!F156&amp;")",VLOOKUP(VALUE('web survey'!F156),ref!$E$20:$F$21,2,0)&amp;" ("&amp;'web survey'!F156&amp;")")</f>
        <v>Appropriate with SAP / in Warranty (10)</v>
      </c>
      <c r="I158" s="32" t="str">
        <f>'web survey'!U156</f>
        <v/>
      </c>
      <c r="J158" s="30" t="str">
        <f>IF(B158="FU-ACInstall","-",VLOOKUP(VALUE('web survey'!G156),ref!$E$24:$F$26,2,0)&amp;" ("&amp;'web survey'!G156&amp;")")</f>
        <v>Jelas (5)</v>
      </c>
      <c r="K158" s="28" t="str">
        <f>YEAR('web survey'!Z156)&amp;"-"&amp;IF(MONTH('web survey'!Z156)&lt;10,"0"&amp;MONTH('web survey'!Z156),MONTH('web survey'!Z156))&amp;"-"&amp;IF(DAY('web survey'!Z156)&lt;10,"0"&amp;DAY('web survey'!Z156),DAY('web survey'!Z156))&amp;" "&amp;IF(HOUR('web survey'!Z156)&lt;10,"0"&amp;HOUR('web survey'!Z156),HOUR('web survey'!Z156))&amp;":"&amp;IF(MINUTE('web survey'!Z156)&lt;10,"0"&amp;MINUTE('web survey'!Z156),MINUTE('web survey'!Z156))&amp;(":00'")</f>
        <v>2026-06-13 15:02:00'</v>
      </c>
      <c r="N158" s="37">
        <v>155</v>
      </c>
      <c r="O158" s="37" t="s">
        <v>27</v>
      </c>
      <c r="P158" s="38" t="s">
        <v>309</v>
      </c>
      <c r="Q158" s="43" t="s">
        <v>18</v>
      </c>
      <c r="R158" s="44" t="s">
        <v>17</v>
      </c>
      <c r="S158" s="43" t="s">
        <v>37</v>
      </c>
      <c r="T158" s="44" t="s">
        <v>17</v>
      </c>
      <c r="U158" s="43" t="s">
        <v>30</v>
      </c>
      <c r="V158" s="44" t="s">
        <v>17</v>
      </c>
      <c r="W158" s="43" t="s">
        <v>34</v>
      </c>
      <c r="X158" s="37" t="s">
        <v>308</v>
      </c>
    </row>
    <row r="159" ht="28.2" customHeight="1" spans="1:24">
      <c r="A159" s="28">
        <f>IF(B159="","",ROW()-COUNTBLANK($B$4:B159)-3)</f>
        <v>156</v>
      </c>
      <c r="B159" s="28" t="str">
        <f>'web survey'!C157</f>
        <v>FU-Z1-Eng</v>
      </c>
      <c r="C159" s="29" t="str">
        <f>'web survey'!AA157</f>
        <v>204473739</v>
      </c>
      <c r="D159" s="30" t="str">
        <f>IF(B159="FU-ACInstall",VLOOKUP(VALUE('web survey'!D157),ref!$B$6:$C$7,2,0)&amp;" ("&amp;'web survey'!D157&amp;")",VLOOKUP(VALUE('web survey'!D157),ref!$E$6:$F$10,2,0)&amp;" ("&amp;'web survey'!D157&amp;")")</f>
        <v>Good (10)</v>
      </c>
      <c r="E159" s="32" t="str">
        <f>'web survey'!S157</f>
        <v/>
      </c>
      <c r="F159" s="30" t="str">
        <f>IF(B159="FU-ACInstall",VLOOKUP(VALUE('web survey'!E157),ref!$B$10:$C$12,2,0)&amp;" ("&amp;'web survey'!E157&amp;")",VLOOKUP(VALUE('web survey'!E157),ref!$E$13:$F$17,2,0)&amp;" ("&amp;'web survey'!E157&amp;")")</f>
        <v>Very Good (10)</v>
      </c>
      <c r="G159" s="32" t="str">
        <f>'web survey'!T157</f>
        <v/>
      </c>
      <c r="H159" s="30" t="str">
        <f>IF(B159="FU-ACInstall",VLOOKUP(VALUE('web survey'!F157),ref!$B$15:$C$17,2,0)&amp;" ("&amp;'web survey'!F157&amp;")",VLOOKUP(VALUE('web survey'!F157),ref!$E$20:$F$21,2,0)&amp;" ("&amp;'web survey'!F157&amp;")")</f>
        <v>Appropriate with SAP / in Warranty (10)</v>
      </c>
      <c r="I159" s="32" t="str">
        <f>'web survey'!U157</f>
        <v/>
      </c>
      <c r="J159" s="30" t="str">
        <f>IF(B159="FU-ACInstall","-",VLOOKUP(VALUE('web survey'!G157),ref!$E$24:$F$26,2,0)&amp;" ("&amp;'web survey'!G157&amp;")")</f>
        <v>Jelas (5)</v>
      </c>
      <c r="K159" s="28" t="str">
        <f>YEAR('web survey'!Z157)&amp;"-"&amp;IF(MONTH('web survey'!Z157)&lt;10,"0"&amp;MONTH('web survey'!Z157),MONTH('web survey'!Z157))&amp;"-"&amp;IF(DAY('web survey'!Z157)&lt;10,"0"&amp;DAY('web survey'!Z157),DAY('web survey'!Z157))&amp;" "&amp;IF(HOUR('web survey'!Z157)&lt;10,"0"&amp;HOUR('web survey'!Z157),HOUR('web survey'!Z157))&amp;":"&amp;IF(MINUTE('web survey'!Z157)&lt;10,"0"&amp;MINUTE('web survey'!Z157),MINUTE('web survey'!Z157))&amp;(":00'")</f>
        <v>2026-06-13 15:01:00'</v>
      </c>
      <c r="N159" s="37">
        <v>156</v>
      </c>
      <c r="O159" s="37" t="s">
        <v>27</v>
      </c>
      <c r="P159" s="38" t="s">
        <v>310</v>
      </c>
      <c r="Q159" s="43" t="s">
        <v>18</v>
      </c>
      <c r="R159" s="44" t="s">
        <v>17</v>
      </c>
      <c r="S159" s="43" t="s">
        <v>37</v>
      </c>
      <c r="T159" s="44" t="s">
        <v>17</v>
      </c>
      <c r="U159" s="43" t="s">
        <v>30</v>
      </c>
      <c r="V159" s="44" t="s">
        <v>17</v>
      </c>
      <c r="W159" s="43" t="s">
        <v>34</v>
      </c>
      <c r="X159" s="37" t="s">
        <v>311</v>
      </c>
    </row>
    <row r="160" ht="28.2" customHeight="1" spans="1:24">
      <c r="A160" s="28">
        <f>IF(B160="","",ROW()-COUNTBLANK($B$4:B160)-3)</f>
        <v>157</v>
      </c>
      <c r="B160" s="28" t="str">
        <f>'web survey'!C158</f>
        <v>FU-Z1-Eng</v>
      </c>
      <c r="C160" s="29" t="str">
        <f>'web survey'!AA158</f>
        <v>204475674</v>
      </c>
      <c r="D160" s="30" t="str">
        <f>IF(B160="FU-ACInstall",VLOOKUP(VALUE('web survey'!D158),ref!$B$6:$C$7,2,0)&amp;" ("&amp;'web survey'!D158&amp;")",VLOOKUP(VALUE('web survey'!D158),ref!$E$6:$F$10,2,0)&amp;" ("&amp;'web survey'!D158&amp;")")</f>
        <v>Good (10)</v>
      </c>
      <c r="E160" s="32" t="str">
        <f>'web survey'!S158</f>
        <v/>
      </c>
      <c r="F160" s="30" t="str">
        <f>IF(B160="FU-ACInstall",VLOOKUP(VALUE('web survey'!E158),ref!$B$10:$C$12,2,0)&amp;" ("&amp;'web survey'!E158&amp;")",VLOOKUP(VALUE('web survey'!E158),ref!$E$13:$F$17,2,0)&amp;" ("&amp;'web survey'!E158&amp;")")</f>
        <v>Very Good (10)</v>
      </c>
      <c r="G160" s="32" t="str">
        <f>'web survey'!T158</f>
        <v/>
      </c>
      <c r="H160" s="30" t="str">
        <f>IF(B160="FU-ACInstall",VLOOKUP(VALUE('web survey'!F158),ref!$B$15:$C$17,2,0)&amp;" ("&amp;'web survey'!F158&amp;")",VLOOKUP(VALUE('web survey'!F158),ref!$E$20:$F$21,2,0)&amp;" ("&amp;'web survey'!F158&amp;")")</f>
        <v>Appropriate with SAP / in Warranty (10)</v>
      </c>
      <c r="I160" s="32" t="str">
        <f>'web survey'!U158</f>
        <v/>
      </c>
      <c r="J160" s="30" t="str">
        <f>IF(B160="FU-ACInstall","-",VLOOKUP(VALUE('web survey'!G158),ref!$E$24:$F$26,2,0)&amp;" ("&amp;'web survey'!G158&amp;")")</f>
        <v>Jelas (5)</v>
      </c>
      <c r="K160" s="28" t="str">
        <f>YEAR('web survey'!Z158)&amp;"-"&amp;IF(MONTH('web survey'!Z158)&lt;10,"0"&amp;MONTH('web survey'!Z158),MONTH('web survey'!Z158))&amp;"-"&amp;IF(DAY('web survey'!Z158)&lt;10,"0"&amp;DAY('web survey'!Z158),DAY('web survey'!Z158))&amp;" "&amp;IF(HOUR('web survey'!Z158)&lt;10,"0"&amp;HOUR('web survey'!Z158),HOUR('web survey'!Z158))&amp;":"&amp;IF(MINUTE('web survey'!Z158)&lt;10,"0"&amp;MINUTE('web survey'!Z158),MINUTE('web survey'!Z158))&amp;(":00'")</f>
        <v>2026-06-13 15:01:00'</v>
      </c>
      <c r="N160" s="37">
        <v>157</v>
      </c>
      <c r="O160" s="37" t="s">
        <v>27</v>
      </c>
      <c r="P160" s="38" t="s">
        <v>312</v>
      </c>
      <c r="Q160" s="43" t="s">
        <v>18</v>
      </c>
      <c r="R160" s="44" t="s">
        <v>17</v>
      </c>
      <c r="S160" s="43" t="s">
        <v>37</v>
      </c>
      <c r="T160" s="44" t="s">
        <v>17</v>
      </c>
      <c r="U160" s="43" t="s">
        <v>30</v>
      </c>
      <c r="V160" s="44" t="s">
        <v>17</v>
      </c>
      <c r="W160" s="43" t="s">
        <v>34</v>
      </c>
      <c r="X160" s="37" t="s">
        <v>311</v>
      </c>
    </row>
    <row r="161" ht="28.2" customHeight="1" spans="1:24">
      <c r="A161" s="28">
        <f>IF(B161="","",ROW()-COUNTBLANK($B$4:B161)-3)</f>
        <v>158</v>
      </c>
      <c r="B161" s="28" t="str">
        <f>'web survey'!C159</f>
        <v>FU-Z1-Eng</v>
      </c>
      <c r="C161" s="29" t="str">
        <f>'web survey'!AA159</f>
        <v>100986773</v>
      </c>
      <c r="D161" s="30" t="str">
        <f>IF(B161="FU-ACInstall",VLOOKUP(VALUE('web survey'!D159),ref!$B$6:$C$7,2,0)&amp;" ("&amp;'web survey'!D159&amp;")",VLOOKUP(VALUE('web survey'!D159),ref!$E$6:$F$10,2,0)&amp;" ("&amp;'web survey'!D159&amp;")")</f>
        <v>Good (10)</v>
      </c>
      <c r="E161" s="32" t="str">
        <f>'web survey'!S159</f>
        <v/>
      </c>
      <c r="F161" s="30" t="str">
        <f>IF(B161="FU-ACInstall",VLOOKUP(VALUE('web survey'!E159),ref!$B$10:$C$12,2,0)&amp;" ("&amp;'web survey'!E159&amp;")",VLOOKUP(VALUE('web survey'!E159),ref!$E$13:$F$17,2,0)&amp;" ("&amp;'web survey'!E159&amp;")")</f>
        <v>Very Good (10)</v>
      </c>
      <c r="G161" s="32" t="str">
        <f>'web survey'!T159</f>
        <v/>
      </c>
      <c r="H161" s="30" t="str">
        <f>IF(B161="FU-ACInstall",VLOOKUP(VALUE('web survey'!F159),ref!$B$15:$C$17,2,0)&amp;" ("&amp;'web survey'!F159&amp;")",VLOOKUP(VALUE('web survey'!F159),ref!$E$20:$F$21,2,0)&amp;" ("&amp;'web survey'!F159&amp;")")</f>
        <v>Appropriate with SAP / in Warranty (10)</v>
      </c>
      <c r="I161" s="32" t="str">
        <f>'web survey'!U159</f>
        <v/>
      </c>
      <c r="J161" s="30" t="str">
        <f>IF(B161="FU-ACInstall","-",VLOOKUP(VALUE('web survey'!G159),ref!$E$24:$F$26,2,0)&amp;" ("&amp;'web survey'!G159&amp;")")</f>
        <v>Jelas (5)</v>
      </c>
      <c r="K161" s="28" t="str">
        <f>YEAR('web survey'!Z159)&amp;"-"&amp;IF(MONTH('web survey'!Z159)&lt;10,"0"&amp;MONTH('web survey'!Z159),MONTH('web survey'!Z159))&amp;"-"&amp;IF(DAY('web survey'!Z159)&lt;10,"0"&amp;DAY('web survey'!Z159),DAY('web survey'!Z159))&amp;" "&amp;IF(HOUR('web survey'!Z159)&lt;10,"0"&amp;HOUR('web survey'!Z159),HOUR('web survey'!Z159))&amp;":"&amp;IF(MINUTE('web survey'!Z159)&lt;10,"0"&amp;MINUTE('web survey'!Z159),MINUTE('web survey'!Z159))&amp;(":00'")</f>
        <v>2026-06-13 12:47:00'</v>
      </c>
      <c r="N161" s="37">
        <v>158</v>
      </c>
      <c r="O161" s="37" t="s">
        <v>27</v>
      </c>
      <c r="P161" s="38" t="s">
        <v>313</v>
      </c>
      <c r="Q161" s="43" t="s">
        <v>18</v>
      </c>
      <c r="R161" s="44" t="s">
        <v>17</v>
      </c>
      <c r="S161" s="43" t="s">
        <v>37</v>
      </c>
      <c r="T161" s="44" t="s">
        <v>17</v>
      </c>
      <c r="U161" s="43" t="s">
        <v>30</v>
      </c>
      <c r="V161" s="44" t="s">
        <v>17</v>
      </c>
      <c r="W161" s="43" t="s">
        <v>34</v>
      </c>
      <c r="X161" s="37" t="s">
        <v>314</v>
      </c>
    </row>
    <row r="162" ht="28.2" customHeight="1" spans="1:24">
      <c r="A162" s="28">
        <f>IF(B162="","",ROW()-COUNTBLANK($B$4:B162)-3)</f>
        <v>159</v>
      </c>
      <c r="B162" s="28" t="str">
        <f>'web survey'!C160</f>
        <v>FU-Z1-Eng</v>
      </c>
      <c r="C162" s="29" t="str">
        <f>'web survey'!AA160</f>
        <v>1100355531</v>
      </c>
      <c r="D162" s="30" t="str">
        <f>IF(B162="FU-ACInstall",VLOOKUP(VALUE('web survey'!D160),ref!$B$6:$C$7,2,0)&amp;" ("&amp;'web survey'!D160&amp;")",VLOOKUP(VALUE('web survey'!D160),ref!$E$6:$F$10,2,0)&amp;" ("&amp;'web survey'!D160&amp;")")</f>
        <v>Good (10)</v>
      </c>
      <c r="E162" s="32" t="str">
        <f>'web survey'!S160</f>
        <v/>
      </c>
      <c r="F162" s="30" t="str">
        <f>IF(B162="FU-ACInstall",VLOOKUP(VALUE('web survey'!E160),ref!$B$10:$C$12,2,0)&amp;" ("&amp;'web survey'!E160&amp;")",VLOOKUP(VALUE('web survey'!E160),ref!$E$13:$F$17,2,0)&amp;" ("&amp;'web survey'!E160&amp;")")</f>
        <v>Good (5)</v>
      </c>
      <c r="G162" s="32" t="str">
        <f>'web survey'!T160</f>
        <v/>
      </c>
      <c r="H162" s="30" t="str">
        <f>IF(B162="FU-ACInstall",VLOOKUP(VALUE('web survey'!F160),ref!$B$15:$C$17,2,0)&amp;" ("&amp;'web survey'!F160&amp;")",VLOOKUP(VALUE('web survey'!F160),ref!$E$20:$F$21,2,0)&amp;" ("&amp;'web survey'!F160&amp;")")</f>
        <v>Appropriate with SAP / in Warranty (10)</v>
      </c>
      <c r="I162" s="32" t="str">
        <f>'web survey'!U160</f>
        <v/>
      </c>
      <c r="J162" s="30" t="str">
        <f>IF(B162="FU-ACInstall","-",VLOOKUP(VALUE('web survey'!G160),ref!$E$24:$F$26,2,0)&amp;" ("&amp;'web survey'!G160&amp;")")</f>
        <v>Jelas (5)</v>
      </c>
      <c r="K162" s="28" t="str">
        <f>YEAR('web survey'!Z160)&amp;"-"&amp;IF(MONTH('web survey'!Z160)&lt;10,"0"&amp;MONTH('web survey'!Z160),MONTH('web survey'!Z160))&amp;"-"&amp;IF(DAY('web survey'!Z160)&lt;10,"0"&amp;DAY('web survey'!Z160),DAY('web survey'!Z160))&amp;" "&amp;IF(HOUR('web survey'!Z160)&lt;10,"0"&amp;HOUR('web survey'!Z160),HOUR('web survey'!Z160))&amp;":"&amp;IF(MINUTE('web survey'!Z160)&lt;10,"0"&amp;MINUTE('web survey'!Z160),MINUTE('web survey'!Z160))&amp;(":00'")</f>
        <v>2026-06-13 12:07:00'</v>
      </c>
      <c r="N162" s="37">
        <v>159</v>
      </c>
      <c r="O162" s="37" t="s">
        <v>27</v>
      </c>
      <c r="P162" s="38" t="s">
        <v>315</v>
      </c>
      <c r="Q162" s="43" t="s">
        <v>18</v>
      </c>
      <c r="R162" s="44" t="s">
        <v>17</v>
      </c>
      <c r="S162" s="43" t="s">
        <v>29</v>
      </c>
      <c r="T162" s="44" t="s">
        <v>17</v>
      </c>
      <c r="U162" s="43" t="s">
        <v>30</v>
      </c>
      <c r="V162" s="44" t="s">
        <v>17</v>
      </c>
      <c r="W162" s="43" t="s">
        <v>34</v>
      </c>
      <c r="X162" s="37" t="s">
        <v>316</v>
      </c>
    </row>
    <row r="163" ht="28.2" customHeight="1" spans="1:24">
      <c r="A163" s="28">
        <f>IF(B163="","",ROW()-COUNTBLANK($B$4:B163)-3)</f>
        <v>160</v>
      </c>
      <c r="B163" s="28" t="str">
        <f>'web survey'!C161</f>
        <v>FU-Z1-Eng</v>
      </c>
      <c r="C163" s="29" t="str">
        <f>'web survey'!AA161</f>
        <v>204463919</v>
      </c>
      <c r="D163" s="30" t="str">
        <f>IF(B163="FU-ACInstall",VLOOKUP(VALUE('web survey'!D161),ref!$B$6:$C$7,2,0)&amp;" ("&amp;'web survey'!D161&amp;")",VLOOKUP(VALUE('web survey'!D161),ref!$E$6:$F$10,2,0)&amp;" ("&amp;'web survey'!D161&amp;")")</f>
        <v>Good (10)</v>
      </c>
      <c r="E163" s="32" t="str">
        <f>'web survey'!S161</f>
        <v/>
      </c>
      <c r="F163" s="30" t="str">
        <f>IF(B163="FU-ACInstall",VLOOKUP(VALUE('web survey'!E161),ref!$B$10:$C$12,2,0)&amp;" ("&amp;'web survey'!E161&amp;")",VLOOKUP(VALUE('web survey'!E161),ref!$E$13:$F$17,2,0)&amp;" ("&amp;'web survey'!E161&amp;")")</f>
        <v>Very Good (10)</v>
      </c>
      <c r="G163" s="32" t="str">
        <f>'web survey'!T161</f>
        <v/>
      </c>
      <c r="H163" s="30" t="str">
        <f>IF(B163="FU-ACInstall",VLOOKUP(VALUE('web survey'!F161),ref!$B$15:$C$17,2,0)&amp;" ("&amp;'web survey'!F161&amp;")",VLOOKUP(VALUE('web survey'!F161),ref!$E$20:$F$21,2,0)&amp;" ("&amp;'web survey'!F161&amp;")")</f>
        <v>Appropriate with SAP / in Warranty (10)</v>
      </c>
      <c r="I163" s="32" t="str">
        <f>'web survey'!U161</f>
        <v/>
      </c>
      <c r="J163" s="30" t="str">
        <f>IF(B163="FU-ACInstall","-",VLOOKUP(VALUE('web survey'!G161),ref!$E$24:$F$26,2,0)&amp;" ("&amp;'web survey'!G161&amp;")")</f>
        <v>Jelas (5)</v>
      </c>
      <c r="K163" s="28" t="str">
        <f>YEAR('web survey'!Z161)&amp;"-"&amp;IF(MONTH('web survey'!Z161)&lt;10,"0"&amp;MONTH('web survey'!Z161),MONTH('web survey'!Z161))&amp;"-"&amp;IF(DAY('web survey'!Z161)&lt;10,"0"&amp;DAY('web survey'!Z161),DAY('web survey'!Z161))&amp;" "&amp;IF(HOUR('web survey'!Z161)&lt;10,"0"&amp;HOUR('web survey'!Z161),HOUR('web survey'!Z161))&amp;":"&amp;IF(MINUTE('web survey'!Z161)&lt;10,"0"&amp;MINUTE('web survey'!Z161),MINUTE('web survey'!Z161))&amp;(":00'")</f>
        <v>2026-06-13 10:02:00'</v>
      </c>
      <c r="N163" s="37">
        <v>160</v>
      </c>
      <c r="O163" s="37" t="s">
        <v>27</v>
      </c>
      <c r="P163" s="38" t="s">
        <v>317</v>
      </c>
      <c r="Q163" s="43" t="s">
        <v>18</v>
      </c>
      <c r="R163" s="44" t="s">
        <v>17</v>
      </c>
      <c r="S163" s="43" t="s">
        <v>37</v>
      </c>
      <c r="T163" s="44" t="s">
        <v>17</v>
      </c>
      <c r="U163" s="43" t="s">
        <v>30</v>
      </c>
      <c r="V163" s="44" t="s">
        <v>17</v>
      </c>
      <c r="W163" s="43" t="s">
        <v>34</v>
      </c>
      <c r="X163" s="37" t="s">
        <v>318</v>
      </c>
    </row>
    <row r="164" ht="28.2" customHeight="1" spans="1:24">
      <c r="A164" s="28">
        <f>IF(B164="","",ROW()-COUNTBLANK($B$4:B164)-3)</f>
        <v>161</v>
      </c>
      <c r="B164" s="28" t="str">
        <f>'web survey'!C162</f>
        <v>FU-Z1-Eng</v>
      </c>
      <c r="C164" s="29" t="str">
        <f>'web survey'!AA162</f>
        <v>204450527</v>
      </c>
      <c r="D164" s="30" t="str">
        <f>IF(B164="FU-ACInstall",VLOOKUP(VALUE('web survey'!D162),ref!$B$6:$C$7,2,0)&amp;" ("&amp;'web survey'!D162&amp;")",VLOOKUP(VALUE('web survey'!D162),ref!$E$6:$F$10,2,0)&amp;" ("&amp;'web survey'!D162&amp;")")</f>
        <v>Good (10)</v>
      </c>
      <c r="E164" s="32" t="str">
        <f>'web survey'!S162</f>
        <v/>
      </c>
      <c r="F164" s="30" t="str">
        <f>IF(B164="FU-ACInstall",VLOOKUP(VALUE('web survey'!E162),ref!$B$10:$C$12,2,0)&amp;" ("&amp;'web survey'!E162&amp;")",VLOOKUP(VALUE('web survey'!E162),ref!$E$13:$F$17,2,0)&amp;" ("&amp;'web survey'!E162&amp;")")</f>
        <v>Very Good (10)</v>
      </c>
      <c r="G164" s="32" t="str">
        <f>'web survey'!T162</f>
        <v/>
      </c>
      <c r="H164" s="30" t="str">
        <f>IF(B164="FU-ACInstall",VLOOKUP(VALUE('web survey'!F162),ref!$B$15:$C$17,2,0)&amp;" ("&amp;'web survey'!F162&amp;")",VLOOKUP(VALUE('web survey'!F162),ref!$E$20:$F$21,2,0)&amp;" ("&amp;'web survey'!F162&amp;")")</f>
        <v>Appropriate with SAP / in Warranty (10)</v>
      </c>
      <c r="I164" s="32" t="str">
        <f>'web survey'!U162</f>
        <v/>
      </c>
      <c r="J164" s="30" t="str">
        <f>IF(B164="FU-ACInstall","-",VLOOKUP(VALUE('web survey'!G162),ref!$E$24:$F$26,2,0)&amp;" ("&amp;'web survey'!G162&amp;")")</f>
        <v>Jelas (5)</v>
      </c>
      <c r="K164" s="28" t="str">
        <f>YEAR('web survey'!Z162)&amp;"-"&amp;IF(MONTH('web survey'!Z162)&lt;10,"0"&amp;MONTH('web survey'!Z162),MONTH('web survey'!Z162))&amp;"-"&amp;IF(DAY('web survey'!Z162)&lt;10,"0"&amp;DAY('web survey'!Z162),DAY('web survey'!Z162))&amp;" "&amp;IF(HOUR('web survey'!Z162)&lt;10,"0"&amp;HOUR('web survey'!Z162),HOUR('web survey'!Z162))&amp;":"&amp;IF(MINUTE('web survey'!Z162)&lt;10,"0"&amp;MINUTE('web survey'!Z162),MINUTE('web survey'!Z162))&amp;(":00'")</f>
        <v>2026-06-13 10:00:00'</v>
      </c>
      <c r="N164" s="37">
        <v>161</v>
      </c>
      <c r="O164" s="37" t="s">
        <v>27</v>
      </c>
      <c r="P164" s="38" t="s">
        <v>319</v>
      </c>
      <c r="Q164" s="43" t="s">
        <v>18</v>
      </c>
      <c r="R164" s="44" t="s">
        <v>17</v>
      </c>
      <c r="S164" s="43" t="s">
        <v>37</v>
      </c>
      <c r="T164" s="44" t="s">
        <v>17</v>
      </c>
      <c r="U164" s="43" t="s">
        <v>30</v>
      </c>
      <c r="V164" s="44" t="s">
        <v>17</v>
      </c>
      <c r="W164" s="43" t="s">
        <v>34</v>
      </c>
      <c r="X164" s="37" t="s">
        <v>320</v>
      </c>
    </row>
    <row r="165" ht="28.2" customHeight="1" spans="1:24">
      <c r="A165" s="28">
        <f>IF(B165="","",ROW()-COUNTBLANK($B$4:B165)-3)</f>
        <v>162</v>
      </c>
      <c r="B165" s="28" t="str">
        <f>'web survey'!C163</f>
        <v>FU-Z1-Eng</v>
      </c>
      <c r="C165" s="29" t="str">
        <f>'web survey'!AA163</f>
        <v>204459116</v>
      </c>
      <c r="D165" s="30" t="str">
        <f>IF(B165="FU-ACInstall",VLOOKUP(VALUE('web survey'!D163),ref!$B$6:$C$7,2,0)&amp;" ("&amp;'web survey'!D163&amp;")",VLOOKUP(VALUE('web survey'!D163),ref!$E$6:$F$10,2,0)&amp;" ("&amp;'web survey'!D163&amp;")")</f>
        <v>Good (10)</v>
      </c>
      <c r="E165" s="32" t="str">
        <f>'web survey'!S163</f>
        <v/>
      </c>
      <c r="F165" s="30" t="str">
        <f>IF(B165="FU-ACInstall",VLOOKUP(VALUE('web survey'!E163),ref!$B$10:$C$12,2,0)&amp;" ("&amp;'web survey'!E163&amp;")",VLOOKUP(VALUE('web survey'!E163),ref!$E$13:$F$17,2,0)&amp;" ("&amp;'web survey'!E163&amp;")")</f>
        <v>Very Good (10)</v>
      </c>
      <c r="G165" s="32" t="str">
        <f>'web survey'!T163</f>
        <v/>
      </c>
      <c r="H165" s="30" t="str">
        <f>IF(B165="FU-ACInstall",VLOOKUP(VALUE('web survey'!F163),ref!$B$15:$C$17,2,0)&amp;" ("&amp;'web survey'!F163&amp;")",VLOOKUP(VALUE('web survey'!F163),ref!$E$20:$F$21,2,0)&amp;" ("&amp;'web survey'!F163&amp;")")</f>
        <v>Appropriate with SAP / in Warranty (10)</v>
      </c>
      <c r="I165" s="32" t="str">
        <f>'web survey'!U163</f>
        <v/>
      </c>
      <c r="J165" s="30" t="str">
        <f>IF(B165="FU-ACInstall","-",VLOOKUP(VALUE('web survey'!G163),ref!$E$24:$F$26,2,0)&amp;" ("&amp;'web survey'!G163&amp;")")</f>
        <v>Jelas (5)</v>
      </c>
      <c r="K165" s="28" t="str">
        <f>YEAR('web survey'!Z163)&amp;"-"&amp;IF(MONTH('web survey'!Z163)&lt;10,"0"&amp;MONTH('web survey'!Z163),MONTH('web survey'!Z163))&amp;"-"&amp;IF(DAY('web survey'!Z163)&lt;10,"0"&amp;DAY('web survey'!Z163),DAY('web survey'!Z163))&amp;" "&amp;IF(HOUR('web survey'!Z163)&lt;10,"0"&amp;HOUR('web survey'!Z163),HOUR('web survey'!Z163))&amp;":"&amp;IF(MINUTE('web survey'!Z163)&lt;10,"0"&amp;MINUTE('web survey'!Z163),MINUTE('web survey'!Z163))&amp;(":00'")</f>
        <v>2026-06-13 07:46:00'</v>
      </c>
      <c r="N165" s="37">
        <v>162</v>
      </c>
      <c r="O165" s="37" t="s">
        <v>27</v>
      </c>
      <c r="P165" s="38" t="s">
        <v>321</v>
      </c>
      <c r="Q165" s="43" t="s">
        <v>18</v>
      </c>
      <c r="R165" s="44" t="s">
        <v>17</v>
      </c>
      <c r="S165" s="43" t="s">
        <v>37</v>
      </c>
      <c r="T165" s="44" t="s">
        <v>17</v>
      </c>
      <c r="U165" s="43" t="s">
        <v>30</v>
      </c>
      <c r="V165" s="44" t="s">
        <v>17</v>
      </c>
      <c r="W165" s="43" t="s">
        <v>34</v>
      </c>
      <c r="X165" s="37" t="s">
        <v>322</v>
      </c>
    </row>
    <row r="166" ht="28.2" customHeight="1" spans="1:24">
      <c r="A166" s="28">
        <f>IF(B166="","",ROW()-COUNTBLANK($B$4:B166)-3)</f>
        <v>163</v>
      </c>
      <c r="B166" s="28" t="str">
        <f>'web survey'!C164</f>
        <v>FU-Z1-Eng</v>
      </c>
      <c r="C166" s="29" t="str">
        <f>'web survey'!AA164</f>
        <v>1916A2600305</v>
      </c>
      <c r="D166" s="30" t="str">
        <f>IF(B166="FU-ACInstall",VLOOKUP(VALUE('web survey'!D164),ref!$B$6:$C$7,2,0)&amp;" ("&amp;'web survey'!D164&amp;")",VLOOKUP(VALUE('web survey'!D164),ref!$E$6:$F$10,2,0)&amp;" ("&amp;'web survey'!D164&amp;")")</f>
        <v>Good (10)</v>
      </c>
      <c r="E166" s="32" t="str">
        <f>'web survey'!S164</f>
        <v/>
      </c>
      <c r="F166" s="30" t="str">
        <f>IF(B166="FU-ACInstall",VLOOKUP(VALUE('web survey'!E164),ref!$B$10:$C$12,2,0)&amp;" ("&amp;'web survey'!E164&amp;")",VLOOKUP(VALUE('web survey'!E164),ref!$E$13:$F$17,2,0)&amp;" ("&amp;'web survey'!E164&amp;")")</f>
        <v>Very Good (10)</v>
      </c>
      <c r="G166" s="32" t="str">
        <f>'web survey'!T164</f>
        <v/>
      </c>
      <c r="H166" s="30" t="str">
        <f>IF(B166="FU-ACInstall",VLOOKUP(VALUE('web survey'!F164),ref!$B$15:$C$17,2,0)&amp;" ("&amp;'web survey'!F164&amp;")",VLOOKUP(VALUE('web survey'!F164),ref!$E$20:$F$21,2,0)&amp;" ("&amp;'web survey'!F164&amp;")")</f>
        <v>Appropriate with SAP / in Warranty (10)</v>
      </c>
      <c r="I166" s="32" t="str">
        <f>'web survey'!U164</f>
        <v/>
      </c>
      <c r="J166" s="30" t="str">
        <f>IF(B166="FU-ACInstall","-",VLOOKUP(VALUE('web survey'!G164),ref!$E$24:$F$26,2,0)&amp;" ("&amp;'web survey'!G164&amp;")")</f>
        <v>Jelas (5)</v>
      </c>
      <c r="K166" s="28" t="str">
        <f>YEAR('web survey'!Z164)&amp;"-"&amp;IF(MONTH('web survey'!Z164)&lt;10,"0"&amp;MONTH('web survey'!Z164),MONTH('web survey'!Z164))&amp;"-"&amp;IF(DAY('web survey'!Z164)&lt;10,"0"&amp;DAY('web survey'!Z164),DAY('web survey'!Z164))&amp;" "&amp;IF(HOUR('web survey'!Z164)&lt;10,"0"&amp;HOUR('web survey'!Z164),HOUR('web survey'!Z164))&amp;":"&amp;IF(MINUTE('web survey'!Z164)&lt;10,"0"&amp;MINUTE('web survey'!Z164),MINUTE('web survey'!Z164))&amp;(":00'")</f>
        <v>2026-06-13 07:44:00'</v>
      </c>
      <c r="N166" s="37">
        <v>163</v>
      </c>
      <c r="O166" s="37" t="s">
        <v>27</v>
      </c>
      <c r="P166" s="38" t="s">
        <v>323</v>
      </c>
      <c r="Q166" s="43" t="s">
        <v>18</v>
      </c>
      <c r="R166" s="44" t="s">
        <v>17</v>
      </c>
      <c r="S166" s="43" t="s">
        <v>37</v>
      </c>
      <c r="T166" s="44" t="s">
        <v>17</v>
      </c>
      <c r="U166" s="43" t="s">
        <v>30</v>
      </c>
      <c r="V166" s="44" t="s">
        <v>17</v>
      </c>
      <c r="W166" s="43" t="s">
        <v>34</v>
      </c>
      <c r="X166" s="37" t="s">
        <v>324</v>
      </c>
    </row>
    <row r="167" ht="28.2" customHeight="1" spans="1:24">
      <c r="A167" s="28">
        <f>IF(B167="","",ROW()-COUNTBLANK($B$4:B167)-3)</f>
        <v>164</v>
      </c>
      <c r="B167" s="28" t="str">
        <f>'web survey'!C165</f>
        <v>FU-Z1-Eng</v>
      </c>
      <c r="C167" s="29" t="str">
        <f>'web survey'!AA165</f>
        <v>100984938</v>
      </c>
      <c r="D167" s="30" t="str">
        <f>IF(B167="FU-ACInstall",VLOOKUP(VALUE('web survey'!D165),ref!$B$6:$C$7,2,0)&amp;" ("&amp;'web survey'!D165&amp;")",VLOOKUP(VALUE('web survey'!D165),ref!$E$6:$F$10,2,0)&amp;" ("&amp;'web survey'!D165&amp;")")</f>
        <v>Good (10)</v>
      </c>
      <c r="E167" s="32" t="str">
        <f>'web survey'!S165</f>
        <v/>
      </c>
      <c r="F167" s="30" t="str">
        <f>IF(B167="FU-ACInstall",VLOOKUP(VALUE('web survey'!E165),ref!$B$10:$C$12,2,0)&amp;" ("&amp;'web survey'!E165&amp;")",VLOOKUP(VALUE('web survey'!E165),ref!$E$13:$F$17,2,0)&amp;" ("&amp;'web survey'!E165&amp;")")</f>
        <v>Very Good (10)</v>
      </c>
      <c r="G167" s="32" t="str">
        <f>'web survey'!T165</f>
        <v/>
      </c>
      <c r="H167" s="30" t="str">
        <f>IF(B167="FU-ACInstall",VLOOKUP(VALUE('web survey'!F165),ref!$B$15:$C$17,2,0)&amp;" ("&amp;'web survey'!F165&amp;")",VLOOKUP(VALUE('web survey'!F165),ref!$E$20:$F$21,2,0)&amp;" ("&amp;'web survey'!F165&amp;")")</f>
        <v>Appropriate with SAP / in Warranty (10)</v>
      </c>
      <c r="I167" s="32" t="str">
        <f>'web survey'!U165</f>
        <v/>
      </c>
      <c r="J167" s="30" t="e">
        <f>IF(B167="FU-ACInstall","-",VLOOKUP(VALUE('web survey'!G165),ref!$E$24:$F$26,2,0)&amp;" ("&amp;'web survey'!G165&amp;")")</f>
        <v>#N/A</v>
      </c>
      <c r="K167" s="28" t="str">
        <f>YEAR('web survey'!Z165)&amp;"-"&amp;IF(MONTH('web survey'!Z165)&lt;10,"0"&amp;MONTH('web survey'!Z165),MONTH('web survey'!Z165))&amp;"-"&amp;IF(DAY('web survey'!Z165)&lt;10,"0"&amp;DAY('web survey'!Z165),DAY('web survey'!Z165))&amp;" "&amp;IF(HOUR('web survey'!Z165)&lt;10,"0"&amp;HOUR('web survey'!Z165),HOUR('web survey'!Z165))&amp;":"&amp;IF(MINUTE('web survey'!Z165)&lt;10,"0"&amp;MINUTE('web survey'!Z165),MINUTE('web survey'!Z165))&amp;(":00'")</f>
        <v>2026-06-13 04:49:00'</v>
      </c>
      <c r="N167" s="37">
        <v>164</v>
      </c>
      <c r="O167" s="37" t="s">
        <v>27</v>
      </c>
      <c r="P167" s="38" t="s">
        <v>325</v>
      </c>
      <c r="Q167" s="43" t="s">
        <v>18</v>
      </c>
      <c r="R167" s="44" t="s">
        <v>17</v>
      </c>
      <c r="S167" s="43" t="s">
        <v>37</v>
      </c>
      <c r="T167" s="44" t="s">
        <v>17</v>
      </c>
      <c r="U167" s="43" t="s">
        <v>30</v>
      </c>
      <c r="V167" s="44" t="s">
        <v>17</v>
      </c>
      <c r="W167" s="43" t="e">
        <v>#N/A</v>
      </c>
      <c r="X167" s="37" t="s">
        <v>326</v>
      </c>
    </row>
    <row r="168" ht="28.2" customHeight="1" spans="1:24">
      <c r="A168" s="28">
        <f>IF(B168="","",ROW()-COUNTBLANK($B$4:B168)-3)</f>
        <v>165</v>
      </c>
      <c r="B168" s="28" t="str">
        <f>'web survey'!C166</f>
        <v>FU-Z1-Eng</v>
      </c>
      <c r="C168" s="29" t="str">
        <f>'web survey'!AA166</f>
        <v>204474054</v>
      </c>
      <c r="D168" s="30" t="str">
        <f>IF(B168="FU-ACInstall",VLOOKUP(VALUE('web survey'!D166),ref!$B$6:$C$7,2,0)&amp;" ("&amp;'web survey'!D166&amp;")",VLOOKUP(VALUE('web survey'!D166),ref!$E$6:$F$10,2,0)&amp;" ("&amp;'web survey'!D166&amp;")")</f>
        <v>Good (10)</v>
      </c>
      <c r="E168" s="32" t="str">
        <f>'web survey'!S166</f>
        <v/>
      </c>
      <c r="F168" s="30" t="str">
        <f>IF(B168="FU-ACInstall",VLOOKUP(VALUE('web survey'!E166),ref!$B$10:$C$12,2,0)&amp;" ("&amp;'web survey'!E166&amp;")",VLOOKUP(VALUE('web survey'!E166),ref!$E$13:$F$17,2,0)&amp;" ("&amp;'web survey'!E166&amp;")")</f>
        <v>Very Good (10)</v>
      </c>
      <c r="G168" s="32" t="str">
        <f>'web survey'!T166</f>
        <v/>
      </c>
      <c r="H168" s="30" t="str">
        <f>IF(B168="FU-ACInstall",VLOOKUP(VALUE('web survey'!F166),ref!$B$15:$C$17,2,0)&amp;" ("&amp;'web survey'!F166&amp;")",VLOOKUP(VALUE('web survey'!F166),ref!$E$20:$F$21,2,0)&amp;" ("&amp;'web survey'!F166&amp;")")</f>
        <v>Appropriate with SAP / in Warranty (10)</v>
      </c>
      <c r="I168" s="32" t="str">
        <f>'web survey'!U166</f>
        <v/>
      </c>
      <c r="J168" s="30" t="str">
        <f>IF(B168="FU-ACInstall","-",VLOOKUP(VALUE('web survey'!G166),ref!$E$24:$F$26,2,0)&amp;" ("&amp;'web survey'!G166&amp;")")</f>
        <v>Jelas (5)</v>
      </c>
      <c r="K168" s="28" t="str">
        <f>YEAR('web survey'!Z166)&amp;"-"&amp;IF(MONTH('web survey'!Z166)&lt;10,"0"&amp;MONTH('web survey'!Z166),MONTH('web survey'!Z166))&amp;"-"&amp;IF(DAY('web survey'!Z166)&lt;10,"0"&amp;DAY('web survey'!Z166),DAY('web survey'!Z166))&amp;" "&amp;IF(HOUR('web survey'!Z166)&lt;10,"0"&amp;HOUR('web survey'!Z166),HOUR('web survey'!Z166))&amp;":"&amp;IF(MINUTE('web survey'!Z166)&lt;10,"0"&amp;MINUTE('web survey'!Z166),MINUTE('web survey'!Z166))&amp;(":00'")</f>
        <v>2026-06-13 03:54:00'</v>
      </c>
      <c r="N168" s="37">
        <v>165</v>
      </c>
      <c r="O168" s="37" t="s">
        <v>27</v>
      </c>
      <c r="P168" s="38" t="s">
        <v>327</v>
      </c>
      <c r="Q168" s="43" t="s">
        <v>18</v>
      </c>
      <c r="R168" s="44" t="s">
        <v>17</v>
      </c>
      <c r="S168" s="43" t="s">
        <v>37</v>
      </c>
      <c r="T168" s="44" t="s">
        <v>17</v>
      </c>
      <c r="U168" s="43" t="s">
        <v>30</v>
      </c>
      <c r="V168" s="44" t="s">
        <v>17</v>
      </c>
      <c r="W168" s="43" t="s">
        <v>34</v>
      </c>
      <c r="X168" s="37" t="s">
        <v>328</v>
      </c>
    </row>
    <row r="169" ht="28.2" customHeight="1" spans="1:24">
      <c r="A169" s="28">
        <f>IF(B169="","",ROW()-COUNTBLANK($B$4:B169)-3)</f>
        <v>166</v>
      </c>
      <c r="B169" s="28" t="str">
        <f>'web survey'!C167</f>
        <v>FU-Z1-Eng</v>
      </c>
      <c r="C169" s="29" t="str">
        <f>'web survey'!AA167</f>
        <v>204461014</v>
      </c>
      <c r="D169" s="30" t="str">
        <f>IF(B169="FU-ACInstall",VLOOKUP(VALUE('web survey'!D167),ref!$B$6:$C$7,2,0)&amp;" ("&amp;'web survey'!D167&amp;")",VLOOKUP(VALUE('web survey'!D167),ref!$E$6:$F$10,2,0)&amp;" ("&amp;'web survey'!D167&amp;")")</f>
        <v>Good (10)</v>
      </c>
      <c r="E169" s="32" t="str">
        <f>'web survey'!S167</f>
        <v/>
      </c>
      <c r="F169" s="30" t="str">
        <f>IF(B169="FU-ACInstall",VLOOKUP(VALUE('web survey'!E167),ref!$B$10:$C$12,2,0)&amp;" ("&amp;'web survey'!E167&amp;")",VLOOKUP(VALUE('web survey'!E167),ref!$E$13:$F$17,2,0)&amp;" ("&amp;'web survey'!E167&amp;")")</f>
        <v>Good (5)</v>
      </c>
      <c r="G169" s="32" t="str">
        <f>'web survey'!T167</f>
        <v/>
      </c>
      <c r="H169" s="30" t="str">
        <f>IF(B169="FU-ACInstall",VLOOKUP(VALUE('web survey'!F167),ref!$B$15:$C$17,2,0)&amp;" ("&amp;'web survey'!F167&amp;")",VLOOKUP(VALUE('web survey'!F167),ref!$E$20:$F$21,2,0)&amp;" ("&amp;'web survey'!F167&amp;")")</f>
        <v>Appropriate with SAP / in Warranty (10)</v>
      </c>
      <c r="I169" s="32" t="str">
        <f>'web survey'!U167</f>
        <v/>
      </c>
      <c r="J169" s="30" t="str">
        <f>IF(B169="FU-ACInstall","-",VLOOKUP(VALUE('web survey'!G167),ref!$E$24:$F$26,2,0)&amp;" ("&amp;'web survey'!G167&amp;")")</f>
        <v>Jelas (5)</v>
      </c>
      <c r="K169" s="28" t="str">
        <f>YEAR('web survey'!Z167)&amp;"-"&amp;IF(MONTH('web survey'!Z167)&lt;10,"0"&amp;MONTH('web survey'!Z167),MONTH('web survey'!Z167))&amp;"-"&amp;IF(DAY('web survey'!Z167)&lt;10,"0"&amp;DAY('web survey'!Z167),DAY('web survey'!Z167))&amp;" "&amp;IF(HOUR('web survey'!Z167)&lt;10,"0"&amp;HOUR('web survey'!Z167),HOUR('web survey'!Z167))&amp;":"&amp;IF(MINUTE('web survey'!Z167)&lt;10,"0"&amp;MINUTE('web survey'!Z167),MINUTE('web survey'!Z167))&amp;(":00'")</f>
        <v>2026-06-13 00:56:00'</v>
      </c>
      <c r="N169" s="37">
        <v>166</v>
      </c>
      <c r="O169" s="37" t="s">
        <v>27</v>
      </c>
      <c r="P169" s="38" t="s">
        <v>329</v>
      </c>
      <c r="Q169" s="43" t="s">
        <v>18</v>
      </c>
      <c r="R169" s="44" t="s">
        <v>17</v>
      </c>
      <c r="S169" s="43" t="s">
        <v>29</v>
      </c>
      <c r="T169" s="44" t="s">
        <v>17</v>
      </c>
      <c r="U169" s="43" t="s">
        <v>30</v>
      </c>
      <c r="V169" s="44" t="s">
        <v>17</v>
      </c>
      <c r="W169" s="43" t="s">
        <v>34</v>
      </c>
      <c r="X169" s="37" t="s">
        <v>330</v>
      </c>
    </row>
    <row r="170" ht="28.2" customHeight="1" spans="1:24">
      <c r="A170" s="28">
        <f>IF(B170="","",ROW()-COUNTBLANK($B$4:B170)-3)</f>
        <v>167</v>
      </c>
      <c r="B170" s="28" t="str">
        <f>'web survey'!C168</f>
        <v>FU-Z1-Eng</v>
      </c>
      <c r="C170" s="29" t="str">
        <f>'web survey'!AA168</f>
        <v>1100356542</v>
      </c>
      <c r="D170" s="30" t="str">
        <f>IF(B170="FU-ACInstall",VLOOKUP(VALUE('web survey'!D168),ref!$B$6:$C$7,2,0)&amp;" ("&amp;'web survey'!D168&amp;")",VLOOKUP(VALUE('web survey'!D168),ref!$E$6:$F$10,2,0)&amp;" ("&amp;'web survey'!D168&amp;")")</f>
        <v>Good (10)</v>
      </c>
      <c r="E170" s="32" t="str">
        <f>'web survey'!S168</f>
        <v/>
      </c>
      <c r="F170" s="30" t="str">
        <f>IF(B170="FU-ACInstall",VLOOKUP(VALUE('web survey'!E168),ref!$B$10:$C$12,2,0)&amp;" ("&amp;'web survey'!E168&amp;")",VLOOKUP(VALUE('web survey'!E168),ref!$E$13:$F$17,2,0)&amp;" ("&amp;'web survey'!E168&amp;")")</f>
        <v>Good (5)</v>
      </c>
      <c r="G170" s="32" t="str">
        <f>'web survey'!T168</f>
        <v/>
      </c>
      <c r="H170" s="30" t="str">
        <f>IF(B170="FU-ACInstall",VLOOKUP(VALUE('web survey'!F168),ref!$B$15:$C$17,2,0)&amp;" ("&amp;'web survey'!F168&amp;")",VLOOKUP(VALUE('web survey'!F168),ref!$E$20:$F$21,2,0)&amp;" ("&amp;'web survey'!F168&amp;")")</f>
        <v>Appropriate with SAP / in Warranty (10)</v>
      </c>
      <c r="I170" s="32" t="str">
        <f>'web survey'!U168</f>
        <v/>
      </c>
      <c r="J170" s="30" t="str">
        <f>IF(B170="FU-ACInstall","-",VLOOKUP(VALUE('web survey'!G168),ref!$E$24:$F$26,2,0)&amp;" ("&amp;'web survey'!G168&amp;")")</f>
        <v>Jelas (5)</v>
      </c>
      <c r="K170" s="28" t="str">
        <f>YEAR('web survey'!Z168)&amp;"-"&amp;IF(MONTH('web survey'!Z168)&lt;10,"0"&amp;MONTH('web survey'!Z168),MONTH('web survey'!Z168))&amp;"-"&amp;IF(DAY('web survey'!Z168)&lt;10,"0"&amp;DAY('web survey'!Z168),DAY('web survey'!Z168))&amp;" "&amp;IF(HOUR('web survey'!Z168)&lt;10,"0"&amp;HOUR('web survey'!Z168),HOUR('web survey'!Z168))&amp;":"&amp;IF(MINUTE('web survey'!Z168)&lt;10,"0"&amp;MINUTE('web survey'!Z168),MINUTE('web survey'!Z168))&amp;(":00'")</f>
        <v>2026-06-13 00:53:00'</v>
      </c>
      <c r="N170" s="37">
        <v>167</v>
      </c>
      <c r="O170" s="37" t="s">
        <v>27</v>
      </c>
      <c r="P170" s="38" t="s">
        <v>331</v>
      </c>
      <c r="Q170" s="43" t="s">
        <v>18</v>
      </c>
      <c r="R170" s="44" t="s">
        <v>17</v>
      </c>
      <c r="S170" s="43" t="s">
        <v>29</v>
      </c>
      <c r="T170" s="44" t="s">
        <v>17</v>
      </c>
      <c r="U170" s="43" t="s">
        <v>30</v>
      </c>
      <c r="V170" s="44" t="s">
        <v>17</v>
      </c>
      <c r="W170" s="43" t="s">
        <v>34</v>
      </c>
      <c r="X170" s="37" t="s">
        <v>332</v>
      </c>
    </row>
    <row r="171" ht="28.2" customHeight="1" spans="1:24">
      <c r="A171" s="28">
        <f>IF(B171="","",ROW()-COUNTBLANK($B$4:B171)-3)</f>
        <v>168</v>
      </c>
      <c r="B171" s="28" t="str">
        <f>'web survey'!C169</f>
        <v>FU-Z1-Eng</v>
      </c>
      <c r="C171" s="29" t="str">
        <f>'web survey'!AA169</f>
        <v>204445343</v>
      </c>
      <c r="D171" s="30" t="str">
        <f>IF(B171="FU-ACInstall",VLOOKUP(VALUE('web survey'!D169),ref!$B$6:$C$7,2,0)&amp;" ("&amp;'web survey'!D169&amp;")",VLOOKUP(VALUE('web survey'!D169),ref!$E$6:$F$10,2,0)&amp;" ("&amp;'web survey'!D169&amp;")")</f>
        <v>Good (10)</v>
      </c>
      <c r="E171" s="32" t="str">
        <f>'web survey'!S169</f>
        <v/>
      </c>
      <c r="F171" s="30" t="str">
        <f>IF(B171="FU-ACInstall",VLOOKUP(VALUE('web survey'!E169),ref!$B$10:$C$12,2,0)&amp;" ("&amp;'web survey'!E169&amp;")",VLOOKUP(VALUE('web survey'!E169),ref!$E$13:$F$17,2,0)&amp;" ("&amp;'web survey'!E169&amp;")")</f>
        <v>Very Good (10)</v>
      </c>
      <c r="G171" s="32" t="str">
        <f>'web survey'!T169</f>
        <v/>
      </c>
      <c r="H171" s="30" t="str">
        <f>IF(B171="FU-ACInstall",VLOOKUP(VALUE('web survey'!F169),ref!$B$15:$C$17,2,0)&amp;" ("&amp;'web survey'!F169&amp;")",VLOOKUP(VALUE('web survey'!F169),ref!$E$20:$F$21,2,0)&amp;" ("&amp;'web survey'!F169&amp;")")</f>
        <v>Appropriate with SAP / in Warranty (10)</v>
      </c>
      <c r="I171" s="32" t="str">
        <f>'web survey'!U169</f>
        <v/>
      </c>
      <c r="J171" s="30" t="str">
        <f>IF(B171="FU-ACInstall","-",VLOOKUP(VALUE('web survey'!G169),ref!$E$24:$F$26,2,0)&amp;" ("&amp;'web survey'!G169&amp;")")</f>
        <v>Jelas (5)</v>
      </c>
      <c r="K171" s="28" t="str">
        <f>YEAR('web survey'!Z169)&amp;"-"&amp;IF(MONTH('web survey'!Z169)&lt;10,"0"&amp;MONTH('web survey'!Z169),MONTH('web survey'!Z169))&amp;"-"&amp;IF(DAY('web survey'!Z169)&lt;10,"0"&amp;DAY('web survey'!Z169),DAY('web survey'!Z169))&amp;" "&amp;IF(HOUR('web survey'!Z169)&lt;10,"0"&amp;HOUR('web survey'!Z169),HOUR('web survey'!Z169))&amp;":"&amp;IF(MINUTE('web survey'!Z169)&lt;10,"0"&amp;MINUTE('web survey'!Z169),MINUTE('web survey'!Z169))&amp;(":00'")</f>
        <v>2026-06-13 00:29:00'</v>
      </c>
      <c r="N171" s="37">
        <v>168</v>
      </c>
      <c r="O171" s="37" t="s">
        <v>27</v>
      </c>
      <c r="P171" s="38" t="s">
        <v>333</v>
      </c>
      <c r="Q171" s="43" t="s">
        <v>18</v>
      </c>
      <c r="R171" s="44" t="s">
        <v>17</v>
      </c>
      <c r="S171" s="43" t="s">
        <v>37</v>
      </c>
      <c r="T171" s="44" t="s">
        <v>17</v>
      </c>
      <c r="U171" s="43" t="s">
        <v>30</v>
      </c>
      <c r="V171" s="44" t="s">
        <v>17</v>
      </c>
      <c r="W171" s="43" t="s">
        <v>34</v>
      </c>
      <c r="X171" s="37" t="s">
        <v>334</v>
      </c>
    </row>
    <row r="172" ht="28.2" customHeight="1" spans="1:24">
      <c r="A172" s="28">
        <f>IF(B172="","",ROW()-COUNTBLANK($B$4:B172)-3)</f>
        <v>169</v>
      </c>
      <c r="B172" s="28" t="str">
        <f>'web survey'!C170</f>
        <v>FU-Z1-Eng</v>
      </c>
      <c r="C172" s="29" t="str">
        <f>'web survey'!AA170</f>
        <v>204471067</v>
      </c>
      <c r="D172" s="30" t="str">
        <f>IF(B172="FU-ACInstall",VLOOKUP(VALUE('web survey'!D170),ref!$B$6:$C$7,2,0)&amp;" ("&amp;'web survey'!D170&amp;")",VLOOKUP(VALUE('web survey'!D170),ref!$E$6:$F$10,2,0)&amp;" ("&amp;'web survey'!D170&amp;")")</f>
        <v>Good (10)</v>
      </c>
      <c r="E172" s="32" t="str">
        <f>'web survey'!S170</f>
        <v/>
      </c>
      <c r="F172" s="30" t="str">
        <f>IF(B172="FU-ACInstall",VLOOKUP(VALUE('web survey'!E170),ref!$B$10:$C$12,2,0)&amp;" ("&amp;'web survey'!E170&amp;")",VLOOKUP(VALUE('web survey'!E170),ref!$E$13:$F$17,2,0)&amp;" ("&amp;'web survey'!E170&amp;")")</f>
        <v>Very Good (10)</v>
      </c>
      <c r="G172" s="32" t="str">
        <f>'web survey'!T170</f>
        <v/>
      </c>
      <c r="H172" s="30" t="str">
        <f>IF(B172="FU-ACInstall",VLOOKUP(VALUE('web survey'!F170),ref!$B$15:$C$17,2,0)&amp;" ("&amp;'web survey'!F170&amp;")",VLOOKUP(VALUE('web survey'!F170),ref!$E$20:$F$21,2,0)&amp;" ("&amp;'web survey'!F170&amp;")")</f>
        <v>Appropriate with SAP / in Warranty (10)</v>
      </c>
      <c r="I172" s="32" t="str">
        <f>'web survey'!U170</f>
        <v/>
      </c>
      <c r="J172" s="30" t="str">
        <f>IF(B172="FU-ACInstall","-",VLOOKUP(VALUE('web survey'!G170),ref!$E$24:$F$26,2,0)&amp;" ("&amp;'web survey'!G170&amp;")")</f>
        <v>Jelas (5)</v>
      </c>
      <c r="K172" s="28" t="str">
        <f>YEAR('web survey'!Z170)&amp;"-"&amp;IF(MONTH('web survey'!Z170)&lt;10,"0"&amp;MONTH('web survey'!Z170),MONTH('web survey'!Z170))&amp;"-"&amp;IF(DAY('web survey'!Z170)&lt;10,"0"&amp;DAY('web survey'!Z170),DAY('web survey'!Z170))&amp;" "&amp;IF(HOUR('web survey'!Z170)&lt;10,"0"&amp;HOUR('web survey'!Z170),HOUR('web survey'!Z170))&amp;":"&amp;IF(MINUTE('web survey'!Z170)&lt;10,"0"&amp;MINUTE('web survey'!Z170),MINUTE('web survey'!Z170))&amp;(":00'")</f>
        <v>2026-06-12 21:46:00'</v>
      </c>
      <c r="N172" s="37">
        <v>169</v>
      </c>
      <c r="O172" s="37" t="s">
        <v>27</v>
      </c>
      <c r="P172" s="38" t="s">
        <v>335</v>
      </c>
      <c r="Q172" s="43" t="s">
        <v>18</v>
      </c>
      <c r="R172" s="44" t="s">
        <v>17</v>
      </c>
      <c r="S172" s="43" t="s">
        <v>37</v>
      </c>
      <c r="T172" s="44" t="s">
        <v>17</v>
      </c>
      <c r="U172" s="43" t="s">
        <v>30</v>
      </c>
      <c r="V172" s="44" t="s">
        <v>17</v>
      </c>
      <c r="W172" s="43" t="s">
        <v>34</v>
      </c>
      <c r="X172" s="37" t="s">
        <v>336</v>
      </c>
    </row>
    <row r="173" ht="28.2" customHeight="1" spans="1:24">
      <c r="A173" s="28">
        <f>IF(B173="","",ROW()-COUNTBLANK($B$4:B173)-3)</f>
        <v>170</v>
      </c>
      <c r="B173" s="28" t="str">
        <f>'web survey'!C171</f>
        <v>FU-Z1-Eng</v>
      </c>
      <c r="C173" s="29" t="str">
        <f>'web survey'!AA171</f>
        <v>1100355028</v>
      </c>
      <c r="D173" s="30" t="str">
        <f>IF(B173="FU-ACInstall",VLOOKUP(VALUE('web survey'!D171),ref!$B$6:$C$7,2,0)&amp;" ("&amp;'web survey'!D171&amp;")",VLOOKUP(VALUE('web survey'!D171),ref!$E$6:$F$10,2,0)&amp;" ("&amp;'web survey'!D171&amp;")")</f>
        <v>Good (10)</v>
      </c>
      <c r="E173" s="32" t="str">
        <f>'web survey'!S171</f>
        <v/>
      </c>
      <c r="F173" s="30" t="str">
        <f>IF(B173="FU-ACInstall",VLOOKUP(VALUE('web survey'!E171),ref!$B$10:$C$12,2,0)&amp;" ("&amp;'web survey'!E171&amp;")",VLOOKUP(VALUE('web survey'!E171),ref!$E$13:$F$17,2,0)&amp;" ("&amp;'web survey'!E171&amp;")")</f>
        <v>Good (5)</v>
      </c>
      <c r="G173" s="32" t="str">
        <f>'web survey'!T171</f>
        <v/>
      </c>
      <c r="H173" s="30" t="str">
        <f>IF(B173="FU-ACInstall",VLOOKUP(VALUE('web survey'!F171),ref!$B$15:$C$17,2,0)&amp;" ("&amp;'web survey'!F171&amp;")",VLOOKUP(VALUE('web survey'!F171),ref!$E$20:$F$21,2,0)&amp;" ("&amp;'web survey'!F171&amp;")")</f>
        <v>Appropriate with SAP / in Warranty (10)</v>
      </c>
      <c r="I173" s="32" t="str">
        <f>'web survey'!U171</f>
        <v/>
      </c>
      <c r="J173" s="30" t="str">
        <f>IF(B173="FU-ACInstall","-",VLOOKUP(VALUE('web survey'!G171),ref!$E$24:$F$26,2,0)&amp;" ("&amp;'web survey'!G171&amp;")")</f>
        <v>Tidak ada penjelasan (-5)</v>
      </c>
      <c r="K173" s="28" t="str">
        <f>YEAR('web survey'!Z171)&amp;"-"&amp;IF(MONTH('web survey'!Z171)&lt;10,"0"&amp;MONTH('web survey'!Z171),MONTH('web survey'!Z171))&amp;"-"&amp;IF(DAY('web survey'!Z171)&lt;10,"0"&amp;DAY('web survey'!Z171),DAY('web survey'!Z171))&amp;" "&amp;IF(HOUR('web survey'!Z171)&lt;10,"0"&amp;HOUR('web survey'!Z171),HOUR('web survey'!Z171))&amp;":"&amp;IF(MINUTE('web survey'!Z171)&lt;10,"0"&amp;MINUTE('web survey'!Z171),MINUTE('web survey'!Z171))&amp;(":00'")</f>
        <v>2026-06-12 21:27:00'</v>
      </c>
      <c r="N173" s="37">
        <v>170</v>
      </c>
      <c r="O173" s="37" t="s">
        <v>27</v>
      </c>
      <c r="P173" s="38" t="s">
        <v>337</v>
      </c>
      <c r="Q173" s="43" t="s">
        <v>18</v>
      </c>
      <c r="R173" s="44" t="s">
        <v>17</v>
      </c>
      <c r="S173" s="43" t="s">
        <v>29</v>
      </c>
      <c r="T173" s="44" t="s">
        <v>17</v>
      </c>
      <c r="U173" s="43" t="s">
        <v>30</v>
      </c>
      <c r="V173" s="44" t="s">
        <v>17</v>
      </c>
      <c r="W173" s="43" t="s">
        <v>50</v>
      </c>
      <c r="X173" s="37" t="s">
        <v>338</v>
      </c>
    </row>
    <row r="174" ht="28.2" customHeight="1" spans="1:24">
      <c r="A174" s="28">
        <f>IF(B174="","",ROW()-COUNTBLANK($B$4:B174)-3)</f>
        <v>171</v>
      </c>
      <c r="B174" s="28" t="str">
        <f>'web survey'!C172</f>
        <v>FU-Z1-Eng</v>
      </c>
      <c r="C174" s="29" t="str">
        <f>'web survey'!AA172</f>
        <v>202687440</v>
      </c>
      <c r="D174" s="30" t="str">
        <f>IF(B174="FU-ACInstall",VLOOKUP(VALUE('web survey'!D172),ref!$B$6:$C$7,2,0)&amp;" ("&amp;'web survey'!D172&amp;")",VLOOKUP(VALUE('web survey'!D172),ref!$E$6:$F$10,2,0)&amp;" ("&amp;'web survey'!D172&amp;")")</f>
        <v>Good (10)</v>
      </c>
      <c r="E174" s="32" t="str">
        <f>'web survey'!S172</f>
        <v/>
      </c>
      <c r="F174" s="30" t="str">
        <f>IF(B174="FU-ACInstall",VLOOKUP(VALUE('web survey'!E172),ref!$B$10:$C$12,2,0)&amp;" ("&amp;'web survey'!E172&amp;")",VLOOKUP(VALUE('web survey'!E172),ref!$E$13:$F$17,2,0)&amp;" ("&amp;'web survey'!E172&amp;")")</f>
        <v>Bad (-10)</v>
      </c>
      <c r="G174" s="32" t="str">
        <f>'web survey'!T172</f>
        <v/>
      </c>
      <c r="H174" s="30" t="str">
        <f>IF(B174="FU-ACInstall",VLOOKUP(VALUE('web survey'!F172),ref!$B$15:$C$17,2,0)&amp;" ("&amp;'web survey'!F172&amp;")",VLOOKUP(VALUE('web survey'!F172),ref!$E$20:$F$21,2,0)&amp;" ("&amp;'web survey'!F172&amp;")")</f>
        <v>Appropriate with SAP / in Warranty (10)</v>
      </c>
      <c r="I174" s="32" t="str">
        <f>'web survey'!U172</f>
        <v/>
      </c>
      <c r="J174" s="30" t="e">
        <f>IF(B174="FU-ACInstall","-",VLOOKUP(VALUE('web survey'!G172),ref!$E$24:$F$26,2,0)&amp;" ("&amp;'web survey'!G172&amp;")")</f>
        <v>#N/A</v>
      </c>
      <c r="K174" s="28" t="str">
        <f>YEAR('web survey'!Z172)&amp;"-"&amp;IF(MONTH('web survey'!Z172)&lt;10,"0"&amp;MONTH('web survey'!Z172),MONTH('web survey'!Z172))&amp;"-"&amp;IF(DAY('web survey'!Z172)&lt;10,"0"&amp;DAY('web survey'!Z172),DAY('web survey'!Z172))&amp;" "&amp;IF(HOUR('web survey'!Z172)&lt;10,"0"&amp;HOUR('web survey'!Z172),HOUR('web survey'!Z172))&amp;":"&amp;IF(MINUTE('web survey'!Z172)&lt;10,"0"&amp;MINUTE('web survey'!Z172),MINUTE('web survey'!Z172))&amp;(":00'")</f>
        <v>2026-06-12 21:24:00'</v>
      </c>
      <c r="N174" s="37">
        <v>171</v>
      </c>
      <c r="O174" s="37" t="s">
        <v>27</v>
      </c>
      <c r="P174" s="38" t="s">
        <v>339</v>
      </c>
      <c r="Q174" s="43" t="s">
        <v>18</v>
      </c>
      <c r="R174" s="44" t="s">
        <v>17</v>
      </c>
      <c r="S174" s="43" t="s">
        <v>123</v>
      </c>
      <c r="T174" s="44" t="s">
        <v>17</v>
      </c>
      <c r="U174" s="43" t="s">
        <v>30</v>
      </c>
      <c r="V174" s="44" t="s">
        <v>17</v>
      </c>
      <c r="W174" s="43" t="e">
        <v>#N/A</v>
      </c>
      <c r="X174" s="37" t="s">
        <v>340</v>
      </c>
    </row>
    <row r="175" ht="28.2" customHeight="1" spans="1:24">
      <c r="A175" s="28">
        <f>IF(B175="","",ROW()-COUNTBLANK($B$4:B175)-3)</f>
        <v>172</v>
      </c>
      <c r="B175" s="28" t="str">
        <f>'web survey'!C173</f>
        <v>FU-Z1-Eng</v>
      </c>
      <c r="C175" s="29" t="str">
        <f>'web survey'!AA173</f>
        <v>204472280</v>
      </c>
      <c r="D175" s="30" t="str">
        <f>IF(B175="FU-ACInstall",VLOOKUP(VALUE('web survey'!D173),ref!$B$6:$C$7,2,0)&amp;" ("&amp;'web survey'!D173&amp;")",VLOOKUP(VALUE('web survey'!D173),ref!$E$6:$F$10,2,0)&amp;" ("&amp;'web survey'!D173&amp;")")</f>
        <v>Good (10)</v>
      </c>
      <c r="E175" s="32" t="str">
        <f>'web survey'!S173</f>
        <v/>
      </c>
      <c r="F175" s="30" t="str">
        <f>IF(B175="FU-ACInstall",VLOOKUP(VALUE('web survey'!E173),ref!$B$10:$C$12,2,0)&amp;" ("&amp;'web survey'!E173&amp;")",VLOOKUP(VALUE('web survey'!E173),ref!$E$13:$F$17,2,0)&amp;" ("&amp;'web survey'!E173&amp;")")</f>
        <v>Average (3)</v>
      </c>
      <c r="G175" s="32" t="str">
        <f>'web survey'!T173</f>
        <v/>
      </c>
      <c r="H175" s="30" t="str">
        <f>IF(B175="FU-ACInstall",VLOOKUP(VALUE('web survey'!F173),ref!$B$15:$C$17,2,0)&amp;" ("&amp;'web survey'!F173&amp;")",VLOOKUP(VALUE('web survey'!F173),ref!$E$20:$F$21,2,0)&amp;" ("&amp;'web survey'!F173&amp;")")</f>
        <v>Appropriate with SAP / in Warranty (10)</v>
      </c>
      <c r="I175" s="32" t="str">
        <f>'web survey'!U173</f>
        <v/>
      </c>
      <c r="J175" s="30" t="str">
        <f>IF(B175="FU-ACInstall","-",VLOOKUP(VALUE('web survey'!G173),ref!$E$24:$F$26,2,0)&amp;" ("&amp;'web survey'!G173&amp;")")</f>
        <v>Kurang jelas (3)</v>
      </c>
      <c r="K175" s="28" t="str">
        <f>YEAR('web survey'!Z173)&amp;"-"&amp;IF(MONTH('web survey'!Z173)&lt;10,"0"&amp;MONTH('web survey'!Z173),MONTH('web survey'!Z173))&amp;"-"&amp;IF(DAY('web survey'!Z173)&lt;10,"0"&amp;DAY('web survey'!Z173),DAY('web survey'!Z173))&amp;" "&amp;IF(HOUR('web survey'!Z173)&lt;10,"0"&amp;HOUR('web survey'!Z173),HOUR('web survey'!Z173))&amp;":"&amp;IF(MINUTE('web survey'!Z173)&lt;10,"0"&amp;MINUTE('web survey'!Z173),MINUTE('web survey'!Z173))&amp;(":00'")</f>
        <v>2026-06-12 20:30:00'</v>
      </c>
      <c r="N175" s="37">
        <v>172</v>
      </c>
      <c r="O175" s="37" t="s">
        <v>27</v>
      </c>
      <c r="P175" s="38" t="s">
        <v>341</v>
      </c>
      <c r="Q175" s="43" t="s">
        <v>18</v>
      </c>
      <c r="R175" s="44" t="s">
        <v>17</v>
      </c>
      <c r="S175" s="43" t="s">
        <v>204</v>
      </c>
      <c r="T175" s="44" t="s">
        <v>17</v>
      </c>
      <c r="U175" s="43" t="s">
        <v>30</v>
      </c>
      <c r="V175" s="44" t="s">
        <v>17</v>
      </c>
      <c r="W175" s="43" t="s">
        <v>154</v>
      </c>
      <c r="X175" s="37" t="s">
        <v>342</v>
      </c>
    </row>
    <row r="176" ht="28.2" customHeight="1" spans="1:24">
      <c r="A176" s="28">
        <f>IF(B176="","",ROW()-COUNTBLANK($B$4:B176)-3)</f>
        <v>173</v>
      </c>
      <c r="B176" s="28" t="str">
        <f>'web survey'!C174</f>
        <v>FU-Z1-Eng</v>
      </c>
      <c r="C176" s="29" t="str">
        <f>'web survey'!AA174</f>
        <v>100988472</v>
      </c>
      <c r="D176" s="30" t="str">
        <f>IF(B176="FU-ACInstall",VLOOKUP(VALUE('web survey'!D174),ref!$B$6:$C$7,2,0)&amp;" ("&amp;'web survey'!D174&amp;")",VLOOKUP(VALUE('web survey'!D174),ref!$E$6:$F$10,2,0)&amp;" ("&amp;'web survey'!D174&amp;")")</f>
        <v>Good (10)</v>
      </c>
      <c r="E176" s="32" t="str">
        <f>'web survey'!S174</f>
        <v/>
      </c>
      <c r="F176" s="30" t="str">
        <f>IF(B176="FU-ACInstall",VLOOKUP(VALUE('web survey'!E174),ref!$B$10:$C$12,2,0)&amp;" ("&amp;'web survey'!E174&amp;")",VLOOKUP(VALUE('web survey'!E174),ref!$E$13:$F$17,2,0)&amp;" ("&amp;'web survey'!E174&amp;")")</f>
        <v>Very Good (10)</v>
      </c>
      <c r="G176" s="32" t="str">
        <f>'web survey'!T174</f>
        <v/>
      </c>
      <c r="H176" s="30" t="str">
        <f>IF(B176="FU-ACInstall",VLOOKUP(VALUE('web survey'!F174),ref!$B$15:$C$17,2,0)&amp;" ("&amp;'web survey'!F174&amp;")",VLOOKUP(VALUE('web survey'!F174),ref!$E$20:$F$21,2,0)&amp;" ("&amp;'web survey'!F174&amp;")")</f>
        <v>Appropriate with SAP / in Warranty (10)</v>
      </c>
      <c r="I176" s="32" t="str">
        <f>'web survey'!U174</f>
        <v/>
      </c>
      <c r="J176" s="30" t="str">
        <f>IF(B176="FU-ACInstall","-",VLOOKUP(VALUE('web survey'!G174),ref!$E$24:$F$26,2,0)&amp;" ("&amp;'web survey'!G174&amp;")")</f>
        <v>Jelas (5)</v>
      </c>
      <c r="K176" s="28" t="str">
        <f>YEAR('web survey'!Z174)&amp;"-"&amp;IF(MONTH('web survey'!Z174)&lt;10,"0"&amp;MONTH('web survey'!Z174),MONTH('web survey'!Z174))&amp;"-"&amp;IF(DAY('web survey'!Z174)&lt;10,"0"&amp;DAY('web survey'!Z174),DAY('web survey'!Z174))&amp;" "&amp;IF(HOUR('web survey'!Z174)&lt;10,"0"&amp;HOUR('web survey'!Z174),HOUR('web survey'!Z174))&amp;":"&amp;IF(MINUTE('web survey'!Z174)&lt;10,"0"&amp;MINUTE('web survey'!Z174),MINUTE('web survey'!Z174))&amp;(":00'")</f>
        <v>2026-06-12 20:23:00'</v>
      </c>
      <c r="N176" s="37">
        <v>173</v>
      </c>
      <c r="O176" s="37" t="s">
        <v>27</v>
      </c>
      <c r="P176" s="38" t="s">
        <v>343</v>
      </c>
      <c r="Q176" s="43" t="s">
        <v>18</v>
      </c>
      <c r="R176" s="44" t="s">
        <v>17</v>
      </c>
      <c r="S176" s="43" t="s">
        <v>37</v>
      </c>
      <c r="T176" s="44" t="s">
        <v>17</v>
      </c>
      <c r="U176" s="43" t="s">
        <v>30</v>
      </c>
      <c r="V176" s="44" t="s">
        <v>17</v>
      </c>
      <c r="W176" s="43" t="s">
        <v>34</v>
      </c>
      <c r="X176" s="37" t="s">
        <v>344</v>
      </c>
    </row>
    <row r="177" ht="28.2" customHeight="1" spans="1:24">
      <c r="A177" s="28">
        <f>IF(B177="","",ROW()-COUNTBLANK($B$4:B177)-3)</f>
        <v>174</v>
      </c>
      <c r="B177" s="28" t="str">
        <f>'web survey'!C175</f>
        <v>FU-Z1-Eng</v>
      </c>
      <c r="C177" s="29" t="str">
        <f>'web survey'!AA175</f>
        <v>204463953</v>
      </c>
      <c r="D177" s="30" t="str">
        <f>IF(B177="FU-ACInstall",VLOOKUP(VALUE('web survey'!D175),ref!$B$6:$C$7,2,0)&amp;" ("&amp;'web survey'!D175&amp;")",VLOOKUP(VALUE('web survey'!D175),ref!$E$6:$F$10,2,0)&amp;" ("&amp;'web survey'!D175&amp;")")</f>
        <v>Good (10)</v>
      </c>
      <c r="E177" s="32" t="str">
        <f>'web survey'!S175</f>
        <v/>
      </c>
      <c r="F177" s="30" t="str">
        <f>IF(B177="FU-ACInstall",VLOOKUP(VALUE('web survey'!E175),ref!$B$10:$C$12,2,0)&amp;" ("&amp;'web survey'!E175&amp;")",VLOOKUP(VALUE('web survey'!E175),ref!$E$13:$F$17,2,0)&amp;" ("&amp;'web survey'!E175&amp;")")</f>
        <v>Very Good (10)</v>
      </c>
      <c r="G177" s="32" t="str">
        <f>'web survey'!T175</f>
        <v/>
      </c>
      <c r="H177" s="30" t="str">
        <f>IF(B177="FU-ACInstall",VLOOKUP(VALUE('web survey'!F175),ref!$B$15:$C$17,2,0)&amp;" ("&amp;'web survey'!F175&amp;")",VLOOKUP(VALUE('web survey'!F175),ref!$E$20:$F$21,2,0)&amp;" ("&amp;'web survey'!F175&amp;")")</f>
        <v>Appropriate with SAP / in Warranty (10)</v>
      </c>
      <c r="I177" s="32" t="str">
        <f>'web survey'!U175</f>
        <v/>
      </c>
      <c r="J177" s="30" t="str">
        <f>IF(B177="FU-ACInstall","-",VLOOKUP(VALUE('web survey'!G175),ref!$E$24:$F$26,2,0)&amp;" ("&amp;'web survey'!G175&amp;")")</f>
        <v>Jelas (5)</v>
      </c>
      <c r="K177" s="28" t="str">
        <f>YEAR('web survey'!Z175)&amp;"-"&amp;IF(MONTH('web survey'!Z175)&lt;10,"0"&amp;MONTH('web survey'!Z175),MONTH('web survey'!Z175))&amp;"-"&amp;IF(DAY('web survey'!Z175)&lt;10,"0"&amp;DAY('web survey'!Z175),DAY('web survey'!Z175))&amp;" "&amp;IF(HOUR('web survey'!Z175)&lt;10,"0"&amp;HOUR('web survey'!Z175),HOUR('web survey'!Z175))&amp;":"&amp;IF(MINUTE('web survey'!Z175)&lt;10,"0"&amp;MINUTE('web survey'!Z175),MINUTE('web survey'!Z175))&amp;(":00'")</f>
        <v>2026-06-12 20:18:00'</v>
      </c>
      <c r="N177" s="37">
        <v>174</v>
      </c>
      <c r="O177" s="37" t="s">
        <v>27</v>
      </c>
      <c r="P177" s="38" t="s">
        <v>345</v>
      </c>
      <c r="Q177" s="43" t="s">
        <v>18</v>
      </c>
      <c r="R177" s="44" t="s">
        <v>17</v>
      </c>
      <c r="S177" s="43" t="s">
        <v>37</v>
      </c>
      <c r="T177" s="44" t="s">
        <v>17</v>
      </c>
      <c r="U177" s="43" t="s">
        <v>30</v>
      </c>
      <c r="V177" s="44" t="s">
        <v>17</v>
      </c>
      <c r="W177" s="43" t="s">
        <v>34</v>
      </c>
      <c r="X177" s="37" t="s">
        <v>346</v>
      </c>
    </row>
    <row r="178" ht="28.2" customHeight="1" spans="1:24">
      <c r="A178" s="28">
        <f>IF(B178="","",ROW()-COUNTBLANK($B$4:B178)-3)</f>
        <v>175</v>
      </c>
      <c r="B178" s="28" t="str">
        <f>'web survey'!C176</f>
        <v>FU-Z1-Eng</v>
      </c>
      <c r="C178" s="29" t="str">
        <f>'web survey'!AA176</f>
        <v>204467459</v>
      </c>
      <c r="D178" s="30" t="str">
        <f>IF(B178="FU-ACInstall",VLOOKUP(VALUE('web survey'!D176),ref!$B$6:$C$7,2,0)&amp;" ("&amp;'web survey'!D176&amp;")",VLOOKUP(VALUE('web survey'!D176),ref!$E$6:$F$10,2,0)&amp;" ("&amp;'web survey'!D176&amp;")")</f>
        <v>Good (10)</v>
      </c>
      <c r="E178" s="32" t="str">
        <f>'web survey'!S176</f>
        <v/>
      </c>
      <c r="F178" s="30" t="str">
        <f>IF(B178="FU-ACInstall",VLOOKUP(VALUE('web survey'!E176),ref!$B$10:$C$12,2,0)&amp;" ("&amp;'web survey'!E176&amp;")",VLOOKUP(VALUE('web survey'!E176),ref!$E$13:$F$17,2,0)&amp;" ("&amp;'web survey'!E176&amp;")")</f>
        <v>Good (5)</v>
      </c>
      <c r="G178" s="32" t="str">
        <f>'web survey'!T176</f>
        <v/>
      </c>
      <c r="H178" s="30" t="str">
        <f>IF(B178="FU-ACInstall",VLOOKUP(VALUE('web survey'!F176),ref!$B$15:$C$17,2,0)&amp;" ("&amp;'web survey'!F176&amp;")",VLOOKUP(VALUE('web survey'!F176),ref!$E$20:$F$21,2,0)&amp;" ("&amp;'web survey'!F176&amp;")")</f>
        <v>Appropriate with SAP / in Warranty (10)</v>
      </c>
      <c r="I178" s="32" t="str">
        <f>'web survey'!U176</f>
        <v/>
      </c>
      <c r="J178" s="30" t="str">
        <f>IF(B178="FU-ACInstall","-",VLOOKUP(VALUE('web survey'!G176),ref!$E$24:$F$26,2,0)&amp;" ("&amp;'web survey'!G176&amp;")")</f>
        <v>Jelas (5)</v>
      </c>
      <c r="K178" s="28" t="str">
        <f>YEAR('web survey'!Z176)&amp;"-"&amp;IF(MONTH('web survey'!Z176)&lt;10,"0"&amp;MONTH('web survey'!Z176),MONTH('web survey'!Z176))&amp;"-"&amp;IF(DAY('web survey'!Z176)&lt;10,"0"&amp;DAY('web survey'!Z176),DAY('web survey'!Z176))&amp;" "&amp;IF(HOUR('web survey'!Z176)&lt;10,"0"&amp;HOUR('web survey'!Z176),HOUR('web survey'!Z176))&amp;":"&amp;IF(MINUTE('web survey'!Z176)&lt;10,"0"&amp;MINUTE('web survey'!Z176),MINUTE('web survey'!Z176))&amp;(":00'")</f>
        <v>2026-06-12 19:37:00'</v>
      </c>
      <c r="N178" s="37">
        <v>175</v>
      </c>
      <c r="O178" s="37" t="s">
        <v>27</v>
      </c>
      <c r="P178" s="38" t="s">
        <v>347</v>
      </c>
      <c r="Q178" s="43" t="s">
        <v>18</v>
      </c>
      <c r="R178" s="44" t="s">
        <v>17</v>
      </c>
      <c r="S178" s="43" t="s">
        <v>29</v>
      </c>
      <c r="T178" s="44" t="s">
        <v>17</v>
      </c>
      <c r="U178" s="43" t="s">
        <v>30</v>
      </c>
      <c r="V178" s="44" t="s">
        <v>17</v>
      </c>
      <c r="W178" s="43" t="s">
        <v>34</v>
      </c>
      <c r="X178" s="37" t="s">
        <v>348</v>
      </c>
    </row>
    <row r="179" ht="28.2" customHeight="1" spans="1:24">
      <c r="A179" s="28">
        <f>IF(B179="","",ROW()-COUNTBLANK($B$4:B179)-3)</f>
        <v>176</v>
      </c>
      <c r="B179" s="28" t="str">
        <f>'web survey'!C177</f>
        <v>FU-Z1-Eng</v>
      </c>
      <c r="C179" s="29" t="str">
        <f>'web survey'!AA177</f>
        <v>204473041</v>
      </c>
      <c r="D179" s="30" t="str">
        <f>IF(B179="FU-ACInstall",VLOOKUP(VALUE('web survey'!D177),ref!$B$6:$C$7,2,0)&amp;" ("&amp;'web survey'!D177&amp;")",VLOOKUP(VALUE('web survey'!D177),ref!$E$6:$F$10,2,0)&amp;" ("&amp;'web survey'!D177&amp;")")</f>
        <v>Good (10)</v>
      </c>
      <c r="E179" s="32" t="str">
        <f>'web survey'!S177</f>
        <v/>
      </c>
      <c r="F179" s="30" t="str">
        <f>IF(B179="FU-ACInstall",VLOOKUP(VALUE('web survey'!E177),ref!$B$10:$C$12,2,0)&amp;" ("&amp;'web survey'!E177&amp;")",VLOOKUP(VALUE('web survey'!E177),ref!$E$13:$F$17,2,0)&amp;" ("&amp;'web survey'!E177&amp;")")</f>
        <v>Very Good (10)</v>
      </c>
      <c r="G179" s="32" t="str">
        <f>'web survey'!T177</f>
        <v/>
      </c>
      <c r="H179" s="30" t="str">
        <f>IF(B179="FU-ACInstall",VLOOKUP(VALUE('web survey'!F177),ref!$B$15:$C$17,2,0)&amp;" ("&amp;'web survey'!F177&amp;")",VLOOKUP(VALUE('web survey'!F177),ref!$E$20:$F$21,2,0)&amp;" ("&amp;'web survey'!F177&amp;")")</f>
        <v>Appropriate with SAP / in Warranty (10)</v>
      </c>
      <c r="I179" s="32" t="str">
        <f>'web survey'!U177</f>
        <v/>
      </c>
      <c r="J179" s="30" t="str">
        <f>IF(B179="FU-ACInstall","-",VLOOKUP(VALUE('web survey'!G177),ref!$E$24:$F$26,2,0)&amp;" ("&amp;'web survey'!G177&amp;")")</f>
        <v>Jelas (5)</v>
      </c>
      <c r="K179" s="28" t="str">
        <f>YEAR('web survey'!Z177)&amp;"-"&amp;IF(MONTH('web survey'!Z177)&lt;10,"0"&amp;MONTH('web survey'!Z177),MONTH('web survey'!Z177))&amp;"-"&amp;IF(DAY('web survey'!Z177)&lt;10,"0"&amp;DAY('web survey'!Z177),DAY('web survey'!Z177))&amp;" "&amp;IF(HOUR('web survey'!Z177)&lt;10,"0"&amp;HOUR('web survey'!Z177),HOUR('web survey'!Z177))&amp;":"&amp;IF(MINUTE('web survey'!Z177)&lt;10,"0"&amp;MINUTE('web survey'!Z177),MINUTE('web survey'!Z177))&amp;(":00'")</f>
        <v>2026-06-12 18:55:00'</v>
      </c>
      <c r="N179" s="37">
        <v>176</v>
      </c>
      <c r="O179" s="37" t="s">
        <v>27</v>
      </c>
      <c r="P179" s="38" t="s">
        <v>349</v>
      </c>
      <c r="Q179" s="43" t="s">
        <v>18</v>
      </c>
      <c r="R179" s="44" t="s">
        <v>17</v>
      </c>
      <c r="S179" s="43" t="s">
        <v>37</v>
      </c>
      <c r="T179" s="44" t="s">
        <v>17</v>
      </c>
      <c r="U179" s="43" t="s">
        <v>30</v>
      </c>
      <c r="V179" s="44" t="s">
        <v>17</v>
      </c>
      <c r="W179" s="43" t="s">
        <v>34</v>
      </c>
      <c r="X179" s="37" t="s">
        <v>350</v>
      </c>
    </row>
    <row r="180" ht="28.2" customHeight="1" spans="1:24">
      <c r="A180" s="28">
        <f>IF(B180="","",ROW()-COUNTBLANK($B$4:B180)-3)</f>
        <v>177</v>
      </c>
      <c r="B180" s="28" t="str">
        <f>'web survey'!C178</f>
        <v>FU-Z1-Eng</v>
      </c>
      <c r="C180" s="29" t="str">
        <f>'web survey'!AA178</f>
        <v>204468273</v>
      </c>
      <c r="D180" s="30" t="str">
        <f>IF(B180="FU-ACInstall",VLOOKUP(VALUE('web survey'!D178),ref!$B$6:$C$7,2,0)&amp;" ("&amp;'web survey'!D178&amp;")",VLOOKUP(VALUE('web survey'!D178),ref!$E$6:$F$10,2,0)&amp;" ("&amp;'web survey'!D178&amp;")")</f>
        <v>Not Good (-10)</v>
      </c>
      <c r="E180" s="32" t="str">
        <f>'web survey'!S178</f>
        <v/>
      </c>
      <c r="F180" s="30" t="str">
        <f>IF(B180="FU-ACInstall",VLOOKUP(VALUE('web survey'!E178),ref!$B$10:$C$12,2,0)&amp;" ("&amp;'web survey'!E178&amp;")",VLOOKUP(VALUE('web survey'!E178),ref!$E$13:$F$17,2,0)&amp;" ("&amp;'web survey'!E178&amp;")")</f>
        <v>Good (5)</v>
      </c>
      <c r="G180" s="32" t="str">
        <f>'web survey'!T178</f>
        <v/>
      </c>
      <c r="H180" s="30" t="str">
        <f>IF(B180="FU-ACInstall",VLOOKUP(VALUE('web survey'!F178),ref!$B$15:$C$17,2,0)&amp;" ("&amp;'web survey'!F178&amp;")",VLOOKUP(VALUE('web survey'!F178),ref!$E$20:$F$21,2,0)&amp;" ("&amp;'web survey'!F178&amp;")")</f>
        <v>Appropriate with SAP / in Warranty (10)</v>
      </c>
      <c r="I180" s="32" t="str">
        <f>'web survey'!U178</f>
        <v/>
      </c>
      <c r="J180" s="30" t="str">
        <f>IF(B180="FU-ACInstall","-",VLOOKUP(VALUE('web survey'!G178),ref!$E$24:$F$26,2,0)&amp;" ("&amp;'web survey'!G178&amp;")")</f>
        <v>Tidak ada penjelasan (-5)</v>
      </c>
      <c r="K180" s="28" t="str">
        <f>YEAR('web survey'!Z178)&amp;"-"&amp;IF(MONTH('web survey'!Z178)&lt;10,"0"&amp;MONTH('web survey'!Z178),MONTH('web survey'!Z178))&amp;"-"&amp;IF(DAY('web survey'!Z178)&lt;10,"0"&amp;DAY('web survey'!Z178),DAY('web survey'!Z178))&amp;" "&amp;IF(HOUR('web survey'!Z178)&lt;10,"0"&amp;HOUR('web survey'!Z178),HOUR('web survey'!Z178))&amp;":"&amp;IF(MINUTE('web survey'!Z178)&lt;10,"0"&amp;MINUTE('web survey'!Z178),MINUTE('web survey'!Z178))&amp;(":00'")</f>
        <v>2026-06-12 18:54:00'</v>
      </c>
      <c r="N180" s="37">
        <v>177</v>
      </c>
      <c r="O180" s="37" t="s">
        <v>27</v>
      </c>
      <c r="P180" s="38" t="s">
        <v>351</v>
      </c>
      <c r="Q180" s="43" t="s">
        <v>33</v>
      </c>
      <c r="R180" s="44" t="s">
        <v>17</v>
      </c>
      <c r="S180" s="43" t="s">
        <v>29</v>
      </c>
      <c r="T180" s="44" t="s">
        <v>17</v>
      </c>
      <c r="U180" s="43" t="s">
        <v>30</v>
      </c>
      <c r="V180" s="44" t="s">
        <v>17</v>
      </c>
      <c r="W180" s="43" t="s">
        <v>50</v>
      </c>
      <c r="X180" s="37" t="s">
        <v>352</v>
      </c>
    </row>
    <row r="181" ht="28.2" customHeight="1" spans="1:24">
      <c r="A181" s="28">
        <f>IF(B181="","",ROW()-COUNTBLANK($B$4:B181)-3)</f>
        <v>178</v>
      </c>
      <c r="B181" s="28" t="str">
        <f>'web survey'!C179</f>
        <v>FU-Z1-Eng</v>
      </c>
      <c r="C181" s="29" t="str">
        <f>'web survey'!AA179</f>
        <v>204471283</v>
      </c>
      <c r="D181" s="30" t="str">
        <f>IF(B181="FU-ACInstall",VLOOKUP(VALUE('web survey'!D179),ref!$B$6:$C$7,2,0)&amp;" ("&amp;'web survey'!D179&amp;")",VLOOKUP(VALUE('web survey'!D179),ref!$E$6:$F$10,2,0)&amp;" ("&amp;'web survey'!D179&amp;")")</f>
        <v>Good (10)</v>
      </c>
      <c r="E181" s="32" t="str">
        <f>'web survey'!S179</f>
        <v/>
      </c>
      <c r="F181" s="30" t="str">
        <f>IF(B181="FU-ACInstall",VLOOKUP(VALUE('web survey'!E179),ref!$B$10:$C$12,2,0)&amp;" ("&amp;'web survey'!E179&amp;")",VLOOKUP(VALUE('web survey'!E179),ref!$E$13:$F$17,2,0)&amp;" ("&amp;'web survey'!E179&amp;")")</f>
        <v>Very Good (10)</v>
      </c>
      <c r="G181" s="32" t="str">
        <f>'web survey'!T179</f>
        <v/>
      </c>
      <c r="H181" s="30" t="str">
        <f>IF(B181="FU-ACInstall",VLOOKUP(VALUE('web survey'!F179),ref!$B$15:$C$17,2,0)&amp;" ("&amp;'web survey'!F179&amp;")",VLOOKUP(VALUE('web survey'!F179),ref!$E$20:$F$21,2,0)&amp;" ("&amp;'web survey'!F179&amp;")")</f>
        <v>Appropriate with SAP / in Warranty (10)</v>
      </c>
      <c r="I181" s="32" t="str">
        <f>'web survey'!U179</f>
        <v/>
      </c>
      <c r="J181" s="30" t="str">
        <f>IF(B181="FU-ACInstall","-",VLOOKUP(VALUE('web survey'!G179),ref!$E$24:$F$26,2,0)&amp;" ("&amp;'web survey'!G179&amp;")")</f>
        <v>Jelas (5)</v>
      </c>
      <c r="K181" s="28" t="str">
        <f>YEAR('web survey'!Z179)&amp;"-"&amp;IF(MONTH('web survey'!Z179)&lt;10,"0"&amp;MONTH('web survey'!Z179),MONTH('web survey'!Z179))&amp;"-"&amp;IF(DAY('web survey'!Z179)&lt;10,"0"&amp;DAY('web survey'!Z179),DAY('web survey'!Z179))&amp;" "&amp;IF(HOUR('web survey'!Z179)&lt;10,"0"&amp;HOUR('web survey'!Z179),HOUR('web survey'!Z179))&amp;":"&amp;IF(MINUTE('web survey'!Z179)&lt;10,"0"&amp;MINUTE('web survey'!Z179),MINUTE('web survey'!Z179))&amp;(":00'")</f>
        <v>2026-06-12 18:54:00'</v>
      </c>
      <c r="N181" s="37">
        <v>178</v>
      </c>
      <c r="O181" s="37" t="s">
        <v>27</v>
      </c>
      <c r="P181" s="38" t="s">
        <v>353</v>
      </c>
      <c r="Q181" s="43" t="s">
        <v>18</v>
      </c>
      <c r="R181" s="44" t="s">
        <v>17</v>
      </c>
      <c r="S181" s="43" t="s">
        <v>37</v>
      </c>
      <c r="T181" s="44" t="s">
        <v>17</v>
      </c>
      <c r="U181" s="43" t="s">
        <v>30</v>
      </c>
      <c r="V181" s="44" t="s">
        <v>17</v>
      </c>
      <c r="W181" s="43" t="s">
        <v>34</v>
      </c>
      <c r="X181" s="37" t="s">
        <v>352</v>
      </c>
    </row>
    <row r="182" ht="28.2" customHeight="1" spans="1:24">
      <c r="A182" s="28">
        <f>IF(B182="","",ROW()-COUNTBLANK($B$4:B182)-3)</f>
        <v>179</v>
      </c>
      <c r="B182" s="28" t="str">
        <f>'web survey'!C180</f>
        <v>FU-Z1-Eng</v>
      </c>
      <c r="C182" s="29" t="str">
        <f>'web survey'!AA180</f>
        <v>204474807</v>
      </c>
      <c r="D182" s="30" t="str">
        <f>IF(B182="FU-ACInstall",VLOOKUP(VALUE('web survey'!D180),ref!$B$6:$C$7,2,0)&amp;" ("&amp;'web survey'!D180&amp;")",VLOOKUP(VALUE('web survey'!D180),ref!$E$6:$F$10,2,0)&amp;" ("&amp;'web survey'!D180&amp;")")</f>
        <v>Good (10)</v>
      </c>
      <c r="E182" s="32" t="str">
        <f>'web survey'!S180</f>
        <v/>
      </c>
      <c r="F182" s="30" t="str">
        <f>IF(B182="FU-ACInstall",VLOOKUP(VALUE('web survey'!E180),ref!$B$10:$C$12,2,0)&amp;" ("&amp;'web survey'!E180&amp;")",VLOOKUP(VALUE('web survey'!E180),ref!$E$13:$F$17,2,0)&amp;" ("&amp;'web survey'!E180&amp;")")</f>
        <v>Average (3)</v>
      </c>
      <c r="G182" s="32" t="str">
        <f>'web survey'!T180</f>
        <v/>
      </c>
      <c r="H182" s="30" t="str">
        <f>IF(B182="FU-ACInstall",VLOOKUP(VALUE('web survey'!F180),ref!$B$15:$C$17,2,0)&amp;" ("&amp;'web survey'!F180&amp;")",VLOOKUP(VALUE('web survey'!F180),ref!$E$20:$F$21,2,0)&amp;" ("&amp;'web survey'!F180&amp;")")</f>
        <v>Appropriate with SAP / in Warranty (10)</v>
      </c>
      <c r="I182" s="32" t="str">
        <f>'web survey'!U180</f>
        <v/>
      </c>
      <c r="J182" s="30" t="str">
        <f>IF(B182="FU-ACInstall","-",VLOOKUP(VALUE('web survey'!G180),ref!$E$24:$F$26,2,0)&amp;" ("&amp;'web survey'!G180&amp;")")</f>
        <v>Jelas (5)</v>
      </c>
      <c r="K182" s="28" t="str">
        <f>YEAR('web survey'!Z180)&amp;"-"&amp;IF(MONTH('web survey'!Z180)&lt;10,"0"&amp;MONTH('web survey'!Z180),MONTH('web survey'!Z180))&amp;"-"&amp;IF(DAY('web survey'!Z180)&lt;10,"0"&amp;DAY('web survey'!Z180),DAY('web survey'!Z180))&amp;" "&amp;IF(HOUR('web survey'!Z180)&lt;10,"0"&amp;HOUR('web survey'!Z180),HOUR('web survey'!Z180))&amp;":"&amp;IF(MINUTE('web survey'!Z180)&lt;10,"0"&amp;MINUTE('web survey'!Z180),MINUTE('web survey'!Z180))&amp;(":00'")</f>
        <v>2026-06-12 18:29:00'</v>
      </c>
      <c r="N182" s="37">
        <v>179</v>
      </c>
      <c r="O182" s="37" t="s">
        <v>27</v>
      </c>
      <c r="P182" s="38" t="s">
        <v>354</v>
      </c>
      <c r="Q182" s="43" t="s">
        <v>18</v>
      </c>
      <c r="R182" s="44" t="s">
        <v>17</v>
      </c>
      <c r="S182" s="43" t="s">
        <v>204</v>
      </c>
      <c r="T182" s="44" t="s">
        <v>17</v>
      </c>
      <c r="U182" s="43" t="s">
        <v>30</v>
      </c>
      <c r="V182" s="44" t="s">
        <v>17</v>
      </c>
      <c r="W182" s="43" t="s">
        <v>34</v>
      </c>
      <c r="X182" s="37" t="s">
        <v>355</v>
      </c>
    </row>
    <row r="183" ht="28.2" customHeight="1" spans="1:24">
      <c r="A183" s="28">
        <f>IF(B183="","",ROW()-COUNTBLANK($B$4:B183)-3)</f>
        <v>180</v>
      </c>
      <c r="B183" s="28" t="str">
        <f>'web survey'!C181</f>
        <v>FU-Z1-Eng</v>
      </c>
      <c r="C183" s="29" t="str">
        <f>'web survey'!AA181</f>
        <v>1100356674</v>
      </c>
      <c r="D183" s="30" t="str">
        <f>IF(B183="FU-ACInstall",VLOOKUP(VALUE('web survey'!D181),ref!$B$6:$C$7,2,0)&amp;" ("&amp;'web survey'!D181&amp;")",VLOOKUP(VALUE('web survey'!D181),ref!$E$6:$F$10,2,0)&amp;" ("&amp;'web survey'!D181&amp;")")</f>
        <v>Good (10)</v>
      </c>
      <c r="E183" s="32" t="str">
        <f>'web survey'!S181</f>
        <v/>
      </c>
      <c r="F183" s="30" t="str">
        <f>IF(B183="FU-ACInstall",VLOOKUP(VALUE('web survey'!E181),ref!$B$10:$C$12,2,0)&amp;" ("&amp;'web survey'!E181&amp;")",VLOOKUP(VALUE('web survey'!E181),ref!$E$13:$F$17,2,0)&amp;" ("&amp;'web survey'!E181&amp;")")</f>
        <v>Very Good (10)</v>
      </c>
      <c r="G183" s="32" t="str">
        <f>'web survey'!T181</f>
        <v/>
      </c>
      <c r="H183" s="30" t="str">
        <f>IF(B183="FU-ACInstall",VLOOKUP(VALUE('web survey'!F181),ref!$B$15:$C$17,2,0)&amp;" ("&amp;'web survey'!F181&amp;")",VLOOKUP(VALUE('web survey'!F181),ref!$E$20:$F$21,2,0)&amp;" ("&amp;'web survey'!F181&amp;")")</f>
        <v>Appropriate with SAP / in Warranty (10)</v>
      </c>
      <c r="I183" s="32" t="str">
        <f>'web survey'!U181</f>
        <v/>
      </c>
      <c r="J183" s="30" t="str">
        <f>IF(B183="FU-ACInstall","-",VLOOKUP(VALUE('web survey'!G181),ref!$E$24:$F$26,2,0)&amp;" ("&amp;'web survey'!G181&amp;")")</f>
        <v>Jelas (5)</v>
      </c>
      <c r="K183" s="28" t="str">
        <f>YEAR('web survey'!Z181)&amp;"-"&amp;IF(MONTH('web survey'!Z181)&lt;10,"0"&amp;MONTH('web survey'!Z181),MONTH('web survey'!Z181))&amp;"-"&amp;IF(DAY('web survey'!Z181)&lt;10,"0"&amp;DAY('web survey'!Z181),DAY('web survey'!Z181))&amp;" "&amp;IF(HOUR('web survey'!Z181)&lt;10,"0"&amp;HOUR('web survey'!Z181),HOUR('web survey'!Z181))&amp;":"&amp;IF(MINUTE('web survey'!Z181)&lt;10,"0"&amp;MINUTE('web survey'!Z181),MINUTE('web survey'!Z181))&amp;(":00'")</f>
        <v>2026-06-12 18:29:00'</v>
      </c>
      <c r="N183" s="37">
        <v>180</v>
      </c>
      <c r="O183" s="37" t="s">
        <v>27</v>
      </c>
      <c r="P183" s="38" t="s">
        <v>356</v>
      </c>
      <c r="Q183" s="43" t="s">
        <v>18</v>
      </c>
      <c r="R183" s="44" t="s">
        <v>17</v>
      </c>
      <c r="S183" s="43" t="s">
        <v>37</v>
      </c>
      <c r="T183" s="44" t="s">
        <v>17</v>
      </c>
      <c r="U183" s="43" t="s">
        <v>30</v>
      </c>
      <c r="V183" s="44" t="s">
        <v>17</v>
      </c>
      <c r="W183" s="43" t="s">
        <v>34</v>
      </c>
      <c r="X183" s="37" t="s">
        <v>355</v>
      </c>
    </row>
    <row r="184" ht="28.2" customHeight="1" spans="1:24">
      <c r="A184" s="28">
        <f>IF(B184="","",ROW()-COUNTBLANK($B$4:B184)-3)</f>
        <v>181</v>
      </c>
      <c r="B184" s="28" t="str">
        <f>'web survey'!C182</f>
        <v>FU-Z1-Eng</v>
      </c>
      <c r="C184" s="29" t="str">
        <f>'web survey'!AA182</f>
        <v>204442865</v>
      </c>
      <c r="D184" s="30" t="str">
        <f>IF(B184="FU-ACInstall",VLOOKUP(VALUE('web survey'!D182),ref!$B$6:$C$7,2,0)&amp;" ("&amp;'web survey'!D182&amp;")",VLOOKUP(VALUE('web survey'!D182),ref!$E$6:$F$10,2,0)&amp;" ("&amp;'web survey'!D182&amp;")")</f>
        <v>Good (10)</v>
      </c>
      <c r="E184" s="32" t="str">
        <f>'web survey'!S182</f>
        <v/>
      </c>
      <c r="F184" s="30" t="str">
        <f>IF(B184="FU-ACInstall",VLOOKUP(VALUE('web survey'!E182),ref!$B$10:$C$12,2,0)&amp;" ("&amp;'web survey'!E182&amp;")",VLOOKUP(VALUE('web survey'!E182),ref!$E$13:$F$17,2,0)&amp;" ("&amp;'web survey'!E182&amp;")")</f>
        <v>Very Good (10)</v>
      </c>
      <c r="G184" s="32" t="str">
        <f>'web survey'!T182</f>
        <v/>
      </c>
      <c r="H184" s="30" t="str">
        <f>IF(B184="FU-ACInstall",VLOOKUP(VALUE('web survey'!F182),ref!$B$15:$C$17,2,0)&amp;" ("&amp;'web survey'!F182&amp;")",VLOOKUP(VALUE('web survey'!F182),ref!$E$20:$F$21,2,0)&amp;" ("&amp;'web survey'!F182&amp;")")</f>
        <v>Appropriate with SAP / in Warranty (10)</v>
      </c>
      <c r="I184" s="32" t="str">
        <f>'web survey'!U182</f>
        <v/>
      </c>
      <c r="J184" s="30" t="str">
        <f>IF(B184="FU-ACInstall","-",VLOOKUP(VALUE('web survey'!G182),ref!$E$24:$F$26,2,0)&amp;" ("&amp;'web survey'!G182&amp;")")</f>
        <v>Jelas (5)</v>
      </c>
      <c r="K184" s="28" t="str">
        <f>YEAR('web survey'!Z182)&amp;"-"&amp;IF(MONTH('web survey'!Z182)&lt;10,"0"&amp;MONTH('web survey'!Z182),MONTH('web survey'!Z182))&amp;"-"&amp;IF(DAY('web survey'!Z182)&lt;10,"0"&amp;DAY('web survey'!Z182),DAY('web survey'!Z182))&amp;" "&amp;IF(HOUR('web survey'!Z182)&lt;10,"0"&amp;HOUR('web survey'!Z182),HOUR('web survey'!Z182))&amp;":"&amp;IF(MINUTE('web survey'!Z182)&lt;10,"0"&amp;MINUTE('web survey'!Z182),MINUTE('web survey'!Z182))&amp;(":00'")</f>
        <v>2026-06-12 17:58:00'</v>
      </c>
      <c r="N184" s="37">
        <v>181</v>
      </c>
      <c r="O184" s="37" t="s">
        <v>27</v>
      </c>
      <c r="P184" s="38" t="s">
        <v>357</v>
      </c>
      <c r="Q184" s="43" t="s">
        <v>18</v>
      </c>
      <c r="R184" s="44" t="s">
        <v>17</v>
      </c>
      <c r="S184" s="43" t="s">
        <v>37</v>
      </c>
      <c r="T184" s="44" t="s">
        <v>17</v>
      </c>
      <c r="U184" s="43" t="s">
        <v>30</v>
      </c>
      <c r="V184" s="44" t="s">
        <v>17</v>
      </c>
      <c r="W184" s="43" t="s">
        <v>34</v>
      </c>
      <c r="X184" s="37" t="s">
        <v>358</v>
      </c>
    </row>
    <row r="185" ht="28.2" customHeight="1" spans="1:24">
      <c r="A185" s="28">
        <f>IF(B185="","",ROW()-COUNTBLANK($B$4:B185)-3)</f>
        <v>182</v>
      </c>
      <c r="B185" s="28" t="str">
        <f>'web survey'!C183</f>
        <v>FU-Z1-Eng</v>
      </c>
      <c r="C185" s="29" t="str">
        <f>'web survey'!AA183</f>
        <v>204446566</v>
      </c>
      <c r="D185" s="30" t="str">
        <f>IF(B185="FU-ACInstall",VLOOKUP(VALUE('web survey'!D183),ref!$B$6:$C$7,2,0)&amp;" ("&amp;'web survey'!D183&amp;")",VLOOKUP(VALUE('web survey'!D183),ref!$E$6:$F$10,2,0)&amp;" ("&amp;'web survey'!D183&amp;")")</f>
        <v>Good (10)</v>
      </c>
      <c r="E185" s="32" t="str">
        <f>'web survey'!S183</f>
        <v/>
      </c>
      <c r="F185" s="30" t="str">
        <f>IF(B185="FU-ACInstall",VLOOKUP(VALUE('web survey'!E183),ref!$B$10:$C$12,2,0)&amp;" ("&amp;'web survey'!E183&amp;")",VLOOKUP(VALUE('web survey'!E183),ref!$E$13:$F$17,2,0)&amp;" ("&amp;'web survey'!E183&amp;")")</f>
        <v>Very Good (10)</v>
      </c>
      <c r="G185" s="32" t="str">
        <f>'web survey'!T183</f>
        <v/>
      </c>
      <c r="H185" s="30" t="str">
        <f>IF(B185="FU-ACInstall",VLOOKUP(VALUE('web survey'!F183),ref!$B$15:$C$17,2,0)&amp;" ("&amp;'web survey'!F183&amp;")",VLOOKUP(VALUE('web survey'!F183),ref!$E$20:$F$21,2,0)&amp;" ("&amp;'web survey'!F183&amp;")")</f>
        <v>Appropriate with SAP / in Warranty (10)</v>
      </c>
      <c r="I185" s="32" t="str">
        <f>'web survey'!U183</f>
        <v/>
      </c>
      <c r="J185" s="30" t="str">
        <f>IF(B185="FU-ACInstall","-",VLOOKUP(VALUE('web survey'!G183),ref!$E$24:$F$26,2,0)&amp;" ("&amp;'web survey'!G183&amp;")")</f>
        <v>Jelas (5)</v>
      </c>
      <c r="K185" s="28" t="str">
        <f>YEAR('web survey'!Z183)&amp;"-"&amp;IF(MONTH('web survey'!Z183)&lt;10,"0"&amp;MONTH('web survey'!Z183),MONTH('web survey'!Z183))&amp;"-"&amp;IF(DAY('web survey'!Z183)&lt;10,"0"&amp;DAY('web survey'!Z183),DAY('web survey'!Z183))&amp;" "&amp;IF(HOUR('web survey'!Z183)&lt;10,"0"&amp;HOUR('web survey'!Z183),HOUR('web survey'!Z183))&amp;":"&amp;IF(MINUTE('web survey'!Z183)&lt;10,"0"&amp;MINUTE('web survey'!Z183),MINUTE('web survey'!Z183))&amp;(":00'")</f>
        <v>2026-06-12 17:57:00'</v>
      </c>
      <c r="N185" s="37">
        <v>182</v>
      </c>
      <c r="O185" s="37" t="s">
        <v>27</v>
      </c>
      <c r="P185" s="38" t="s">
        <v>359</v>
      </c>
      <c r="Q185" s="43" t="s">
        <v>18</v>
      </c>
      <c r="R185" s="44" t="s">
        <v>17</v>
      </c>
      <c r="S185" s="43" t="s">
        <v>37</v>
      </c>
      <c r="T185" s="44" t="s">
        <v>17</v>
      </c>
      <c r="U185" s="43" t="s">
        <v>30</v>
      </c>
      <c r="V185" s="44" t="s">
        <v>17</v>
      </c>
      <c r="W185" s="43" t="s">
        <v>34</v>
      </c>
      <c r="X185" s="37" t="s">
        <v>360</v>
      </c>
    </row>
    <row r="186" ht="28.2" customHeight="1" spans="1:24">
      <c r="A186" s="28">
        <f>IF(B186="","",ROW()-COUNTBLANK($B$4:B186)-3)</f>
        <v>183</v>
      </c>
      <c r="B186" s="28" t="str">
        <f>'web survey'!C184</f>
        <v>FU-Z1-Eng</v>
      </c>
      <c r="C186" s="29" t="str">
        <f>'web survey'!AA184</f>
        <v>204468631</v>
      </c>
      <c r="D186" s="30" t="str">
        <f>IF(B186="FU-ACInstall",VLOOKUP(VALUE('web survey'!D184),ref!$B$6:$C$7,2,0)&amp;" ("&amp;'web survey'!D184&amp;")",VLOOKUP(VALUE('web survey'!D184),ref!$E$6:$F$10,2,0)&amp;" ("&amp;'web survey'!D184&amp;")")</f>
        <v>Good (10)</v>
      </c>
      <c r="E186" s="32" t="str">
        <f>'web survey'!S184</f>
        <v/>
      </c>
      <c r="F186" s="30" t="str">
        <f>IF(B186="FU-ACInstall",VLOOKUP(VALUE('web survey'!E184),ref!$B$10:$C$12,2,0)&amp;" ("&amp;'web survey'!E184&amp;")",VLOOKUP(VALUE('web survey'!E184),ref!$E$13:$F$17,2,0)&amp;" ("&amp;'web survey'!E184&amp;")")</f>
        <v>Very Good (10)</v>
      </c>
      <c r="G186" s="32" t="str">
        <f>'web survey'!T184</f>
        <v/>
      </c>
      <c r="H186" s="30" t="str">
        <f>IF(B186="FU-ACInstall",VLOOKUP(VALUE('web survey'!F184),ref!$B$15:$C$17,2,0)&amp;" ("&amp;'web survey'!F184&amp;")",VLOOKUP(VALUE('web survey'!F184),ref!$E$20:$F$21,2,0)&amp;" ("&amp;'web survey'!F184&amp;")")</f>
        <v>Appropriate with SAP / in Warranty (10)</v>
      </c>
      <c r="I186" s="32" t="str">
        <f>'web survey'!U184</f>
        <v/>
      </c>
      <c r="J186" s="30" t="str">
        <f>IF(B186="FU-ACInstall","-",VLOOKUP(VALUE('web survey'!G184),ref!$E$24:$F$26,2,0)&amp;" ("&amp;'web survey'!G184&amp;")")</f>
        <v>Jelas (5)</v>
      </c>
      <c r="K186" s="28" t="str">
        <f>YEAR('web survey'!Z184)&amp;"-"&amp;IF(MONTH('web survey'!Z184)&lt;10,"0"&amp;MONTH('web survey'!Z184),MONTH('web survey'!Z184))&amp;"-"&amp;IF(DAY('web survey'!Z184)&lt;10,"0"&amp;DAY('web survey'!Z184),DAY('web survey'!Z184))&amp;" "&amp;IF(HOUR('web survey'!Z184)&lt;10,"0"&amp;HOUR('web survey'!Z184),HOUR('web survey'!Z184))&amp;":"&amp;IF(MINUTE('web survey'!Z184)&lt;10,"0"&amp;MINUTE('web survey'!Z184),MINUTE('web survey'!Z184))&amp;(":00'")</f>
        <v>2026-06-12 17:57:00'</v>
      </c>
      <c r="N186" s="37">
        <v>183</v>
      </c>
      <c r="O186" s="37" t="s">
        <v>27</v>
      </c>
      <c r="P186" s="38" t="s">
        <v>361</v>
      </c>
      <c r="Q186" s="43" t="s">
        <v>18</v>
      </c>
      <c r="R186" s="44" t="s">
        <v>17</v>
      </c>
      <c r="S186" s="43" t="s">
        <v>37</v>
      </c>
      <c r="T186" s="44" t="s">
        <v>17</v>
      </c>
      <c r="U186" s="43" t="s">
        <v>30</v>
      </c>
      <c r="V186" s="44" t="s">
        <v>17</v>
      </c>
      <c r="W186" s="43" t="s">
        <v>34</v>
      </c>
      <c r="X186" s="37" t="s">
        <v>360</v>
      </c>
    </row>
    <row r="187" ht="28.2" customHeight="1" spans="1:24">
      <c r="A187" s="28">
        <f>IF(B187="","",ROW()-COUNTBLANK($B$4:B187)-3)</f>
        <v>184</v>
      </c>
      <c r="B187" s="28" t="str">
        <f>'web survey'!C185</f>
        <v>FU-Z1-Eng</v>
      </c>
      <c r="C187" s="29" t="str">
        <f>'web survey'!AA185</f>
        <v>1105A2603203</v>
      </c>
      <c r="D187" s="30" t="str">
        <f>IF(B187="FU-ACInstall",VLOOKUP(VALUE('web survey'!D185),ref!$B$6:$C$7,2,0)&amp;" ("&amp;'web survey'!D185&amp;")",VLOOKUP(VALUE('web survey'!D185),ref!$E$6:$F$10,2,0)&amp;" ("&amp;'web survey'!D185&amp;")")</f>
        <v>Good (10)</v>
      </c>
      <c r="E187" s="32" t="str">
        <f>'web survey'!S185</f>
        <v/>
      </c>
      <c r="F187" s="30" t="str">
        <f>IF(B187="FU-ACInstall",VLOOKUP(VALUE('web survey'!E185),ref!$B$10:$C$12,2,0)&amp;" ("&amp;'web survey'!E185&amp;")",VLOOKUP(VALUE('web survey'!E185),ref!$E$13:$F$17,2,0)&amp;" ("&amp;'web survey'!E185&amp;")")</f>
        <v>Very Good (10)</v>
      </c>
      <c r="G187" s="32" t="str">
        <f>'web survey'!T185</f>
        <v/>
      </c>
      <c r="H187" s="30" t="str">
        <f>IF(B187="FU-ACInstall",VLOOKUP(VALUE('web survey'!F185),ref!$B$15:$C$17,2,0)&amp;" ("&amp;'web survey'!F185&amp;")",VLOOKUP(VALUE('web survey'!F185),ref!$E$20:$F$21,2,0)&amp;" ("&amp;'web survey'!F185&amp;")")</f>
        <v>Appropriate with SAP / in Warranty (10)</v>
      </c>
      <c r="I187" s="32" t="str">
        <f>'web survey'!U185</f>
        <v/>
      </c>
      <c r="J187" s="30" t="str">
        <f>IF(B187="FU-ACInstall","-",VLOOKUP(VALUE('web survey'!G185),ref!$E$24:$F$26,2,0)&amp;" ("&amp;'web survey'!G185&amp;")")</f>
        <v>Jelas (5)</v>
      </c>
      <c r="K187" s="28" t="str">
        <f>YEAR('web survey'!Z185)&amp;"-"&amp;IF(MONTH('web survey'!Z185)&lt;10,"0"&amp;MONTH('web survey'!Z185),MONTH('web survey'!Z185))&amp;"-"&amp;IF(DAY('web survey'!Z185)&lt;10,"0"&amp;DAY('web survey'!Z185),DAY('web survey'!Z185))&amp;" "&amp;IF(HOUR('web survey'!Z185)&lt;10,"0"&amp;HOUR('web survey'!Z185),HOUR('web survey'!Z185))&amp;":"&amp;IF(MINUTE('web survey'!Z185)&lt;10,"0"&amp;MINUTE('web survey'!Z185),MINUTE('web survey'!Z185))&amp;(":00'")</f>
        <v>2026-06-12 17:53:00'</v>
      </c>
      <c r="N187" s="37">
        <v>184</v>
      </c>
      <c r="O187" s="37" t="s">
        <v>27</v>
      </c>
      <c r="P187" s="38" t="s">
        <v>362</v>
      </c>
      <c r="Q187" s="43" t="s">
        <v>18</v>
      </c>
      <c r="R187" s="44" t="s">
        <v>17</v>
      </c>
      <c r="S187" s="43" t="s">
        <v>37</v>
      </c>
      <c r="T187" s="44" t="s">
        <v>17</v>
      </c>
      <c r="U187" s="43" t="s">
        <v>30</v>
      </c>
      <c r="V187" s="44" t="s">
        <v>17</v>
      </c>
      <c r="W187" s="43" t="s">
        <v>34</v>
      </c>
      <c r="X187" s="37" t="s">
        <v>363</v>
      </c>
    </row>
    <row r="188" ht="28.2" customHeight="1" spans="1:24">
      <c r="A188" s="28">
        <f>IF(B188="","",ROW()-COUNTBLANK($B$4:B188)-3)</f>
        <v>185</v>
      </c>
      <c r="B188" s="28" t="str">
        <f>'web survey'!C186</f>
        <v>FU-Z1-Eng</v>
      </c>
      <c r="C188" s="29" t="str">
        <f>'web survey'!AA186</f>
        <v>204472996</v>
      </c>
      <c r="D188" s="30" t="str">
        <f>IF(B188="FU-ACInstall",VLOOKUP(VALUE('web survey'!D186),ref!$B$6:$C$7,2,0)&amp;" ("&amp;'web survey'!D186&amp;")",VLOOKUP(VALUE('web survey'!D186),ref!$E$6:$F$10,2,0)&amp;" ("&amp;'web survey'!D186&amp;")")</f>
        <v>Good (10)</v>
      </c>
      <c r="E188" s="32" t="str">
        <f>'web survey'!S186</f>
        <v/>
      </c>
      <c r="F188" s="30" t="str">
        <f>IF(B188="FU-ACInstall",VLOOKUP(VALUE('web survey'!E186),ref!$B$10:$C$12,2,0)&amp;" ("&amp;'web survey'!E186&amp;")",VLOOKUP(VALUE('web survey'!E186),ref!$E$13:$F$17,2,0)&amp;" ("&amp;'web survey'!E186&amp;")")</f>
        <v>Very Good (10)</v>
      </c>
      <c r="G188" s="32" t="str">
        <f>'web survey'!T186</f>
        <v/>
      </c>
      <c r="H188" s="30" t="str">
        <f>IF(B188="FU-ACInstall",VLOOKUP(VALUE('web survey'!F186),ref!$B$15:$C$17,2,0)&amp;" ("&amp;'web survey'!F186&amp;")",VLOOKUP(VALUE('web survey'!F186),ref!$E$20:$F$21,2,0)&amp;" ("&amp;'web survey'!F186&amp;")")</f>
        <v>Appropriate with SAP / in Warranty (10)</v>
      </c>
      <c r="I188" s="32" t="str">
        <f>'web survey'!U186</f>
        <v/>
      </c>
      <c r="J188" s="30" t="str">
        <f>IF(B188="FU-ACInstall","-",VLOOKUP(VALUE('web survey'!G186),ref!$E$24:$F$26,2,0)&amp;" ("&amp;'web survey'!G186&amp;")")</f>
        <v>Jelas (5)</v>
      </c>
      <c r="K188" s="28" t="str">
        <f>YEAR('web survey'!Z186)&amp;"-"&amp;IF(MONTH('web survey'!Z186)&lt;10,"0"&amp;MONTH('web survey'!Z186),MONTH('web survey'!Z186))&amp;"-"&amp;IF(DAY('web survey'!Z186)&lt;10,"0"&amp;DAY('web survey'!Z186),DAY('web survey'!Z186))&amp;" "&amp;IF(HOUR('web survey'!Z186)&lt;10,"0"&amp;HOUR('web survey'!Z186),HOUR('web survey'!Z186))&amp;":"&amp;IF(MINUTE('web survey'!Z186)&lt;10,"0"&amp;MINUTE('web survey'!Z186),MINUTE('web survey'!Z186))&amp;(":00'")</f>
        <v>2026-06-12 17:24:00'</v>
      </c>
      <c r="N188" s="37">
        <v>185</v>
      </c>
      <c r="O188" s="37" t="s">
        <v>27</v>
      </c>
      <c r="P188" s="38" t="s">
        <v>364</v>
      </c>
      <c r="Q188" s="43" t="s">
        <v>18</v>
      </c>
      <c r="R188" s="44" t="s">
        <v>17</v>
      </c>
      <c r="S188" s="43" t="s">
        <v>37</v>
      </c>
      <c r="T188" s="44" t="s">
        <v>17</v>
      </c>
      <c r="U188" s="43" t="s">
        <v>30</v>
      </c>
      <c r="V188" s="44" t="s">
        <v>17</v>
      </c>
      <c r="W188" s="43" t="s">
        <v>34</v>
      </c>
      <c r="X188" s="37" t="s">
        <v>365</v>
      </c>
    </row>
    <row r="189" ht="28.2" customHeight="1" spans="1:24">
      <c r="A189" s="28">
        <f>IF(B189="","",ROW()-COUNTBLANK($B$4:B189)-3)</f>
        <v>186</v>
      </c>
      <c r="B189" s="28" t="str">
        <f>'web survey'!C187</f>
        <v>FU-Z1-Eng</v>
      </c>
      <c r="C189" s="29" t="str">
        <f>'web survey'!AA187</f>
        <v>204472239</v>
      </c>
      <c r="D189" s="30" t="str">
        <f>IF(B189="FU-ACInstall",VLOOKUP(VALUE('web survey'!D187),ref!$B$6:$C$7,2,0)&amp;" ("&amp;'web survey'!D187&amp;")",VLOOKUP(VALUE('web survey'!D187),ref!$E$6:$F$10,2,0)&amp;" ("&amp;'web survey'!D187&amp;")")</f>
        <v>Good (10)</v>
      </c>
      <c r="E189" s="32" t="str">
        <f>'web survey'!S187</f>
        <v/>
      </c>
      <c r="F189" s="30" t="str">
        <f>IF(B189="FU-ACInstall",VLOOKUP(VALUE('web survey'!E187),ref!$B$10:$C$12,2,0)&amp;" ("&amp;'web survey'!E187&amp;")",VLOOKUP(VALUE('web survey'!E187),ref!$E$13:$F$17,2,0)&amp;" ("&amp;'web survey'!E187&amp;")")</f>
        <v>Very Good (10)</v>
      </c>
      <c r="G189" s="32" t="str">
        <f>'web survey'!T187</f>
        <v/>
      </c>
      <c r="H189" s="30" t="str">
        <f>IF(B189="FU-ACInstall",VLOOKUP(VALUE('web survey'!F187),ref!$B$15:$C$17,2,0)&amp;" ("&amp;'web survey'!F187&amp;")",VLOOKUP(VALUE('web survey'!F187),ref!$E$20:$F$21,2,0)&amp;" ("&amp;'web survey'!F187&amp;")")</f>
        <v>Appropriate with SAP / in Warranty (10)</v>
      </c>
      <c r="I189" s="32" t="str">
        <f>'web survey'!U187</f>
        <v/>
      </c>
      <c r="J189" s="30" t="str">
        <f>IF(B189="FU-ACInstall","-",VLOOKUP(VALUE('web survey'!G187),ref!$E$24:$F$26,2,0)&amp;" ("&amp;'web survey'!G187&amp;")")</f>
        <v>Jelas (5)</v>
      </c>
      <c r="K189" s="28" t="str">
        <f>YEAR('web survey'!Z187)&amp;"-"&amp;IF(MONTH('web survey'!Z187)&lt;10,"0"&amp;MONTH('web survey'!Z187),MONTH('web survey'!Z187))&amp;"-"&amp;IF(DAY('web survey'!Z187)&lt;10,"0"&amp;DAY('web survey'!Z187),DAY('web survey'!Z187))&amp;" "&amp;IF(HOUR('web survey'!Z187)&lt;10,"0"&amp;HOUR('web survey'!Z187),HOUR('web survey'!Z187))&amp;":"&amp;IF(MINUTE('web survey'!Z187)&lt;10,"0"&amp;MINUTE('web survey'!Z187),MINUTE('web survey'!Z187))&amp;(":00'")</f>
        <v>2026-06-12 17:09:00'</v>
      </c>
      <c r="N189" s="37">
        <v>186</v>
      </c>
      <c r="O189" s="37" t="s">
        <v>27</v>
      </c>
      <c r="P189" s="38" t="s">
        <v>170</v>
      </c>
      <c r="Q189" s="43" t="s">
        <v>18</v>
      </c>
      <c r="R189" s="44" t="s">
        <v>17</v>
      </c>
      <c r="S189" s="43" t="s">
        <v>37</v>
      </c>
      <c r="T189" s="44" t="s">
        <v>17</v>
      </c>
      <c r="U189" s="43" t="s">
        <v>30</v>
      </c>
      <c r="V189" s="44" t="s">
        <v>17</v>
      </c>
      <c r="W189" s="43" t="s">
        <v>34</v>
      </c>
      <c r="X189" s="37" t="s">
        <v>366</v>
      </c>
    </row>
    <row r="190" ht="28.2" customHeight="1" spans="1:24">
      <c r="A190" s="28">
        <f>IF(B190="","",ROW()-COUNTBLANK($B$4:B190)-3)</f>
        <v>187</v>
      </c>
      <c r="B190" s="28" t="str">
        <f>'web survey'!C188</f>
        <v>FU-Z1-Eng</v>
      </c>
      <c r="C190" s="29" t="str">
        <f>'web survey'!AA188</f>
        <v>204472438</v>
      </c>
      <c r="D190" s="30" t="str">
        <f>IF(B190="FU-ACInstall",VLOOKUP(VALUE('web survey'!D188),ref!$B$6:$C$7,2,0)&amp;" ("&amp;'web survey'!D188&amp;")",VLOOKUP(VALUE('web survey'!D188),ref!$E$6:$F$10,2,0)&amp;" ("&amp;'web survey'!D188&amp;")")</f>
        <v>Good (10)</v>
      </c>
      <c r="E190" s="32" t="str">
        <f>'web survey'!S188</f>
        <v/>
      </c>
      <c r="F190" s="30" t="str">
        <f>IF(B190="FU-ACInstall",VLOOKUP(VALUE('web survey'!E188),ref!$B$10:$C$12,2,0)&amp;" ("&amp;'web survey'!E188&amp;")",VLOOKUP(VALUE('web survey'!E188),ref!$E$13:$F$17,2,0)&amp;" ("&amp;'web survey'!E188&amp;")")</f>
        <v>Very Good (10)</v>
      </c>
      <c r="G190" s="32" t="str">
        <f>'web survey'!T188</f>
        <v/>
      </c>
      <c r="H190" s="30" t="str">
        <f>IF(B190="FU-ACInstall",VLOOKUP(VALUE('web survey'!F188),ref!$B$15:$C$17,2,0)&amp;" ("&amp;'web survey'!F188&amp;")",VLOOKUP(VALUE('web survey'!F188),ref!$E$20:$F$21,2,0)&amp;" ("&amp;'web survey'!F188&amp;")")</f>
        <v>Appropriate with SAP / in Warranty (10)</v>
      </c>
      <c r="I190" s="32" t="str">
        <f>'web survey'!U188</f>
        <v/>
      </c>
      <c r="J190" s="30" t="str">
        <f>IF(B190="FU-ACInstall","-",VLOOKUP(VALUE('web survey'!G188),ref!$E$24:$F$26,2,0)&amp;" ("&amp;'web survey'!G188&amp;")")</f>
        <v>Jelas (5)</v>
      </c>
      <c r="K190" s="28" t="str">
        <f>YEAR('web survey'!Z188)&amp;"-"&amp;IF(MONTH('web survey'!Z188)&lt;10,"0"&amp;MONTH('web survey'!Z188),MONTH('web survey'!Z188))&amp;"-"&amp;IF(DAY('web survey'!Z188)&lt;10,"0"&amp;DAY('web survey'!Z188),DAY('web survey'!Z188))&amp;" "&amp;IF(HOUR('web survey'!Z188)&lt;10,"0"&amp;HOUR('web survey'!Z188),HOUR('web survey'!Z188))&amp;":"&amp;IF(MINUTE('web survey'!Z188)&lt;10,"0"&amp;MINUTE('web survey'!Z188),MINUTE('web survey'!Z188))&amp;(":00'")</f>
        <v>2026-06-12 17:06:00'</v>
      </c>
      <c r="N190" s="37">
        <v>187</v>
      </c>
      <c r="O190" s="37" t="s">
        <v>27</v>
      </c>
      <c r="P190" s="38" t="s">
        <v>367</v>
      </c>
      <c r="Q190" s="43" t="s">
        <v>18</v>
      </c>
      <c r="R190" s="44" t="s">
        <v>17</v>
      </c>
      <c r="S190" s="43" t="s">
        <v>37</v>
      </c>
      <c r="T190" s="44" t="s">
        <v>17</v>
      </c>
      <c r="U190" s="43" t="s">
        <v>30</v>
      </c>
      <c r="V190" s="44" t="s">
        <v>17</v>
      </c>
      <c r="W190" s="43" t="s">
        <v>34</v>
      </c>
      <c r="X190" s="37" t="s">
        <v>368</v>
      </c>
    </row>
    <row r="191" ht="28.2" customHeight="1" spans="1:24">
      <c r="A191" s="28">
        <f>IF(B191="","",ROW()-COUNTBLANK($B$4:B191)-3)</f>
        <v>188</v>
      </c>
      <c r="B191" s="28" t="str">
        <f>'web survey'!C189</f>
        <v>FU-Z1-Eng</v>
      </c>
      <c r="C191" s="29" t="str">
        <f>'web survey'!AA189</f>
        <v>100988317</v>
      </c>
      <c r="D191" s="30" t="str">
        <f>IF(B191="FU-ACInstall",VLOOKUP(VALUE('web survey'!D189),ref!$B$6:$C$7,2,0)&amp;" ("&amp;'web survey'!D189&amp;")",VLOOKUP(VALUE('web survey'!D189),ref!$E$6:$F$10,2,0)&amp;" ("&amp;'web survey'!D189&amp;")")</f>
        <v>Good (10)</v>
      </c>
      <c r="E191" s="32" t="str">
        <f>'web survey'!S189</f>
        <v/>
      </c>
      <c r="F191" s="30" t="str">
        <f>IF(B191="FU-ACInstall",VLOOKUP(VALUE('web survey'!E189),ref!$B$10:$C$12,2,0)&amp;" ("&amp;'web survey'!E189&amp;")",VLOOKUP(VALUE('web survey'!E189),ref!$E$13:$F$17,2,0)&amp;" ("&amp;'web survey'!E189&amp;")")</f>
        <v>Good (5)</v>
      </c>
      <c r="G191" s="32" t="str">
        <f>'web survey'!T189</f>
        <v/>
      </c>
      <c r="H191" s="30" t="str">
        <f>IF(B191="FU-ACInstall",VLOOKUP(VALUE('web survey'!F189),ref!$B$15:$C$17,2,0)&amp;" ("&amp;'web survey'!F189&amp;")",VLOOKUP(VALUE('web survey'!F189),ref!$E$20:$F$21,2,0)&amp;" ("&amp;'web survey'!F189&amp;")")</f>
        <v>Appropriate with SAP / in Warranty (10)</v>
      </c>
      <c r="I191" s="32" t="str">
        <f>'web survey'!U189</f>
        <v/>
      </c>
      <c r="J191" s="30" t="str">
        <f>IF(B191="FU-ACInstall","-",VLOOKUP(VALUE('web survey'!G189),ref!$E$24:$F$26,2,0)&amp;" ("&amp;'web survey'!G189&amp;")")</f>
        <v>Tidak ada penjelasan (-5)</v>
      </c>
      <c r="K191" s="28" t="str">
        <f>YEAR('web survey'!Z189)&amp;"-"&amp;IF(MONTH('web survey'!Z189)&lt;10,"0"&amp;MONTH('web survey'!Z189),MONTH('web survey'!Z189))&amp;"-"&amp;IF(DAY('web survey'!Z189)&lt;10,"0"&amp;DAY('web survey'!Z189),DAY('web survey'!Z189))&amp;" "&amp;IF(HOUR('web survey'!Z189)&lt;10,"0"&amp;HOUR('web survey'!Z189),HOUR('web survey'!Z189))&amp;":"&amp;IF(MINUTE('web survey'!Z189)&lt;10,"0"&amp;MINUTE('web survey'!Z189),MINUTE('web survey'!Z189))&amp;(":00'")</f>
        <v>2026-06-12 16:41:00'</v>
      </c>
      <c r="N191" s="37">
        <v>188</v>
      </c>
      <c r="O191" s="37" t="s">
        <v>27</v>
      </c>
      <c r="P191" s="38" t="s">
        <v>162</v>
      </c>
      <c r="Q191" s="43" t="s">
        <v>18</v>
      </c>
      <c r="R191" s="44" t="s">
        <v>17</v>
      </c>
      <c r="S191" s="43" t="s">
        <v>29</v>
      </c>
      <c r="T191" s="44" t="s">
        <v>17</v>
      </c>
      <c r="U191" s="43" t="s">
        <v>30</v>
      </c>
      <c r="V191" s="44" t="s">
        <v>17</v>
      </c>
      <c r="W191" s="43" t="s">
        <v>50</v>
      </c>
      <c r="X191" s="37" t="s">
        <v>369</v>
      </c>
    </row>
    <row r="192" ht="28.2" customHeight="1" spans="1:24">
      <c r="A192" s="28">
        <f>IF(B192="","",ROW()-COUNTBLANK($B$4:B192)-3)</f>
        <v>189</v>
      </c>
      <c r="B192" s="28" t="str">
        <f>'web survey'!C190</f>
        <v>FU-Z1-Eng</v>
      </c>
      <c r="C192" s="29" t="str">
        <f>'web survey'!AA190</f>
        <v>204468974</v>
      </c>
      <c r="D192" s="30" t="str">
        <f>IF(B192="FU-ACInstall",VLOOKUP(VALUE('web survey'!D190),ref!$B$6:$C$7,2,0)&amp;" ("&amp;'web survey'!D190&amp;")",VLOOKUP(VALUE('web survey'!D190),ref!$E$6:$F$10,2,0)&amp;" ("&amp;'web survey'!D190&amp;")")</f>
        <v>Good (10)</v>
      </c>
      <c r="E192" s="32" t="str">
        <f>'web survey'!S190</f>
        <v/>
      </c>
      <c r="F192" s="30" t="str">
        <f>IF(B192="FU-ACInstall",VLOOKUP(VALUE('web survey'!E190),ref!$B$10:$C$12,2,0)&amp;" ("&amp;'web survey'!E190&amp;")",VLOOKUP(VALUE('web survey'!E190),ref!$E$13:$F$17,2,0)&amp;" ("&amp;'web survey'!E190&amp;")")</f>
        <v>Very Good (10)</v>
      </c>
      <c r="G192" s="32" t="str">
        <f>'web survey'!T190</f>
        <v/>
      </c>
      <c r="H192" s="30" t="str">
        <f>IF(B192="FU-ACInstall",VLOOKUP(VALUE('web survey'!F190),ref!$B$15:$C$17,2,0)&amp;" ("&amp;'web survey'!F190&amp;")",VLOOKUP(VALUE('web survey'!F190),ref!$E$20:$F$21,2,0)&amp;" ("&amp;'web survey'!F190&amp;")")</f>
        <v>Appropriate with SAP / in Warranty (10)</v>
      </c>
      <c r="I192" s="32" t="str">
        <f>'web survey'!U190</f>
        <v/>
      </c>
      <c r="J192" s="30" t="str">
        <f>IF(B192="FU-ACInstall","-",VLOOKUP(VALUE('web survey'!G190),ref!$E$24:$F$26,2,0)&amp;" ("&amp;'web survey'!G190&amp;")")</f>
        <v>Jelas (5)</v>
      </c>
      <c r="K192" s="28" t="str">
        <f>YEAR('web survey'!Z190)&amp;"-"&amp;IF(MONTH('web survey'!Z190)&lt;10,"0"&amp;MONTH('web survey'!Z190),MONTH('web survey'!Z190))&amp;"-"&amp;IF(DAY('web survey'!Z190)&lt;10,"0"&amp;DAY('web survey'!Z190),DAY('web survey'!Z190))&amp;" "&amp;IF(HOUR('web survey'!Z190)&lt;10,"0"&amp;HOUR('web survey'!Z190),HOUR('web survey'!Z190))&amp;":"&amp;IF(MINUTE('web survey'!Z190)&lt;10,"0"&amp;MINUTE('web survey'!Z190),MINUTE('web survey'!Z190))&amp;(":00'")</f>
        <v>2026-06-12 16:41:00'</v>
      </c>
      <c r="N192" s="37">
        <v>189</v>
      </c>
      <c r="O192" s="37" t="s">
        <v>27</v>
      </c>
      <c r="P192" s="38" t="s">
        <v>370</v>
      </c>
      <c r="Q192" s="43" t="s">
        <v>18</v>
      </c>
      <c r="R192" s="44" t="s">
        <v>17</v>
      </c>
      <c r="S192" s="43" t="s">
        <v>37</v>
      </c>
      <c r="T192" s="44" t="s">
        <v>17</v>
      </c>
      <c r="U192" s="43" t="s">
        <v>30</v>
      </c>
      <c r="V192" s="44" t="s">
        <v>17</v>
      </c>
      <c r="W192" s="43" t="s">
        <v>34</v>
      </c>
      <c r="X192" s="37" t="s">
        <v>369</v>
      </c>
    </row>
    <row r="193" ht="28.2" customHeight="1" spans="1:24">
      <c r="A193" s="28">
        <f>IF(B193="","",ROW()-COUNTBLANK($B$4:B193)-3)</f>
        <v>190</v>
      </c>
      <c r="B193" s="28" t="str">
        <f>'web survey'!C191</f>
        <v>FU-Z1-Eng</v>
      </c>
      <c r="C193" s="29" t="str">
        <f>'web survey'!AA191</f>
        <v>204472182</v>
      </c>
      <c r="D193" s="30" t="str">
        <f>IF(B193="FU-ACInstall",VLOOKUP(VALUE('web survey'!D191),ref!$B$6:$C$7,2,0)&amp;" ("&amp;'web survey'!D191&amp;")",VLOOKUP(VALUE('web survey'!D191),ref!$E$6:$F$10,2,0)&amp;" ("&amp;'web survey'!D191&amp;")")</f>
        <v>Good (10)</v>
      </c>
      <c r="E193" s="32" t="str">
        <f>'web survey'!S191</f>
        <v/>
      </c>
      <c r="F193" s="30" t="str">
        <f>IF(B193="FU-ACInstall",VLOOKUP(VALUE('web survey'!E191),ref!$B$10:$C$12,2,0)&amp;" ("&amp;'web survey'!E191&amp;")",VLOOKUP(VALUE('web survey'!E191),ref!$E$13:$F$17,2,0)&amp;" ("&amp;'web survey'!E191&amp;")")</f>
        <v>Very Good (10)</v>
      </c>
      <c r="G193" s="32" t="str">
        <f>'web survey'!T191</f>
        <v/>
      </c>
      <c r="H193" s="30" t="str">
        <f>IF(B193="FU-ACInstall",VLOOKUP(VALUE('web survey'!F191),ref!$B$15:$C$17,2,0)&amp;" ("&amp;'web survey'!F191&amp;")",VLOOKUP(VALUE('web survey'!F191),ref!$E$20:$F$21,2,0)&amp;" ("&amp;'web survey'!F191&amp;")")</f>
        <v>Appropriate with SAP / in Warranty (10)</v>
      </c>
      <c r="I193" s="32" t="str">
        <f>'web survey'!U191</f>
        <v/>
      </c>
      <c r="J193" s="30" t="str">
        <f>IF(B193="FU-ACInstall","-",VLOOKUP(VALUE('web survey'!G191),ref!$E$24:$F$26,2,0)&amp;" ("&amp;'web survey'!G191&amp;")")</f>
        <v>Jelas (5)</v>
      </c>
      <c r="K193" s="28" t="str">
        <f>YEAR('web survey'!Z191)&amp;"-"&amp;IF(MONTH('web survey'!Z191)&lt;10,"0"&amp;MONTH('web survey'!Z191),MONTH('web survey'!Z191))&amp;"-"&amp;IF(DAY('web survey'!Z191)&lt;10,"0"&amp;DAY('web survey'!Z191),DAY('web survey'!Z191))&amp;" "&amp;IF(HOUR('web survey'!Z191)&lt;10,"0"&amp;HOUR('web survey'!Z191),HOUR('web survey'!Z191))&amp;":"&amp;IF(MINUTE('web survey'!Z191)&lt;10,"0"&amp;MINUTE('web survey'!Z191),MINUTE('web survey'!Z191))&amp;(":00'")</f>
        <v>2026-06-12 16:38:00'</v>
      </c>
      <c r="N193" s="37">
        <v>190</v>
      </c>
      <c r="O193" s="37" t="s">
        <v>27</v>
      </c>
      <c r="P193" s="38" t="s">
        <v>371</v>
      </c>
      <c r="Q193" s="43" t="s">
        <v>18</v>
      </c>
      <c r="R193" s="44" t="s">
        <v>17</v>
      </c>
      <c r="S193" s="43" t="s">
        <v>37</v>
      </c>
      <c r="T193" s="44" t="s">
        <v>17</v>
      </c>
      <c r="U193" s="43" t="s">
        <v>30</v>
      </c>
      <c r="V193" s="44" t="s">
        <v>17</v>
      </c>
      <c r="W193" s="43" t="s">
        <v>34</v>
      </c>
      <c r="X193" s="37" t="s">
        <v>372</v>
      </c>
    </row>
    <row r="194" ht="28.2" customHeight="1" spans="1:24">
      <c r="A194" s="28">
        <f>IF(B194="","",ROW()-COUNTBLANK($B$4:B194)-3)</f>
        <v>191</v>
      </c>
      <c r="B194" s="28" t="str">
        <f>'web survey'!C192</f>
        <v>FU-Z1-Eng</v>
      </c>
      <c r="C194" s="29" t="str">
        <f>'web survey'!AA192</f>
        <v>1047A2601551</v>
      </c>
      <c r="D194" s="30" t="str">
        <f>IF(B194="FU-ACInstall",VLOOKUP(VALUE('web survey'!D192),ref!$B$6:$C$7,2,0)&amp;" ("&amp;'web survey'!D192&amp;")",VLOOKUP(VALUE('web survey'!D192),ref!$E$6:$F$10,2,0)&amp;" ("&amp;'web survey'!D192&amp;")")</f>
        <v>Good (10)</v>
      </c>
      <c r="E194" s="32" t="str">
        <f>'web survey'!S192</f>
        <v/>
      </c>
      <c r="F194" s="30" t="str">
        <f>IF(B194="FU-ACInstall",VLOOKUP(VALUE('web survey'!E192),ref!$B$10:$C$12,2,0)&amp;" ("&amp;'web survey'!E192&amp;")",VLOOKUP(VALUE('web survey'!E192),ref!$E$13:$F$17,2,0)&amp;" ("&amp;'web survey'!E192&amp;")")</f>
        <v>Good (5)</v>
      </c>
      <c r="G194" s="32" t="str">
        <f>'web survey'!T192</f>
        <v/>
      </c>
      <c r="H194" s="30" t="str">
        <f>IF(B194="FU-ACInstall",VLOOKUP(VALUE('web survey'!F192),ref!$B$15:$C$17,2,0)&amp;" ("&amp;'web survey'!F192&amp;")",VLOOKUP(VALUE('web survey'!F192),ref!$E$20:$F$21,2,0)&amp;" ("&amp;'web survey'!F192&amp;")")</f>
        <v>Appropriate with SAP / in Warranty (10)</v>
      </c>
      <c r="I194" s="32" t="str">
        <f>'web survey'!U192</f>
        <v/>
      </c>
      <c r="J194" s="30" t="str">
        <f>IF(B194="FU-ACInstall","-",VLOOKUP(VALUE('web survey'!G192),ref!$E$24:$F$26,2,0)&amp;" ("&amp;'web survey'!G192&amp;")")</f>
        <v>Jelas (5)</v>
      </c>
      <c r="K194" s="28" t="str">
        <f>YEAR('web survey'!Z192)&amp;"-"&amp;IF(MONTH('web survey'!Z192)&lt;10,"0"&amp;MONTH('web survey'!Z192),MONTH('web survey'!Z192))&amp;"-"&amp;IF(DAY('web survey'!Z192)&lt;10,"0"&amp;DAY('web survey'!Z192),DAY('web survey'!Z192))&amp;" "&amp;IF(HOUR('web survey'!Z192)&lt;10,"0"&amp;HOUR('web survey'!Z192),HOUR('web survey'!Z192))&amp;":"&amp;IF(MINUTE('web survey'!Z192)&lt;10,"0"&amp;MINUTE('web survey'!Z192),MINUTE('web survey'!Z192))&amp;(":00'")</f>
        <v>2026-06-12 16:38:00'</v>
      </c>
      <c r="N194" s="37">
        <v>191</v>
      </c>
      <c r="O194" s="37" t="s">
        <v>27</v>
      </c>
      <c r="P194" s="38" t="s">
        <v>373</v>
      </c>
      <c r="Q194" s="43" t="s">
        <v>18</v>
      </c>
      <c r="R194" s="44" t="s">
        <v>17</v>
      </c>
      <c r="S194" s="43" t="s">
        <v>29</v>
      </c>
      <c r="T194" s="44" t="s">
        <v>17</v>
      </c>
      <c r="U194" s="43" t="s">
        <v>30</v>
      </c>
      <c r="V194" s="44" t="s">
        <v>17</v>
      </c>
      <c r="W194" s="43" t="s">
        <v>34</v>
      </c>
      <c r="X194" s="37" t="s">
        <v>372</v>
      </c>
    </row>
    <row r="195" ht="28.2" customHeight="1" spans="1:24">
      <c r="A195" s="28">
        <f>IF(B195="","",ROW()-COUNTBLANK($B$4:B195)-3)</f>
        <v>192</v>
      </c>
      <c r="B195" s="28" t="str">
        <f>'web survey'!C193</f>
        <v>FU-Z1-Eng</v>
      </c>
      <c r="C195" s="29" t="str">
        <f>'web survey'!AA193</f>
        <v>204466495</v>
      </c>
      <c r="D195" s="30" t="str">
        <f>IF(B195="FU-ACInstall",VLOOKUP(VALUE('web survey'!D193),ref!$B$6:$C$7,2,0)&amp;" ("&amp;'web survey'!D193&amp;")",VLOOKUP(VALUE('web survey'!D193),ref!$E$6:$F$10,2,0)&amp;" ("&amp;'web survey'!D193&amp;")")</f>
        <v>Good (10)</v>
      </c>
      <c r="E195" s="32" t="str">
        <f>'web survey'!S193</f>
        <v/>
      </c>
      <c r="F195" s="30" t="str">
        <f>IF(B195="FU-ACInstall",VLOOKUP(VALUE('web survey'!E193),ref!$B$10:$C$12,2,0)&amp;" ("&amp;'web survey'!E193&amp;")",VLOOKUP(VALUE('web survey'!E193),ref!$E$13:$F$17,2,0)&amp;" ("&amp;'web survey'!E193&amp;")")</f>
        <v>Good (5)</v>
      </c>
      <c r="G195" s="32" t="str">
        <f>'web survey'!T193</f>
        <v/>
      </c>
      <c r="H195" s="30" t="str">
        <f>IF(B195="FU-ACInstall",VLOOKUP(VALUE('web survey'!F193),ref!$B$15:$C$17,2,0)&amp;" ("&amp;'web survey'!F193&amp;")",VLOOKUP(VALUE('web survey'!F193),ref!$E$20:$F$21,2,0)&amp;" ("&amp;'web survey'!F193&amp;")")</f>
        <v>Different with SAP (-10)</v>
      </c>
      <c r="I195" s="32" t="str">
        <f>'web survey'!U193</f>
        <v/>
      </c>
      <c r="J195" s="30" t="str">
        <f>IF(B195="FU-ACInstall","-",VLOOKUP(VALUE('web survey'!G193),ref!$E$24:$F$26,2,0)&amp;" ("&amp;'web survey'!G193&amp;")")</f>
        <v>Jelas (5)</v>
      </c>
      <c r="K195" s="28" t="str">
        <f>YEAR('web survey'!Z193)&amp;"-"&amp;IF(MONTH('web survey'!Z193)&lt;10,"0"&amp;MONTH('web survey'!Z193),MONTH('web survey'!Z193))&amp;"-"&amp;IF(DAY('web survey'!Z193)&lt;10,"0"&amp;DAY('web survey'!Z193),DAY('web survey'!Z193))&amp;" "&amp;IF(HOUR('web survey'!Z193)&lt;10,"0"&amp;HOUR('web survey'!Z193),HOUR('web survey'!Z193))&amp;":"&amp;IF(MINUTE('web survey'!Z193)&lt;10,"0"&amp;MINUTE('web survey'!Z193),MINUTE('web survey'!Z193))&amp;(":00'")</f>
        <v>2026-06-12 16:37:00'</v>
      </c>
      <c r="N195" s="37">
        <v>192</v>
      </c>
      <c r="O195" s="37" t="s">
        <v>27</v>
      </c>
      <c r="P195" s="38" t="s">
        <v>374</v>
      </c>
      <c r="Q195" s="43" t="s">
        <v>18</v>
      </c>
      <c r="R195" s="44" t="s">
        <v>17</v>
      </c>
      <c r="S195" s="43" t="s">
        <v>29</v>
      </c>
      <c r="T195" s="44" t="s">
        <v>17</v>
      </c>
      <c r="U195" s="43" t="s">
        <v>87</v>
      </c>
      <c r="V195" s="44" t="s">
        <v>17</v>
      </c>
      <c r="W195" s="43" t="s">
        <v>34</v>
      </c>
      <c r="X195" s="37" t="s">
        <v>375</v>
      </c>
    </row>
    <row r="196" ht="28.2" customHeight="1" spans="1:24">
      <c r="A196" s="28">
        <f>IF(B196="","",ROW()-COUNTBLANK($B$4:B196)-3)</f>
        <v>193</v>
      </c>
      <c r="B196" s="28" t="str">
        <f>'web survey'!C194</f>
        <v>FU-Z1-Eng</v>
      </c>
      <c r="C196" s="29" t="str">
        <f>'web survey'!AA194</f>
        <v>204468756</v>
      </c>
      <c r="D196" s="30" t="str">
        <f>IF(B196="FU-ACInstall",VLOOKUP(VALUE('web survey'!D194),ref!$B$6:$C$7,2,0)&amp;" ("&amp;'web survey'!D194&amp;")",VLOOKUP(VALUE('web survey'!D194),ref!$E$6:$F$10,2,0)&amp;" ("&amp;'web survey'!D194&amp;")")</f>
        <v>Good (10)</v>
      </c>
      <c r="E196" s="32" t="str">
        <f>'web survey'!S194</f>
        <v/>
      </c>
      <c r="F196" s="30" t="str">
        <f>IF(B196="FU-ACInstall",VLOOKUP(VALUE('web survey'!E194),ref!$B$10:$C$12,2,0)&amp;" ("&amp;'web survey'!E194&amp;")",VLOOKUP(VALUE('web survey'!E194),ref!$E$13:$F$17,2,0)&amp;" ("&amp;'web survey'!E194&amp;")")</f>
        <v>Very Good (10)</v>
      </c>
      <c r="G196" s="32" t="str">
        <f>'web survey'!T194</f>
        <v/>
      </c>
      <c r="H196" s="30" t="str">
        <f>IF(B196="FU-ACInstall",VLOOKUP(VALUE('web survey'!F194),ref!$B$15:$C$17,2,0)&amp;" ("&amp;'web survey'!F194&amp;")",VLOOKUP(VALUE('web survey'!F194),ref!$E$20:$F$21,2,0)&amp;" ("&amp;'web survey'!F194&amp;")")</f>
        <v>Appropriate with SAP / in Warranty (10)</v>
      </c>
      <c r="I196" s="32" t="str">
        <f>'web survey'!U194</f>
        <v/>
      </c>
      <c r="J196" s="30" t="str">
        <f>IF(B196="FU-ACInstall","-",VLOOKUP(VALUE('web survey'!G194),ref!$E$24:$F$26,2,0)&amp;" ("&amp;'web survey'!G194&amp;")")</f>
        <v>Jelas (5)</v>
      </c>
      <c r="K196" s="28" t="str">
        <f>YEAR('web survey'!Z194)&amp;"-"&amp;IF(MONTH('web survey'!Z194)&lt;10,"0"&amp;MONTH('web survey'!Z194),MONTH('web survey'!Z194))&amp;"-"&amp;IF(DAY('web survey'!Z194)&lt;10,"0"&amp;DAY('web survey'!Z194),DAY('web survey'!Z194))&amp;" "&amp;IF(HOUR('web survey'!Z194)&lt;10,"0"&amp;HOUR('web survey'!Z194),HOUR('web survey'!Z194))&amp;":"&amp;IF(MINUTE('web survey'!Z194)&lt;10,"0"&amp;MINUTE('web survey'!Z194),MINUTE('web survey'!Z194))&amp;(":00'")</f>
        <v>2026-06-12 16:28:00'</v>
      </c>
      <c r="N196" s="37">
        <v>193</v>
      </c>
      <c r="O196" s="37" t="s">
        <v>27</v>
      </c>
      <c r="P196" s="38" t="s">
        <v>376</v>
      </c>
      <c r="Q196" s="43" t="s">
        <v>18</v>
      </c>
      <c r="R196" s="44" t="s">
        <v>17</v>
      </c>
      <c r="S196" s="43" t="s">
        <v>37</v>
      </c>
      <c r="T196" s="44" t="s">
        <v>17</v>
      </c>
      <c r="U196" s="43" t="s">
        <v>30</v>
      </c>
      <c r="V196" s="44" t="s">
        <v>17</v>
      </c>
      <c r="W196" s="43" t="s">
        <v>34</v>
      </c>
      <c r="X196" s="37" t="s">
        <v>377</v>
      </c>
    </row>
    <row r="197" ht="28.2" customHeight="1" spans="1:24">
      <c r="A197" s="28">
        <f>IF(B197="","",ROW()-COUNTBLANK($B$4:B197)-3)</f>
        <v>194</v>
      </c>
      <c r="B197" s="28" t="str">
        <f>'web survey'!C195</f>
        <v>FU-Z1-Eng</v>
      </c>
      <c r="C197" s="29" t="str">
        <f>'web survey'!AA195</f>
        <v>204472009</v>
      </c>
      <c r="D197" s="30" t="str">
        <f>IF(B197="FU-ACInstall",VLOOKUP(VALUE('web survey'!D195),ref!$B$6:$C$7,2,0)&amp;" ("&amp;'web survey'!D195&amp;")",VLOOKUP(VALUE('web survey'!D195),ref!$E$6:$F$10,2,0)&amp;" ("&amp;'web survey'!D195&amp;")")</f>
        <v>Good (10)</v>
      </c>
      <c r="E197" s="32" t="str">
        <f>'web survey'!S195</f>
        <v/>
      </c>
      <c r="F197" s="30" t="str">
        <f>IF(B197="FU-ACInstall",VLOOKUP(VALUE('web survey'!E195),ref!$B$10:$C$12,2,0)&amp;" ("&amp;'web survey'!E195&amp;")",VLOOKUP(VALUE('web survey'!E195),ref!$E$13:$F$17,2,0)&amp;" ("&amp;'web survey'!E195&amp;")")</f>
        <v>Good (5)</v>
      </c>
      <c r="G197" s="32" t="str">
        <f>'web survey'!T195</f>
        <v/>
      </c>
      <c r="H197" s="30" t="str">
        <f>IF(B197="FU-ACInstall",VLOOKUP(VALUE('web survey'!F195),ref!$B$15:$C$17,2,0)&amp;" ("&amp;'web survey'!F195&amp;")",VLOOKUP(VALUE('web survey'!F195),ref!$E$20:$F$21,2,0)&amp;" ("&amp;'web survey'!F195&amp;")")</f>
        <v>Appropriate with SAP / in Warranty (10)</v>
      </c>
      <c r="I197" s="32" t="str">
        <f>'web survey'!U195</f>
        <v/>
      </c>
      <c r="J197" s="30" t="str">
        <f>IF(B197="FU-ACInstall","-",VLOOKUP(VALUE('web survey'!G195),ref!$E$24:$F$26,2,0)&amp;" ("&amp;'web survey'!G195&amp;")")</f>
        <v>Jelas (5)</v>
      </c>
      <c r="K197" s="28" t="str">
        <f>YEAR('web survey'!Z195)&amp;"-"&amp;IF(MONTH('web survey'!Z195)&lt;10,"0"&amp;MONTH('web survey'!Z195),MONTH('web survey'!Z195))&amp;"-"&amp;IF(DAY('web survey'!Z195)&lt;10,"0"&amp;DAY('web survey'!Z195),DAY('web survey'!Z195))&amp;" "&amp;IF(HOUR('web survey'!Z195)&lt;10,"0"&amp;HOUR('web survey'!Z195),HOUR('web survey'!Z195))&amp;":"&amp;IF(MINUTE('web survey'!Z195)&lt;10,"0"&amp;MINUTE('web survey'!Z195),MINUTE('web survey'!Z195))&amp;(":00'")</f>
        <v>2026-06-12 16:26:00'</v>
      </c>
      <c r="N197" s="37">
        <v>194</v>
      </c>
      <c r="O197" s="37" t="s">
        <v>27</v>
      </c>
      <c r="P197" s="38" t="s">
        <v>378</v>
      </c>
      <c r="Q197" s="43" t="s">
        <v>18</v>
      </c>
      <c r="R197" s="44" t="s">
        <v>17</v>
      </c>
      <c r="S197" s="43" t="s">
        <v>29</v>
      </c>
      <c r="T197" s="44" t="s">
        <v>17</v>
      </c>
      <c r="U197" s="43" t="s">
        <v>30</v>
      </c>
      <c r="V197" s="44" t="s">
        <v>17</v>
      </c>
      <c r="W197" s="43" t="s">
        <v>34</v>
      </c>
      <c r="X197" s="37" t="s">
        <v>379</v>
      </c>
    </row>
    <row r="198" ht="28.2" customHeight="1" spans="1:24">
      <c r="A198" s="28">
        <f>IF(B198="","",ROW()-COUNTBLANK($B$4:B198)-3)</f>
        <v>195</v>
      </c>
      <c r="B198" s="28" t="str">
        <f>'web survey'!C196</f>
        <v>FU-Z1-Eng</v>
      </c>
      <c r="C198" s="29" t="str">
        <f>'web survey'!AA196</f>
        <v>1105A2603030</v>
      </c>
      <c r="D198" s="30" t="str">
        <f>IF(B198="FU-ACInstall",VLOOKUP(VALUE('web survey'!D196),ref!$B$6:$C$7,2,0)&amp;" ("&amp;'web survey'!D196&amp;")",VLOOKUP(VALUE('web survey'!D196),ref!$E$6:$F$10,2,0)&amp;" ("&amp;'web survey'!D196&amp;")")</f>
        <v>Good (10)</v>
      </c>
      <c r="E198" s="32" t="str">
        <f>'web survey'!S196</f>
        <v/>
      </c>
      <c r="F198" s="30" t="str">
        <f>IF(B198="FU-ACInstall",VLOOKUP(VALUE('web survey'!E196),ref!$B$10:$C$12,2,0)&amp;" ("&amp;'web survey'!E196&amp;")",VLOOKUP(VALUE('web survey'!E196),ref!$E$13:$F$17,2,0)&amp;" ("&amp;'web survey'!E196&amp;")")</f>
        <v>Very Good (10)</v>
      </c>
      <c r="G198" s="32" t="str">
        <f>'web survey'!T196</f>
        <v/>
      </c>
      <c r="H198" s="30" t="str">
        <f>IF(B198="FU-ACInstall",VLOOKUP(VALUE('web survey'!F196),ref!$B$15:$C$17,2,0)&amp;" ("&amp;'web survey'!F196&amp;")",VLOOKUP(VALUE('web survey'!F196),ref!$E$20:$F$21,2,0)&amp;" ("&amp;'web survey'!F196&amp;")")</f>
        <v>Appropriate with SAP / in Warranty (10)</v>
      </c>
      <c r="I198" s="32" t="str">
        <f>'web survey'!U196</f>
        <v/>
      </c>
      <c r="J198" s="30" t="str">
        <f>IF(B198="FU-ACInstall","-",VLOOKUP(VALUE('web survey'!G196),ref!$E$24:$F$26,2,0)&amp;" ("&amp;'web survey'!G196&amp;")")</f>
        <v>Jelas (5)</v>
      </c>
      <c r="K198" s="28" t="str">
        <f>YEAR('web survey'!Z196)&amp;"-"&amp;IF(MONTH('web survey'!Z196)&lt;10,"0"&amp;MONTH('web survey'!Z196),MONTH('web survey'!Z196))&amp;"-"&amp;IF(DAY('web survey'!Z196)&lt;10,"0"&amp;DAY('web survey'!Z196),DAY('web survey'!Z196))&amp;" "&amp;IF(HOUR('web survey'!Z196)&lt;10,"0"&amp;HOUR('web survey'!Z196),HOUR('web survey'!Z196))&amp;":"&amp;IF(MINUTE('web survey'!Z196)&lt;10,"0"&amp;MINUTE('web survey'!Z196),MINUTE('web survey'!Z196))&amp;(":00'")</f>
        <v>2026-06-12 16:18:00'</v>
      </c>
      <c r="N198" s="37">
        <v>195</v>
      </c>
      <c r="O198" s="37" t="s">
        <v>27</v>
      </c>
      <c r="P198" s="38" t="s">
        <v>380</v>
      </c>
      <c r="Q198" s="43" t="s">
        <v>18</v>
      </c>
      <c r="R198" s="44" t="s">
        <v>17</v>
      </c>
      <c r="S198" s="43" t="s">
        <v>37</v>
      </c>
      <c r="T198" s="44" t="s">
        <v>17</v>
      </c>
      <c r="U198" s="43" t="s">
        <v>30</v>
      </c>
      <c r="V198" s="44" t="s">
        <v>17</v>
      </c>
      <c r="W198" s="43" t="s">
        <v>34</v>
      </c>
      <c r="X198" s="37" t="s">
        <v>381</v>
      </c>
    </row>
    <row r="199" ht="28.2" customHeight="1" spans="1:24">
      <c r="A199" s="28">
        <f>IF(B199="","",ROW()-COUNTBLANK($B$4:B199)-3)</f>
        <v>196</v>
      </c>
      <c r="B199" s="28" t="str">
        <f>'web survey'!C197</f>
        <v>FU-Z1-Eng</v>
      </c>
      <c r="C199" s="29" t="str">
        <f>'web survey'!AA197</f>
        <v>100987710</v>
      </c>
      <c r="D199" s="30" t="str">
        <f>IF(B199="FU-ACInstall",VLOOKUP(VALUE('web survey'!D197),ref!$B$6:$C$7,2,0)&amp;" ("&amp;'web survey'!D197&amp;")",VLOOKUP(VALUE('web survey'!D197),ref!$E$6:$F$10,2,0)&amp;" ("&amp;'web survey'!D197&amp;")")</f>
        <v>Good (10)</v>
      </c>
      <c r="E199" s="32" t="str">
        <f>'web survey'!S197</f>
        <v/>
      </c>
      <c r="F199" s="30" t="str">
        <f>IF(B199="FU-ACInstall",VLOOKUP(VALUE('web survey'!E197),ref!$B$10:$C$12,2,0)&amp;" ("&amp;'web survey'!E197&amp;")",VLOOKUP(VALUE('web survey'!E197),ref!$E$13:$F$17,2,0)&amp;" ("&amp;'web survey'!E197&amp;")")</f>
        <v>Very Good (10)</v>
      </c>
      <c r="G199" s="32" t="str">
        <f>'web survey'!T197</f>
        <v/>
      </c>
      <c r="H199" s="30" t="str">
        <f>IF(B199="FU-ACInstall",VLOOKUP(VALUE('web survey'!F197),ref!$B$15:$C$17,2,0)&amp;" ("&amp;'web survey'!F197&amp;")",VLOOKUP(VALUE('web survey'!F197),ref!$E$20:$F$21,2,0)&amp;" ("&amp;'web survey'!F197&amp;")")</f>
        <v>Appropriate with SAP / in Warranty (10)</v>
      </c>
      <c r="I199" s="32" t="str">
        <f>'web survey'!U197</f>
        <v/>
      </c>
      <c r="J199" s="30" t="str">
        <f>IF(B199="FU-ACInstall","-",VLOOKUP(VALUE('web survey'!G197),ref!$E$24:$F$26,2,0)&amp;" ("&amp;'web survey'!G197&amp;")")</f>
        <v>Jelas (5)</v>
      </c>
      <c r="K199" s="28" t="str">
        <f>YEAR('web survey'!Z197)&amp;"-"&amp;IF(MONTH('web survey'!Z197)&lt;10,"0"&amp;MONTH('web survey'!Z197),MONTH('web survey'!Z197))&amp;"-"&amp;IF(DAY('web survey'!Z197)&lt;10,"0"&amp;DAY('web survey'!Z197),DAY('web survey'!Z197))&amp;" "&amp;IF(HOUR('web survey'!Z197)&lt;10,"0"&amp;HOUR('web survey'!Z197),HOUR('web survey'!Z197))&amp;":"&amp;IF(MINUTE('web survey'!Z197)&lt;10,"0"&amp;MINUTE('web survey'!Z197),MINUTE('web survey'!Z197))&amp;(":00'")</f>
        <v>2026-06-12 16:12:00'</v>
      </c>
      <c r="N199" s="37">
        <v>196</v>
      </c>
      <c r="O199" s="37" t="s">
        <v>27</v>
      </c>
      <c r="P199" s="38" t="s">
        <v>382</v>
      </c>
      <c r="Q199" s="43" t="s">
        <v>18</v>
      </c>
      <c r="R199" s="44" t="s">
        <v>17</v>
      </c>
      <c r="S199" s="43" t="s">
        <v>37</v>
      </c>
      <c r="T199" s="44" t="s">
        <v>17</v>
      </c>
      <c r="U199" s="43" t="s">
        <v>30</v>
      </c>
      <c r="V199" s="44" t="s">
        <v>17</v>
      </c>
      <c r="W199" s="43" t="s">
        <v>34</v>
      </c>
      <c r="X199" s="37" t="s">
        <v>383</v>
      </c>
    </row>
    <row r="200" ht="28.2" customHeight="1" spans="1:24">
      <c r="A200" s="28">
        <f>IF(B200="","",ROW()-COUNTBLANK($B$4:B200)-3)</f>
        <v>197</v>
      </c>
      <c r="B200" s="28" t="str">
        <f>'web survey'!C198</f>
        <v>FU-Z1-Eng</v>
      </c>
      <c r="C200" s="29" t="str">
        <f>'web survey'!AA198</f>
        <v>204473235</v>
      </c>
      <c r="D200" s="30" t="str">
        <f>IF(B200="FU-ACInstall",VLOOKUP(VALUE('web survey'!D198),ref!$B$6:$C$7,2,0)&amp;" ("&amp;'web survey'!D198&amp;")",VLOOKUP(VALUE('web survey'!D198),ref!$E$6:$F$10,2,0)&amp;" ("&amp;'web survey'!D198&amp;")")</f>
        <v>Good (10)</v>
      </c>
      <c r="E200" s="32" t="str">
        <f>'web survey'!S198</f>
        <v/>
      </c>
      <c r="F200" s="30" t="str">
        <f>IF(B200="FU-ACInstall",VLOOKUP(VALUE('web survey'!E198),ref!$B$10:$C$12,2,0)&amp;" ("&amp;'web survey'!E198&amp;")",VLOOKUP(VALUE('web survey'!E198),ref!$E$13:$F$17,2,0)&amp;" ("&amp;'web survey'!E198&amp;")")</f>
        <v>Very Good (10)</v>
      </c>
      <c r="G200" s="32" t="str">
        <f>'web survey'!T198</f>
        <v/>
      </c>
      <c r="H200" s="30" t="str">
        <f>IF(B200="FU-ACInstall",VLOOKUP(VALUE('web survey'!F198),ref!$B$15:$C$17,2,0)&amp;" ("&amp;'web survey'!F198&amp;")",VLOOKUP(VALUE('web survey'!F198),ref!$E$20:$F$21,2,0)&amp;" ("&amp;'web survey'!F198&amp;")")</f>
        <v>Appropriate with SAP / in Warranty (10)</v>
      </c>
      <c r="I200" s="32" t="str">
        <f>'web survey'!U198</f>
        <v/>
      </c>
      <c r="J200" s="30" t="str">
        <f>IF(B200="FU-ACInstall","-",VLOOKUP(VALUE('web survey'!G198),ref!$E$24:$F$26,2,0)&amp;" ("&amp;'web survey'!G198&amp;")")</f>
        <v>Jelas (5)</v>
      </c>
      <c r="K200" s="28" t="str">
        <f>YEAR('web survey'!Z198)&amp;"-"&amp;IF(MONTH('web survey'!Z198)&lt;10,"0"&amp;MONTH('web survey'!Z198),MONTH('web survey'!Z198))&amp;"-"&amp;IF(DAY('web survey'!Z198)&lt;10,"0"&amp;DAY('web survey'!Z198),DAY('web survey'!Z198))&amp;" "&amp;IF(HOUR('web survey'!Z198)&lt;10,"0"&amp;HOUR('web survey'!Z198),HOUR('web survey'!Z198))&amp;":"&amp;IF(MINUTE('web survey'!Z198)&lt;10,"0"&amp;MINUTE('web survey'!Z198),MINUTE('web survey'!Z198))&amp;(":00'")</f>
        <v>2026-06-12 16:05:00'</v>
      </c>
      <c r="N200" s="37">
        <v>197</v>
      </c>
      <c r="O200" s="37" t="s">
        <v>27</v>
      </c>
      <c r="P200" s="38" t="s">
        <v>384</v>
      </c>
      <c r="Q200" s="43" t="s">
        <v>18</v>
      </c>
      <c r="R200" s="44" t="s">
        <v>17</v>
      </c>
      <c r="S200" s="43" t="s">
        <v>37</v>
      </c>
      <c r="T200" s="44" t="s">
        <v>17</v>
      </c>
      <c r="U200" s="43" t="s">
        <v>30</v>
      </c>
      <c r="V200" s="44" t="s">
        <v>17</v>
      </c>
      <c r="W200" s="43" t="s">
        <v>34</v>
      </c>
      <c r="X200" s="37" t="s">
        <v>385</v>
      </c>
    </row>
    <row r="201" ht="28.2" customHeight="1" spans="1:24">
      <c r="A201" s="28">
        <f>IF(B201="","",ROW()-COUNTBLANK($B$4:B201)-3)</f>
        <v>198</v>
      </c>
      <c r="B201" s="28" t="str">
        <f>'web survey'!C199</f>
        <v>FU-Z1-Eng</v>
      </c>
      <c r="C201" s="29" t="str">
        <f>'web survey'!AA199</f>
        <v>1014A2602355</v>
      </c>
      <c r="D201" s="30" t="str">
        <f>IF(B201="FU-ACInstall",VLOOKUP(VALUE('web survey'!D199),ref!$B$6:$C$7,2,0)&amp;" ("&amp;'web survey'!D199&amp;")",VLOOKUP(VALUE('web survey'!D199),ref!$E$6:$F$10,2,0)&amp;" ("&amp;'web survey'!D199&amp;")")</f>
        <v>Good (10)</v>
      </c>
      <c r="E201" s="32" t="str">
        <f>'web survey'!S199</f>
        <v/>
      </c>
      <c r="F201" s="30" t="str">
        <f>IF(B201="FU-ACInstall",VLOOKUP(VALUE('web survey'!E199),ref!$B$10:$C$12,2,0)&amp;" ("&amp;'web survey'!E199&amp;")",VLOOKUP(VALUE('web survey'!E199),ref!$E$13:$F$17,2,0)&amp;" ("&amp;'web survey'!E199&amp;")")</f>
        <v>Very Good (10)</v>
      </c>
      <c r="G201" s="32" t="str">
        <f>'web survey'!T199</f>
        <v/>
      </c>
      <c r="H201" s="30" t="str">
        <f>IF(B201="FU-ACInstall",VLOOKUP(VALUE('web survey'!F199),ref!$B$15:$C$17,2,0)&amp;" ("&amp;'web survey'!F199&amp;")",VLOOKUP(VALUE('web survey'!F199),ref!$E$20:$F$21,2,0)&amp;" ("&amp;'web survey'!F199&amp;")")</f>
        <v>Appropriate with SAP / in Warranty (10)</v>
      </c>
      <c r="I201" s="32" t="str">
        <f>'web survey'!U199</f>
        <v/>
      </c>
      <c r="J201" s="30" t="str">
        <f>IF(B201="FU-ACInstall","-",VLOOKUP(VALUE('web survey'!G199),ref!$E$24:$F$26,2,0)&amp;" ("&amp;'web survey'!G199&amp;")")</f>
        <v>Jelas (5)</v>
      </c>
      <c r="K201" s="28" t="str">
        <f>YEAR('web survey'!Z199)&amp;"-"&amp;IF(MONTH('web survey'!Z199)&lt;10,"0"&amp;MONTH('web survey'!Z199),MONTH('web survey'!Z199))&amp;"-"&amp;IF(DAY('web survey'!Z199)&lt;10,"0"&amp;DAY('web survey'!Z199),DAY('web survey'!Z199))&amp;" "&amp;IF(HOUR('web survey'!Z199)&lt;10,"0"&amp;HOUR('web survey'!Z199),HOUR('web survey'!Z199))&amp;":"&amp;IF(MINUTE('web survey'!Z199)&lt;10,"0"&amp;MINUTE('web survey'!Z199),MINUTE('web survey'!Z199))&amp;(":00'")</f>
        <v>2026-06-12 16:05:00'</v>
      </c>
      <c r="N201" s="37">
        <v>198</v>
      </c>
      <c r="O201" s="37" t="s">
        <v>27</v>
      </c>
      <c r="P201" s="38" t="s">
        <v>386</v>
      </c>
      <c r="Q201" s="43" t="s">
        <v>18</v>
      </c>
      <c r="R201" s="44" t="s">
        <v>17</v>
      </c>
      <c r="S201" s="43" t="s">
        <v>37</v>
      </c>
      <c r="T201" s="44" t="s">
        <v>17</v>
      </c>
      <c r="U201" s="43" t="s">
        <v>30</v>
      </c>
      <c r="V201" s="44" t="s">
        <v>17</v>
      </c>
      <c r="W201" s="43" t="s">
        <v>34</v>
      </c>
      <c r="X201" s="37" t="s">
        <v>385</v>
      </c>
    </row>
    <row r="202" ht="28.2" customHeight="1" spans="1:24">
      <c r="A202" s="28">
        <f>IF(B202="","",ROW()-COUNTBLANK($B$4:B202)-3)</f>
        <v>199</v>
      </c>
      <c r="B202" s="28" t="str">
        <f>'web survey'!C200</f>
        <v>FU-Z1-Eng</v>
      </c>
      <c r="C202" s="29" t="str">
        <f>'web survey'!AA200</f>
        <v>1100356897</v>
      </c>
      <c r="D202" s="30" t="str">
        <f>IF(B202="FU-ACInstall",VLOOKUP(VALUE('web survey'!D200),ref!$B$6:$C$7,2,0)&amp;" ("&amp;'web survey'!D200&amp;")",VLOOKUP(VALUE('web survey'!D200),ref!$E$6:$F$10,2,0)&amp;" ("&amp;'web survey'!D200&amp;")")</f>
        <v>Good (10)</v>
      </c>
      <c r="E202" s="32" t="str">
        <f>'web survey'!S200</f>
        <v/>
      </c>
      <c r="F202" s="30" t="str">
        <f>IF(B202="FU-ACInstall",VLOOKUP(VALUE('web survey'!E200),ref!$B$10:$C$12,2,0)&amp;" ("&amp;'web survey'!E200&amp;")",VLOOKUP(VALUE('web survey'!E200),ref!$E$13:$F$17,2,0)&amp;" ("&amp;'web survey'!E200&amp;")")</f>
        <v>Very Good (10)</v>
      </c>
      <c r="G202" s="32" t="str">
        <f>'web survey'!T200</f>
        <v/>
      </c>
      <c r="H202" s="30" t="str">
        <f>IF(B202="FU-ACInstall",VLOOKUP(VALUE('web survey'!F200),ref!$B$15:$C$17,2,0)&amp;" ("&amp;'web survey'!F200&amp;")",VLOOKUP(VALUE('web survey'!F200),ref!$E$20:$F$21,2,0)&amp;" ("&amp;'web survey'!F200&amp;")")</f>
        <v>Appropriate with SAP / in Warranty (10)</v>
      </c>
      <c r="I202" s="32" t="str">
        <f>'web survey'!U200</f>
        <v/>
      </c>
      <c r="J202" s="30" t="str">
        <f>IF(B202="FU-ACInstall","-",VLOOKUP(VALUE('web survey'!G200),ref!$E$24:$F$26,2,0)&amp;" ("&amp;'web survey'!G200&amp;")")</f>
        <v>Jelas (5)</v>
      </c>
      <c r="K202" s="28" t="str">
        <f>YEAR('web survey'!Z200)&amp;"-"&amp;IF(MONTH('web survey'!Z200)&lt;10,"0"&amp;MONTH('web survey'!Z200),MONTH('web survey'!Z200))&amp;"-"&amp;IF(DAY('web survey'!Z200)&lt;10,"0"&amp;DAY('web survey'!Z200),DAY('web survey'!Z200))&amp;" "&amp;IF(HOUR('web survey'!Z200)&lt;10,"0"&amp;HOUR('web survey'!Z200),HOUR('web survey'!Z200))&amp;":"&amp;IF(MINUTE('web survey'!Z200)&lt;10,"0"&amp;MINUTE('web survey'!Z200),MINUTE('web survey'!Z200))&amp;(":00'")</f>
        <v>2026-06-12 16:02:00'</v>
      </c>
      <c r="N202" s="37">
        <v>199</v>
      </c>
      <c r="O202" s="37" t="s">
        <v>27</v>
      </c>
      <c r="P202" s="38" t="s">
        <v>387</v>
      </c>
      <c r="Q202" s="43" t="s">
        <v>18</v>
      </c>
      <c r="R202" s="44" t="s">
        <v>17</v>
      </c>
      <c r="S202" s="43" t="s">
        <v>37</v>
      </c>
      <c r="T202" s="44" t="s">
        <v>17</v>
      </c>
      <c r="U202" s="43" t="s">
        <v>30</v>
      </c>
      <c r="V202" s="44" t="s">
        <v>17</v>
      </c>
      <c r="W202" s="43" t="s">
        <v>34</v>
      </c>
      <c r="X202" s="37" t="s">
        <v>388</v>
      </c>
    </row>
    <row r="203" ht="28.2" customHeight="1" spans="1:24">
      <c r="A203" s="28">
        <f>IF(B203="","",ROW()-COUNTBLANK($B$4:B203)-3)</f>
        <v>200</v>
      </c>
      <c r="B203" s="28" t="str">
        <f>'web survey'!C201</f>
        <v>FU-Z1-Eng</v>
      </c>
      <c r="C203" s="29" t="str">
        <f>'web survey'!AA201</f>
        <v>204464342</v>
      </c>
      <c r="D203" s="30" t="str">
        <f>IF(B203="FU-ACInstall",VLOOKUP(VALUE('web survey'!D201),ref!$B$6:$C$7,2,0)&amp;" ("&amp;'web survey'!D201&amp;")",VLOOKUP(VALUE('web survey'!D201),ref!$E$6:$F$10,2,0)&amp;" ("&amp;'web survey'!D201&amp;")")</f>
        <v>Good (10)</v>
      </c>
      <c r="E203" s="32" t="str">
        <f>'web survey'!S201</f>
        <v/>
      </c>
      <c r="F203" s="30" t="str">
        <f>IF(B203="FU-ACInstall",VLOOKUP(VALUE('web survey'!E201),ref!$B$10:$C$12,2,0)&amp;" ("&amp;'web survey'!E201&amp;")",VLOOKUP(VALUE('web survey'!E201),ref!$E$13:$F$17,2,0)&amp;" ("&amp;'web survey'!E201&amp;")")</f>
        <v>Very Good (10)</v>
      </c>
      <c r="G203" s="32" t="str">
        <f>'web survey'!T201</f>
        <v/>
      </c>
      <c r="H203" s="30" t="str">
        <f>IF(B203="FU-ACInstall",VLOOKUP(VALUE('web survey'!F201),ref!$B$15:$C$17,2,0)&amp;" ("&amp;'web survey'!F201&amp;")",VLOOKUP(VALUE('web survey'!F201),ref!$E$20:$F$21,2,0)&amp;" ("&amp;'web survey'!F201&amp;")")</f>
        <v>Appropriate with SAP / in Warranty (10)</v>
      </c>
      <c r="I203" s="32" t="str">
        <f>'web survey'!U201</f>
        <v/>
      </c>
      <c r="J203" s="30" t="str">
        <f>IF(B203="FU-ACInstall","-",VLOOKUP(VALUE('web survey'!G201),ref!$E$24:$F$26,2,0)&amp;" ("&amp;'web survey'!G201&amp;")")</f>
        <v>Jelas (5)</v>
      </c>
      <c r="K203" s="28" t="str">
        <f>YEAR('web survey'!Z201)&amp;"-"&amp;IF(MONTH('web survey'!Z201)&lt;10,"0"&amp;MONTH('web survey'!Z201),MONTH('web survey'!Z201))&amp;"-"&amp;IF(DAY('web survey'!Z201)&lt;10,"0"&amp;DAY('web survey'!Z201),DAY('web survey'!Z201))&amp;" "&amp;IF(HOUR('web survey'!Z201)&lt;10,"0"&amp;HOUR('web survey'!Z201),HOUR('web survey'!Z201))&amp;":"&amp;IF(MINUTE('web survey'!Z201)&lt;10,"0"&amp;MINUTE('web survey'!Z201),MINUTE('web survey'!Z201))&amp;(":00'")</f>
        <v>2026-06-12 15:54:00'</v>
      </c>
      <c r="N203" s="37">
        <v>200</v>
      </c>
      <c r="O203" s="37" t="s">
        <v>27</v>
      </c>
      <c r="P203" s="38" t="s">
        <v>389</v>
      </c>
      <c r="Q203" s="43" t="s">
        <v>18</v>
      </c>
      <c r="R203" s="44" t="s">
        <v>17</v>
      </c>
      <c r="S203" s="43" t="s">
        <v>37</v>
      </c>
      <c r="T203" s="44" t="s">
        <v>17</v>
      </c>
      <c r="U203" s="43" t="s">
        <v>30</v>
      </c>
      <c r="V203" s="44" t="s">
        <v>17</v>
      </c>
      <c r="W203" s="43" t="s">
        <v>34</v>
      </c>
      <c r="X203" s="37" t="s">
        <v>390</v>
      </c>
    </row>
    <row r="204" spans="1:24">
      <c r="A204" s="28">
        <f>IF(B204="","",ROW()-COUNTBLANK($B$4:B204)-3)</f>
        <v>201</v>
      </c>
      <c r="B204" s="28" t="str">
        <f>'web survey'!C202</f>
        <v>FU-Z1-Eng</v>
      </c>
      <c r="C204" s="29" t="str">
        <f>'web survey'!AA202</f>
        <v>204457459</v>
      </c>
      <c r="D204" s="30" t="str">
        <f>IF(B204="FU-ACInstall",VLOOKUP(VALUE('web survey'!D202),ref!$B$6:$C$7,2,0)&amp;" ("&amp;'web survey'!D202&amp;")",VLOOKUP(VALUE('web survey'!D202),ref!$E$6:$F$10,2,0)&amp;" ("&amp;'web survey'!D202&amp;")")</f>
        <v>Good (10)</v>
      </c>
      <c r="E204" s="32" t="str">
        <f>'web survey'!S202</f>
        <v/>
      </c>
      <c r="F204" s="30" t="str">
        <f>IF(B204="FU-ACInstall",VLOOKUP(VALUE('web survey'!E202),ref!$B$10:$C$12,2,0)&amp;" ("&amp;'web survey'!E202&amp;")",VLOOKUP(VALUE('web survey'!E202),ref!$E$13:$F$17,2,0)&amp;" ("&amp;'web survey'!E202&amp;")")</f>
        <v>Very Good (10)</v>
      </c>
      <c r="G204" s="32" t="str">
        <f>'web survey'!T202</f>
        <v/>
      </c>
      <c r="H204" s="30" t="str">
        <f>IF(B204="FU-ACInstall",VLOOKUP(VALUE('web survey'!F202),ref!$B$15:$C$17,2,0)&amp;" ("&amp;'web survey'!F202&amp;")",VLOOKUP(VALUE('web survey'!F202),ref!$E$20:$F$21,2,0)&amp;" ("&amp;'web survey'!F202&amp;")")</f>
        <v>Appropriate with SAP / in Warranty (10)</v>
      </c>
      <c r="I204" s="32" t="str">
        <f>'web survey'!U202</f>
        <v/>
      </c>
      <c r="J204" s="30" t="str">
        <f>IF(B204="FU-ACInstall","-",VLOOKUP(VALUE('web survey'!G202),ref!$E$24:$F$26,2,0)&amp;" ("&amp;'web survey'!G202&amp;")")</f>
        <v>Jelas (5)</v>
      </c>
      <c r="K204" s="28" t="str">
        <f>YEAR('web survey'!Z202)&amp;"-"&amp;IF(MONTH('web survey'!Z202)&lt;10,"0"&amp;MONTH('web survey'!Z202),MONTH('web survey'!Z202))&amp;"-"&amp;IF(DAY('web survey'!Z202)&lt;10,"0"&amp;DAY('web survey'!Z202),DAY('web survey'!Z202))&amp;" "&amp;IF(HOUR('web survey'!Z202)&lt;10,"0"&amp;HOUR('web survey'!Z202),HOUR('web survey'!Z202))&amp;":"&amp;IF(MINUTE('web survey'!Z202)&lt;10,"0"&amp;MINUTE('web survey'!Z202),MINUTE('web survey'!Z202))&amp;(":00'")</f>
        <v>2026-06-12 15:54:00'</v>
      </c>
      <c r="N204" s="22">
        <v>201</v>
      </c>
      <c r="O204" s="22" t="s">
        <v>27</v>
      </c>
      <c r="P204" s="22" t="s">
        <v>391</v>
      </c>
      <c r="Q204" s="22" t="s">
        <v>18</v>
      </c>
      <c r="R204" s="22" t="s">
        <v>17</v>
      </c>
      <c r="S204" s="22" t="s">
        <v>37</v>
      </c>
      <c r="T204" s="22" t="s">
        <v>17</v>
      </c>
      <c r="U204" s="22" t="s">
        <v>30</v>
      </c>
      <c r="V204" s="22" t="s">
        <v>17</v>
      </c>
      <c r="W204" s="22" t="s">
        <v>34</v>
      </c>
      <c r="X204" s="22" t="s">
        <v>390</v>
      </c>
    </row>
    <row r="205" spans="1:24">
      <c r="A205" s="28">
        <f>IF(B205="","",ROW()-COUNTBLANK($B$4:B205)-3)</f>
        <v>202</v>
      </c>
      <c r="B205" s="28" t="str">
        <f>'web survey'!C203</f>
        <v>FU-Z1-Eng</v>
      </c>
      <c r="C205" s="29" t="str">
        <f>'web survey'!AA203</f>
        <v>100988440</v>
      </c>
      <c r="D205" s="30" t="str">
        <f>IF(B205="FU-ACInstall",VLOOKUP(VALUE('web survey'!D203),ref!$B$6:$C$7,2,0)&amp;" ("&amp;'web survey'!D203&amp;")",VLOOKUP(VALUE('web survey'!D203),ref!$E$6:$F$10,2,0)&amp;" ("&amp;'web survey'!D203&amp;")")</f>
        <v>Good (10)</v>
      </c>
      <c r="E205" s="32" t="str">
        <f>'web survey'!S203</f>
        <v/>
      </c>
      <c r="F205" s="30" t="str">
        <f>IF(B205="FU-ACInstall",VLOOKUP(VALUE('web survey'!E203),ref!$B$10:$C$12,2,0)&amp;" ("&amp;'web survey'!E203&amp;")",VLOOKUP(VALUE('web survey'!E203),ref!$E$13:$F$17,2,0)&amp;" ("&amp;'web survey'!E203&amp;")")</f>
        <v>Very Good (10)</v>
      </c>
      <c r="G205" s="32" t="str">
        <f>'web survey'!T203</f>
        <v/>
      </c>
      <c r="H205" s="30" t="str">
        <f>IF(B205="FU-ACInstall",VLOOKUP(VALUE('web survey'!F203),ref!$B$15:$C$17,2,0)&amp;" ("&amp;'web survey'!F203&amp;")",VLOOKUP(VALUE('web survey'!F203),ref!$E$20:$F$21,2,0)&amp;" ("&amp;'web survey'!F203&amp;")")</f>
        <v>Appropriate with SAP / in Warranty (10)</v>
      </c>
      <c r="I205" s="32" t="str">
        <f>'web survey'!U203</f>
        <v/>
      </c>
      <c r="J205" s="30" t="str">
        <f>IF(B205="FU-ACInstall","-",VLOOKUP(VALUE('web survey'!G203),ref!$E$24:$F$26,2,0)&amp;" ("&amp;'web survey'!G203&amp;")")</f>
        <v>Jelas (5)</v>
      </c>
      <c r="K205" s="28" t="str">
        <f>YEAR('web survey'!Z203)&amp;"-"&amp;IF(MONTH('web survey'!Z203)&lt;10,"0"&amp;MONTH('web survey'!Z203),MONTH('web survey'!Z203))&amp;"-"&amp;IF(DAY('web survey'!Z203)&lt;10,"0"&amp;DAY('web survey'!Z203),DAY('web survey'!Z203))&amp;" "&amp;IF(HOUR('web survey'!Z203)&lt;10,"0"&amp;HOUR('web survey'!Z203),HOUR('web survey'!Z203))&amp;":"&amp;IF(MINUTE('web survey'!Z203)&lt;10,"0"&amp;MINUTE('web survey'!Z203),MINUTE('web survey'!Z203))&amp;(":00'")</f>
        <v>2026-06-12 15:53:00'</v>
      </c>
      <c r="N205" s="22">
        <v>202</v>
      </c>
      <c r="O205" s="22" t="s">
        <v>27</v>
      </c>
      <c r="P205" s="22" t="s">
        <v>392</v>
      </c>
      <c r="Q205" s="22" t="s">
        <v>18</v>
      </c>
      <c r="R205" s="22" t="s">
        <v>17</v>
      </c>
      <c r="S205" s="22" t="s">
        <v>37</v>
      </c>
      <c r="T205" s="22" t="s">
        <v>17</v>
      </c>
      <c r="U205" s="22" t="s">
        <v>30</v>
      </c>
      <c r="V205" s="22" t="s">
        <v>17</v>
      </c>
      <c r="W205" s="22" t="s">
        <v>34</v>
      </c>
      <c r="X205" s="22" t="s">
        <v>393</v>
      </c>
    </row>
    <row r="206" spans="1:24">
      <c r="A206" s="28">
        <f>IF(B206="","",ROW()-COUNTBLANK($B$4:B206)-3)</f>
        <v>203</v>
      </c>
      <c r="B206" s="28" t="str">
        <f>'web survey'!C204</f>
        <v>FU-Z1-Eng</v>
      </c>
      <c r="C206" s="29" t="str">
        <f>'web survey'!AA204</f>
        <v>204471530</v>
      </c>
      <c r="D206" s="30" t="str">
        <f>IF(B206="FU-ACInstall",VLOOKUP(VALUE('web survey'!D204),ref!$B$6:$C$7,2,0)&amp;" ("&amp;'web survey'!D204&amp;")",VLOOKUP(VALUE('web survey'!D204),ref!$E$6:$F$10,2,0)&amp;" ("&amp;'web survey'!D204&amp;")")</f>
        <v>Good (10)</v>
      </c>
      <c r="E206" s="32" t="str">
        <f>'web survey'!S204</f>
        <v/>
      </c>
      <c r="F206" s="30" t="str">
        <f>IF(B206="FU-ACInstall",VLOOKUP(VALUE('web survey'!E204),ref!$B$10:$C$12,2,0)&amp;" ("&amp;'web survey'!E204&amp;")",VLOOKUP(VALUE('web survey'!E204),ref!$E$13:$F$17,2,0)&amp;" ("&amp;'web survey'!E204&amp;")")</f>
        <v>Good (5)</v>
      </c>
      <c r="G206" s="32" t="str">
        <f>'web survey'!T204</f>
        <v/>
      </c>
      <c r="H206" s="30" t="str">
        <f>IF(B206="FU-ACInstall",VLOOKUP(VALUE('web survey'!F204),ref!$B$15:$C$17,2,0)&amp;" ("&amp;'web survey'!F204&amp;")",VLOOKUP(VALUE('web survey'!F204),ref!$E$20:$F$21,2,0)&amp;" ("&amp;'web survey'!F204&amp;")")</f>
        <v>Appropriate with SAP / in Warranty (10)</v>
      </c>
      <c r="I206" s="32" t="str">
        <f>'web survey'!U204</f>
        <v/>
      </c>
      <c r="J206" s="30" t="str">
        <f>IF(B206="FU-ACInstall","-",VLOOKUP(VALUE('web survey'!G204),ref!$E$24:$F$26,2,0)&amp;" ("&amp;'web survey'!G204&amp;")")</f>
        <v>Jelas (5)</v>
      </c>
      <c r="K206" s="28" t="str">
        <f>YEAR('web survey'!Z204)&amp;"-"&amp;IF(MONTH('web survey'!Z204)&lt;10,"0"&amp;MONTH('web survey'!Z204),MONTH('web survey'!Z204))&amp;"-"&amp;IF(DAY('web survey'!Z204)&lt;10,"0"&amp;DAY('web survey'!Z204),DAY('web survey'!Z204))&amp;" "&amp;IF(HOUR('web survey'!Z204)&lt;10,"0"&amp;HOUR('web survey'!Z204),HOUR('web survey'!Z204))&amp;":"&amp;IF(MINUTE('web survey'!Z204)&lt;10,"0"&amp;MINUTE('web survey'!Z204),MINUTE('web survey'!Z204))&amp;(":00'")</f>
        <v>2026-06-12 15:53:00'</v>
      </c>
      <c r="N206" s="22">
        <v>203</v>
      </c>
      <c r="O206" s="22" t="s">
        <v>27</v>
      </c>
      <c r="P206" s="22" t="s">
        <v>394</v>
      </c>
      <c r="Q206" s="22" t="s">
        <v>18</v>
      </c>
      <c r="R206" s="22" t="s">
        <v>17</v>
      </c>
      <c r="S206" s="22" t="s">
        <v>29</v>
      </c>
      <c r="T206" s="22" t="s">
        <v>17</v>
      </c>
      <c r="U206" s="22" t="s">
        <v>30</v>
      </c>
      <c r="V206" s="22" t="s">
        <v>17</v>
      </c>
      <c r="W206" s="22" t="s">
        <v>34</v>
      </c>
      <c r="X206" s="22" t="s">
        <v>393</v>
      </c>
    </row>
    <row r="207" spans="1:24">
      <c r="A207" s="28">
        <f>IF(B207="","",ROW()-COUNTBLANK($B$4:B207)-3)</f>
        <v>204</v>
      </c>
      <c r="B207" s="28" t="str">
        <f>'web survey'!C205</f>
        <v>FU-Z1-Eng</v>
      </c>
      <c r="C207" s="29" t="str">
        <f>'web survey'!AA205</f>
        <v>204473971</v>
      </c>
      <c r="D207" s="30" t="str">
        <f>IF(B207="FU-ACInstall",VLOOKUP(VALUE('web survey'!D205),ref!$B$6:$C$7,2,0)&amp;" ("&amp;'web survey'!D205&amp;")",VLOOKUP(VALUE('web survey'!D205),ref!$E$6:$F$10,2,0)&amp;" ("&amp;'web survey'!D205&amp;")")</f>
        <v>Good (10)</v>
      </c>
      <c r="E207" s="32" t="str">
        <f>'web survey'!S205</f>
        <v/>
      </c>
      <c r="F207" s="30" t="str">
        <f>IF(B207="FU-ACInstall",VLOOKUP(VALUE('web survey'!E205),ref!$B$10:$C$12,2,0)&amp;" ("&amp;'web survey'!E205&amp;")",VLOOKUP(VALUE('web survey'!E205),ref!$E$13:$F$17,2,0)&amp;" ("&amp;'web survey'!E205&amp;")")</f>
        <v>Good (5)</v>
      </c>
      <c r="G207" s="32" t="str">
        <f>'web survey'!T205</f>
        <v/>
      </c>
      <c r="H207" s="30" t="str">
        <f>IF(B207="FU-ACInstall",VLOOKUP(VALUE('web survey'!F205),ref!$B$15:$C$17,2,0)&amp;" ("&amp;'web survey'!F205&amp;")",VLOOKUP(VALUE('web survey'!F205),ref!$E$20:$F$21,2,0)&amp;" ("&amp;'web survey'!F205&amp;")")</f>
        <v>Appropriate with SAP / in Warranty (10)</v>
      </c>
      <c r="I207" s="32" t="str">
        <f>'web survey'!U205</f>
        <v/>
      </c>
      <c r="J207" s="30" t="str">
        <f>IF(B207="FU-ACInstall","-",VLOOKUP(VALUE('web survey'!G205),ref!$E$24:$F$26,2,0)&amp;" ("&amp;'web survey'!G205&amp;")")</f>
        <v>Jelas (5)</v>
      </c>
      <c r="K207" s="28" t="str">
        <f>YEAR('web survey'!Z205)&amp;"-"&amp;IF(MONTH('web survey'!Z205)&lt;10,"0"&amp;MONTH('web survey'!Z205),MONTH('web survey'!Z205))&amp;"-"&amp;IF(DAY('web survey'!Z205)&lt;10,"0"&amp;DAY('web survey'!Z205),DAY('web survey'!Z205))&amp;" "&amp;IF(HOUR('web survey'!Z205)&lt;10,"0"&amp;HOUR('web survey'!Z205),HOUR('web survey'!Z205))&amp;":"&amp;IF(MINUTE('web survey'!Z205)&lt;10,"0"&amp;MINUTE('web survey'!Z205),MINUTE('web survey'!Z205))&amp;(":00'")</f>
        <v>2026-06-12 15:50:00'</v>
      </c>
      <c r="N207" s="22">
        <v>204</v>
      </c>
      <c r="O207" s="22" t="s">
        <v>27</v>
      </c>
      <c r="P207" s="22" t="s">
        <v>395</v>
      </c>
      <c r="Q207" s="22" t="s">
        <v>18</v>
      </c>
      <c r="R207" s="22" t="s">
        <v>17</v>
      </c>
      <c r="S207" s="22" t="s">
        <v>29</v>
      </c>
      <c r="T207" s="22" t="s">
        <v>17</v>
      </c>
      <c r="U207" s="22" t="s">
        <v>30</v>
      </c>
      <c r="V207" s="22" t="s">
        <v>17</v>
      </c>
      <c r="W207" s="22" t="s">
        <v>34</v>
      </c>
      <c r="X207" s="22" t="s">
        <v>396</v>
      </c>
    </row>
    <row r="208" spans="1:24">
      <c r="A208" s="28">
        <f>IF(B208="","",ROW()-COUNTBLANK($B$4:B208)-3)</f>
        <v>205</v>
      </c>
      <c r="B208" s="28" t="str">
        <f>'web survey'!C206</f>
        <v>FU-Z1-Eng</v>
      </c>
      <c r="C208" s="29" t="str">
        <f>'web survey'!AA206</f>
        <v>1105A2603352</v>
      </c>
      <c r="D208" s="30" t="str">
        <f>IF(B208="FU-ACInstall",VLOOKUP(VALUE('web survey'!D206),ref!$B$6:$C$7,2,0)&amp;" ("&amp;'web survey'!D206&amp;")",VLOOKUP(VALUE('web survey'!D206),ref!$E$6:$F$10,2,0)&amp;" ("&amp;'web survey'!D206&amp;")")</f>
        <v>Good (10)</v>
      </c>
      <c r="E208" s="32" t="str">
        <f>'web survey'!S206</f>
        <v/>
      </c>
      <c r="F208" s="30" t="str">
        <f>IF(B208="FU-ACInstall",VLOOKUP(VALUE('web survey'!E206),ref!$B$10:$C$12,2,0)&amp;" ("&amp;'web survey'!E206&amp;")",VLOOKUP(VALUE('web survey'!E206),ref!$E$13:$F$17,2,0)&amp;" ("&amp;'web survey'!E206&amp;")")</f>
        <v>Average (3)</v>
      </c>
      <c r="G208" s="32" t="str">
        <f>'web survey'!T206</f>
        <v/>
      </c>
      <c r="H208" s="30" t="str">
        <f>IF(B208="FU-ACInstall",VLOOKUP(VALUE('web survey'!F206),ref!$B$15:$C$17,2,0)&amp;" ("&amp;'web survey'!F206&amp;")",VLOOKUP(VALUE('web survey'!F206),ref!$E$20:$F$21,2,0)&amp;" ("&amp;'web survey'!F206&amp;")")</f>
        <v>Different with SAP (-10)</v>
      </c>
      <c r="I208" s="32" t="str">
        <f>'web survey'!U206</f>
        <v/>
      </c>
      <c r="J208" s="30" t="str">
        <f>IF(B208="FU-ACInstall","-",VLOOKUP(VALUE('web survey'!G206),ref!$E$24:$F$26,2,0)&amp;" ("&amp;'web survey'!G206&amp;")")</f>
        <v>Jelas (5)</v>
      </c>
      <c r="K208" s="28" t="str">
        <f>YEAR('web survey'!Z206)&amp;"-"&amp;IF(MONTH('web survey'!Z206)&lt;10,"0"&amp;MONTH('web survey'!Z206),MONTH('web survey'!Z206))&amp;"-"&amp;IF(DAY('web survey'!Z206)&lt;10,"0"&amp;DAY('web survey'!Z206),DAY('web survey'!Z206))&amp;" "&amp;IF(HOUR('web survey'!Z206)&lt;10,"0"&amp;HOUR('web survey'!Z206),HOUR('web survey'!Z206))&amp;":"&amp;IF(MINUTE('web survey'!Z206)&lt;10,"0"&amp;MINUTE('web survey'!Z206),MINUTE('web survey'!Z206))&amp;(":00'")</f>
        <v>2026-06-12 15:45:00'</v>
      </c>
      <c r="N208" s="22">
        <v>205</v>
      </c>
      <c r="O208" s="22" t="s">
        <v>27</v>
      </c>
      <c r="P208" s="22" t="s">
        <v>397</v>
      </c>
      <c r="Q208" s="22" t="s">
        <v>18</v>
      </c>
      <c r="R208" s="22" t="s">
        <v>17</v>
      </c>
      <c r="S208" s="22" t="s">
        <v>204</v>
      </c>
      <c r="T208" s="22" t="s">
        <v>17</v>
      </c>
      <c r="U208" s="22" t="s">
        <v>87</v>
      </c>
      <c r="V208" s="22" t="s">
        <v>17</v>
      </c>
      <c r="W208" s="22" t="s">
        <v>34</v>
      </c>
      <c r="X208" s="22" t="s">
        <v>398</v>
      </c>
    </row>
    <row r="209" spans="1:24">
      <c r="A209" s="28">
        <f>IF(B209="","",ROW()-COUNTBLANK($B$4:B209)-3)</f>
        <v>206</v>
      </c>
      <c r="B209" s="28" t="str">
        <f>'web survey'!C207</f>
        <v>FU-Z1-Eng</v>
      </c>
      <c r="C209" s="29" t="str">
        <f>'web survey'!AA207</f>
        <v>204472566</v>
      </c>
      <c r="D209" s="30" t="str">
        <f>IF(B209="FU-ACInstall",VLOOKUP(VALUE('web survey'!D207),ref!$B$6:$C$7,2,0)&amp;" ("&amp;'web survey'!D207&amp;")",VLOOKUP(VALUE('web survey'!D207),ref!$E$6:$F$10,2,0)&amp;" ("&amp;'web survey'!D207&amp;")")</f>
        <v>Good (10)</v>
      </c>
      <c r="E209" s="32" t="str">
        <f>'web survey'!S207</f>
        <v/>
      </c>
      <c r="F209" s="30" t="str">
        <f>IF(B209="FU-ACInstall",VLOOKUP(VALUE('web survey'!E207),ref!$B$10:$C$12,2,0)&amp;" ("&amp;'web survey'!E207&amp;")",VLOOKUP(VALUE('web survey'!E207),ref!$E$13:$F$17,2,0)&amp;" ("&amp;'web survey'!E207&amp;")")</f>
        <v>Good (5)</v>
      </c>
      <c r="G209" s="32" t="str">
        <f>'web survey'!T207</f>
        <v/>
      </c>
      <c r="H209" s="30" t="str">
        <f>IF(B209="FU-ACInstall",VLOOKUP(VALUE('web survey'!F207),ref!$B$15:$C$17,2,0)&amp;" ("&amp;'web survey'!F207&amp;")",VLOOKUP(VALUE('web survey'!F207),ref!$E$20:$F$21,2,0)&amp;" ("&amp;'web survey'!F207&amp;")")</f>
        <v>Appropriate with SAP / in Warranty (10)</v>
      </c>
      <c r="I209" s="32" t="str">
        <f>'web survey'!U207</f>
        <v/>
      </c>
      <c r="J209" s="30" t="str">
        <f>IF(B209="FU-ACInstall","-",VLOOKUP(VALUE('web survey'!G207),ref!$E$24:$F$26,2,0)&amp;" ("&amp;'web survey'!G207&amp;")")</f>
        <v>Jelas (5)</v>
      </c>
      <c r="K209" s="28" t="str">
        <f>YEAR('web survey'!Z207)&amp;"-"&amp;IF(MONTH('web survey'!Z207)&lt;10,"0"&amp;MONTH('web survey'!Z207),MONTH('web survey'!Z207))&amp;"-"&amp;IF(DAY('web survey'!Z207)&lt;10,"0"&amp;DAY('web survey'!Z207),DAY('web survey'!Z207))&amp;" "&amp;IF(HOUR('web survey'!Z207)&lt;10,"0"&amp;HOUR('web survey'!Z207),HOUR('web survey'!Z207))&amp;":"&amp;IF(MINUTE('web survey'!Z207)&lt;10,"0"&amp;MINUTE('web survey'!Z207),MINUTE('web survey'!Z207))&amp;(":00'")</f>
        <v>2026-06-12 15:40:00'</v>
      </c>
      <c r="N209" s="22">
        <v>206</v>
      </c>
      <c r="O209" s="22" t="s">
        <v>27</v>
      </c>
      <c r="P209" s="22" t="s">
        <v>399</v>
      </c>
      <c r="Q209" s="22" t="s">
        <v>18</v>
      </c>
      <c r="R209" s="22" t="s">
        <v>17</v>
      </c>
      <c r="S209" s="22" t="s">
        <v>29</v>
      </c>
      <c r="T209" s="22" t="s">
        <v>17</v>
      </c>
      <c r="U209" s="22" t="s">
        <v>30</v>
      </c>
      <c r="V209" s="22" t="s">
        <v>17</v>
      </c>
      <c r="W209" s="22" t="s">
        <v>34</v>
      </c>
      <c r="X209" s="22" t="s">
        <v>400</v>
      </c>
    </row>
    <row r="210" spans="1:24">
      <c r="A210" s="28">
        <f>IF(B210="","",ROW()-COUNTBLANK($B$4:B210)-3)</f>
        <v>207</v>
      </c>
      <c r="B210" s="28" t="str">
        <f>'web survey'!C208</f>
        <v>FU-Z1-Eng</v>
      </c>
      <c r="C210" s="29" t="str">
        <f>'web survey'!AA208</f>
        <v>204473048</v>
      </c>
      <c r="D210" s="30" t="str">
        <f>IF(B210="FU-ACInstall",VLOOKUP(VALUE('web survey'!D208),ref!$B$6:$C$7,2,0)&amp;" ("&amp;'web survey'!D208&amp;")",VLOOKUP(VALUE('web survey'!D208),ref!$E$6:$F$10,2,0)&amp;" ("&amp;'web survey'!D208&amp;")")</f>
        <v>Good (10)</v>
      </c>
      <c r="E210" s="32" t="str">
        <f>'web survey'!S208</f>
        <v/>
      </c>
      <c r="F210" s="30" t="str">
        <f>IF(B210="FU-ACInstall",VLOOKUP(VALUE('web survey'!E208),ref!$B$10:$C$12,2,0)&amp;" ("&amp;'web survey'!E208&amp;")",VLOOKUP(VALUE('web survey'!E208),ref!$E$13:$F$17,2,0)&amp;" ("&amp;'web survey'!E208&amp;")")</f>
        <v>Very Good (10)</v>
      </c>
      <c r="G210" s="32" t="str">
        <f>'web survey'!T208</f>
        <v/>
      </c>
      <c r="H210" s="30" t="str">
        <f>IF(B210="FU-ACInstall",VLOOKUP(VALUE('web survey'!F208),ref!$B$15:$C$17,2,0)&amp;" ("&amp;'web survey'!F208&amp;")",VLOOKUP(VALUE('web survey'!F208),ref!$E$20:$F$21,2,0)&amp;" ("&amp;'web survey'!F208&amp;")")</f>
        <v>Appropriate with SAP / in Warranty (10)</v>
      </c>
      <c r="I210" s="32" t="str">
        <f>'web survey'!U208</f>
        <v/>
      </c>
      <c r="J210" s="30" t="e">
        <f>IF(B210="FU-ACInstall","-",VLOOKUP(VALUE('web survey'!G208),ref!$E$24:$F$26,2,0)&amp;" ("&amp;'web survey'!G208&amp;")")</f>
        <v>#N/A</v>
      </c>
      <c r="K210" s="28" t="str">
        <f>YEAR('web survey'!Z208)&amp;"-"&amp;IF(MONTH('web survey'!Z208)&lt;10,"0"&amp;MONTH('web survey'!Z208),MONTH('web survey'!Z208))&amp;"-"&amp;IF(DAY('web survey'!Z208)&lt;10,"0"&amp;DAY('web survey'!Z208),DAY('web survey'!Z208))&amp;" "&amp;IF(HOUR('web survey'!Z208)&lt;10,"0"&amp;HOUR('web survey'!Z208),HOUR('web survey'!Z208))&amp;":"&amp;IF(MINUTE('web survey'!Z208)&lt;10,"0"&amp;MINUTE('web survey'!Z208),MINUTE('web survey'!Z208))&amp;(":00'")</f>
        <v>2026-06-12 15:38:00'</v>
      </c>
      <c r="N210" s="22">
        <v>207</v>
      </c>
      <c r="O210" s="22" t="s">
        <v>27</v>
      </c>
      <c r="P210" s="22" t="s">
        <v>401</v>
      </c>
      <c r="Q210" s="22" t="s">
        <v>18</v>
      </c>
      <c r="R210" s="22" t="s">
        <v>17</v>
      </c>
      <c r="S210" s="22" t="s">
        <v>37</v>
      </c>
      <c r="T210" s="22" t="s">
        <v>17</v>
      </c>
      <c r="U210" s="22" t="s">
        <v>30</v>
      </c>
      <c r="V210" s="22" t="s">
        <v>17</v>
      </c>
      <c r="W210" s="22" t="e">
        <v>#N/A</v>
      </c>
      <c r="X210" s="22" t="s">
        <v>402</v>
      </c>
    </row>
    <row r="211" spans="1:24">
      <c r="A211" s="28">
        <f>IF(B211="","",ROW()-COUNTBLANK($B$4:B211)-3)</f>
        <v>208</v>
      </c>
      <c r="B211" s="28" t="str">
        <f>'web survey'!C209</f>
        <v>FU-Z1-Eng</v>
      </c>
      <c r="C211" s="29" t="str">
        <f>'web survey'!AA209</f>
        <v>204474056</v>
      </c>
      <c r="D211" s="30" t="str">
        <f>IF(B211="FU-ACInstall",VLOOKUP(VALUE('web survey'!D209),ref!$B$6:$C$7,2,0)&amp;" ("&amp;'web survey'!D209&amp;")",VLOOKUP(VALUE('web survey'!D209),ref!$E$6:$F$10,2,0)&amp;" ("&amp;'web survey'!D209&amp;")")</f>
        <v>Good (10)</v>
      </c>
      <c r="E211" s="32" t="str">
        <f>'web survey'!S209</f>
        <v/>
      </c>
      <c r="F211" s="30" t="str">
        <f>IF(B211="FU-ACInstall",VLOOKUP(VALUE('web survey'!E209),ref!$B$10:$C$12,2,0)&amp;" ("&amp;'web survey'!E209&amp;")",VLOOKUP(VALUE('web survey'!E209),ref!$E$13:$F$17,2,0)&amp;" ("&amp;'web survey'!E209&amp;")")</f>
        <v>Very Good (10)</v>
      </c>
      <c r="G211" s="32" t="str">
        <f>'web survey'!T209</f>
        <v/>
      </c>
      <c r="H211" s="30" t="str">
        <f>IF(B211="FU-ACInstall",VLOOKUP(VALUE('web survey'!F209),ref!$B$15:$C$17,2,0)&amp;" ("&amp;'web survey'!F209&amp;")",VLOOKUP(VALUE('web survey'!F209),ref!$E$20:$F$21,2,0)&amp;" ("&amp;'web survey'!F209&amp;")")</f>
        <v>Appropriate with SAP / in Warranty (10)</v>
      </c>
      <c r="I211" s="32" t="str">
        <f>'web survey'!U209</f>
        <v/>
      </c>
      <c r="J211" s="30" t="str">
        <f>IF(B211="FU-ACInstall","-",VLOOKUP(VALUE('web survey'!G209),ref!$E$24:$F$26,2,0)&amp;" ("&amp;'web survey'!G209&amp;")")</f>
        <v>Jelas (5)</v>
      </c>
      <c r="K211" s="28" t="str">
        <f>YEAR('web survey'!Z209)&amp;"-"&amp;IF(MONTH('web survey'!Z209)&lt;10,"0"&amp;MONTH('web survey'!Z209),MONTH('web survey'!Z209))&amp;"-"&amp;IF(DAY('web survey'!Z209)&lt;10,"0"&amp;DAY('web survey'!Z209),DAY('web survey'!Z209))&amp;" "&amp;IF(HOUR('web survey'!Z209)&lt;10,"0"&amp;HOUR('web survey'!Z209),HOUR('web survey'!Z209))&amp;":"&amp;IF(MINUTE('web survey'!Z209)&lt;10,"0"&amp;MINUTE('web survey'!Z209),MINUTE('web survey'!Z209))&amp;(":00'")</f>
        <v>2026-06-12 15:35:00'</v>
      </c>
      <c r="N211" s="22">
        <v>208</v>
      </c>
      <c r="O211" s="22" t="s">
        <v>27</v>
      </c>
      <c r="P211" s="22" t="s">
        <v>403</v>
      </c>
      <c r="Q211" s="22" t="s">
        <v>18</v>
      </c>
      <c r="R211" s="22" t="s">
        <v>17</v>
      </c>
      <c r="S211" s="22" t="s">
        <v>37</v>
      </c>
      <c r="T211" s="22" t="s">
        <v>17</v>
      </c>
      <c r="U211" s="22" t="s">
        <v>30</v>
      </c>
      <c r="V211" s="22" t="s">
        <v>17</v>
      </c>
      <c r="W211" s="22" t="s">
        <v>34</v>
      </c>
      <c r="X211" s="22" t="s">
        <v>404</v>
      </c>
    </row>
    <row r="212" spans="1:24">
      <c r="A212" s="28">
        <f>IF(B212="","",ROW()-COUNTBLANK($B$4:B212)-3)</f>
        <v>209</v>
      </c>
      <c r="B212" s="28" t="str">
        <f>'web survey'!C210</f>
        <v>FU-Z1-Eng</v>
      </c>
      <c r="C212" s="29" t="str">
        <f>'web survey'!AA210</f>
        <v>100986880</v>
      </c>
      <c r="D212" s="30" t="str">
        <f>IF(B212="FU-ACInstall",VLOOKUP(VALUE('web survey'!D210),ref!$B$6:$C$7,2,0)&amp;" ("&amp;'web survey'!D210&amp;")",VLOOKUP(VALUE('web survey'!D210),ref!$E$6:$F$10,2,0)&amp;" ("&amp;'web survey'!D210&amp;")")</f>
        <v>Good (10)</v>
      </c>
      <c r="E212" s="32" t="str">
        <f>'web survey'!S210</f>
        <v/>
      </c>
      <c r="F212" s="30" t="str">
        <f>IF(B212="FU-ACInstall",VLOOKUP(VALUE('web survey'!E210),ref!$B$10:$C$12,2,0)&amp;" ("&amp;'web survey'!E210&amp;")",VLOOKUP(VALUE('web survey'!E210),ref!$E$13:$F$17,2,0)&amp;" ("&amp;'web survey'!E210&amp;")")</f>
        <v>Very Good (10)</v>
      </c>
      <c r="G212" s="32" t="str">
        <f>'web survey'!T210</f>
        <v/>
      </c>
      <c r="H212" s="30" t="str">
        <f>IF(B212="FU-ACInstall",VLOOKUP(VALUE('web survey'!F210),ref!$B$15:$C$17,2,0)&amp;" ("&amp;'web survey'!F210&amp;")",VLOOKUP(VALUE('web survey'!F210),ref!$E$20:$F$21,2,0)&amp;" ("&amp;'web survey'!F210&amp;")")</f>
        <v>Appropriate with SAP / in Warranty (10)</v>
      </c>
      <c r="I212" s="32" t="str">
        <f>'web survey'!U210</f>
        <v/>
      </c>
      <c r="J212" s="30" t="str">
        <f>IF(B212="FU-ACInstall","-",VLOOKUP(VALUE('web survey'!G210),ref!$E$24:$F$26,2,0)&amp;" ("&amp;'web survey'!G210&amp;")")</f>
        <v>Jelas (5)</v>
      </c>
      <c r="K212" s="28" t="str">
        <f>YEAR('web survey'!Z210)&amp;"-"&amp;IF(MONTH('web survey'!Z210)&lt;10,"0"&amp;MONTH('web survey'!Z210),MONTH('web survey'!Z210))&amp;"-"&amp;IF(DAY('web survey'!Z210)&lt;10,"0"&amp;DAY('web survey'!Z210),DAY('web survey'!Z210))&amp;" "&amp;IF(HOUR('web survey'!Z210)&lt;10,"0"&amp;HOUR('web survey'!Z210),HOUR('web survey'!Z210))&amp;":"&amp;IF(MINUTE('web survey'!Z210)&lt;10,"0"&amp;MINUTE('web survey'!Z210),MINUTE('web survey'!Z210))&amp;(":00'")</f>
        <v>2026-06-12 15:34:00'</v>
      </c>
      <c r="N212" s="22">
        <v>209</v>
      </c>
      <c r="O212" s="22" t="s">
        <v>27</v>
      </c>
      <c r="P212" s="22" t="s">
        <v>405</v>
      </c>
      <c r="Q212" s="22" t="s">
        <v>18</v>
      </c>
      <c r="R212" s="22" t="s">
        <v>17</v>
      </c>
      <c r="S212" s="22" t="s">
        <v>37</v>
      </c>
      <c r="T212" s="22" t="s">
        <v>17</v>
      </c>
      <c r="U212" s="22" t="s">
        <v>30</v>
      </c>
      <c r="V212" s="22" t="s">
        <v>17</v>
      </c>
      <c r="W212" s="22" t="s">
        <v>34</v>
      </c>
      <c r="X212" s="22" t="s">
        <v>406</v>
      </c>
    </row>
    <row r="213" spans="1:24">
      <c r="A213" s="28">
        <f>IF(B213="","",ROW()-COUNTBLANK($B$4:B213)-3)</f>
        <v>210</v>
      </c>
      <c r="B213" s="28" t="str">
        <f>'web survey'!C211</f>
        <v>FU-Z1-Eng</v>
      </c>
      <c r="C213" s="29" t="str">
        <f>'web survey'!AA211</f>
        <v>204469797</v>
      </c>
      <c r="D213" s="30" t="str">
        <f>IF(B213="FU-ACInstall",VLOOKUP(VALUE('web survey'!D211),ref!$B$6:$C$7,2,0)&amp;" ("&amp;'web survey'!D211&amp;")",VLOOKUP(VALUE('web survey'!D211),ref!$E$6:$F$10,2,0)&amp;" ("&amp;'web survey'!D211&amp;")")</f>
        <v>Good (10)</v>
      </c>
      <c r="E213" s="32" t="str">
        <f>'web survey'!S211</f>
        <v/>
      </c>
      <c r="F213" s="30" t="str">
        <f>IF(B213="FU-ACInstall",VLOOKUP(VALUE('web survey'!E211),ref!$B$10:$C$12,2,0)&amp;" ("&amp;'web survey'!E211&amp;")",VLOOKUP(VALUE('web survey'!E211),ref!$E$13:$F$17,2,0)&amp;" ("&amp;'web survey'!E211&amp;")")</f>
        <v>Very Good (10)</v>
      </c>
      <c r="G213" s="32" t="str">
        <f>'web survey'!T211</f>
        <v/>
      </c>
      <c r="H213" s="30" t="str">
        <f>IF(B213="FU-ACInstall",VLOOKUP(VALUE('web survey'!F211),ref!$B$15:$C$17,2,0)&amp;" ("&amp;'web survey'!F211&amp;")",VLOOKUP(VALUE('web survey'!F211),ref!$E$20:$F$21,2,0)&amp;" ("&amp;'web survey'!F211&amp;")")</f>
        <v>Appropriate with SAP / in Warranty (10)</v>
      </c>
      <c r="I213" s="32" t="str">
        <f>'web survey'!U211</f>
        <v/>
      </c>
      <c r="J213" s="30" t="str">
        <f>IF(B213="FU-ACInstall","-",VLOOKUP(VALUE('web survey'!G211),ref!$E$24:$F$26,2,0)&amp;" ("&amp;'web survey'!G211&amp;")")</f>
        <v>Jelas (5)</v>
      </c>
      <c r="K213" s="28" t="str">
        <f>YEAR('web survey'!Z211)&amp;"-"&amp;IF(MONTH('web survey'!Z211)&lt;10,"0"&amp;MONTH('web survey'!Z211),MONTH('web survey'!Z211))&amp;"-"&amp;IF(DAY('web survey'!Z211)&lt;10,"0"&amp;DAY('web survey'!Z211),DAY('web survey'!Z211))&amp;" "&amp;IF(HOUR('web survey'!Z211)&lt;10,"0"&amp;HOUR('web survey'!Z211),HOUR('web survey'!Z211))&amp;":"&amp;IF(MINUTE('web survey'!Z211)&lt;10,"0"&amp;MINUTE('web survey'!Z211),MINUTE('web survey'!Z211))&amp;(":00'")</f>
        <v>2026-06-12 15:33:00'</v>
      </c>
      <c r="N213" s="22">
        <v>210</v>
      </c>
      <c r="O213" s="22" t="s">
        <v>27</v>
      </c>
      <c r="P213" s="22" t="s">
        <v>407</v>
      </c>
      <c r="Q213" s="22" t="s">
        <v>18</v>
      </c>
      <c r="R213" s="22" t="s">
        <v>17</v>
      </c>
      <c r="S213" s="22" t="s">
        <v>37</v>
      </c>
      <c r="T213" s="22" t="s">
        <v>17</v>
      </c>
      <c r="U213" s="22" t="s">
        <v>30</v>
      </c>
      <c r="V213" s="22" t="s">
        <v>17</v>
      </c>
      <c r="W213" s="22" t="s">
        <v>34</v>
      </c>
      <c r="X213" s="22" t="s">
        <v>408</v>
      </c>
    </row>
    <row r="214" spans="1:24">
      <c r="A214" s="28">
        <f>IF(B214="","",ROW()-COUNTBLANK($B$4:B214)-3)</f>
        <v>211</v>
      </c>
      <c r="B214" s="28" t="str">
        <f>'web survey'!C212</f>
        <v>FU-Z1-Eng</v>
      </c>
      <c r="C214" s="29" t="str">
        <f>'web survey'!AA212</f>
        <v>204474538</v>
      </c>
      <c r="D214" s="30" t="str">
        <f>IF(B214="FU-ACInstall",VLOOKUP(VALUE('web survey'!D212),ref!$B$6:$C$7,2,0)&amp;" ("&amp;'web survey'!D212&amp;")",VLOOKUP(VALUE('web survey'!D212),ref!$E$6:$F$10,2,0)&amp;" ("&amp;'web survey'!D212&amp;")")</f>
        <v>Good (10)</v>
      </c>
      <c r="E214" s="32" t="str">
        <f>'web survey'!S212</f>
        <v/>
      </c>
      <c r="F214" s="30" t="str">
        <f>IF(B214="FU-ACInstall",VLOOKUP(VALUE('web survey'!E212),ref!$B$10:$C$12,2,0)&amp;" ("&amp;'web survey'!E212&amp;")",VLOOKUP(VALUE('web survey'!E212),ref!$E$13:$F$17,2,0)&amp;" ("&amp;'web survey'!E212&amp;")")</f>
        <v>Good (5)</v>
      </c>
      <c r="G214" s="32" t="str">
        <f>'web survey'!T212</f>
        <v/>
      </c>
      <c r="H214" s="30" t="str">
        <f>IF(B214="FU-ACInstall",VLOOKUP(VALUE('web survey'!F212),ref!$B$15:$C$17,2,0)&amp;" ("&amp;'web survey'!F212&amp;")",VLOOKUP(VALUE('web survey'!F212),ref!$E$20:$F$21,2,0)&amp;" ("&amp;'web survey'!F212&amp;")")</f>
        <v>Appropriate with SAP / in Warranty (10)</v>
      </c>
      <c r="I214" s="32" t="str">
        <f>'web survey'!U212</f>
        <v/>
      </c>
      <c r="J214" s="30" t="str">
        <f>IF(B214="FU-ACInstall","-",VLOOKUP(VALUE('web survey'!G212),ref!$E$24:$F$26,2,0)&amp;" ("&amp;'web survey'!G212&amp;")")</f>
        <v>Jelas (5)</v>
      </c>
      <c r="K214" s="28" t="str">
        <f>YEAR('web survey'!Z212)&amp;"-"&amp;IF(MONTH('web survey'!Z212)&lt;10,"0"&amp;MONTH('web survey'!Z212),MONTH('web survey'!Z212))&amp;"-"&amp;IF(DAY('web survey'!Z212)&lt;10,"0"&amp;DAY('web survey'!Z212),DAY('web survey'!Z212))&amp;" "&amp;IF(HOUR('web survey'!Z212)&lt;10,"0"&amp;HOUR('web survey'!Z212),HOUR('web survey'!Z212))&amp;":"&amp;IF(MINUTE('web survey'!Z212)&lt;10,"0"&amp;MINUTE('web survey'!Z212),MINUTE('web survey'!Z212))&amp;(":00'")</f>
        <v>2026-06-12 15:30:00'</v>
      </c>
      <c r="N214" s="22">
        <v>211</v>
      </c>
      <c r="O214" s="22" t="s">
        <v>27</v>
      </c>
      <c r="P214" s="22" t="s">
        <v>409</v>
      </c>
      <c r="Q214" s="22" t="s">
        <v>18</v>
      </c>
      <c r="R214" s="22" t="s">
        <v>17</v>
      </c>
      <c r="S214" s="22" t="s">
        <v>29</v>
      </c>
      <c r="T214" s="22" t="s">
        <v>17</v>
      </c>
      <c r="U214" s="22" t="s">
        <v>30</v>
      </c>
      <c r="V214" s="22" t="s">
        <v>17</v>
      </c>
      <c r="W214" s="22" t="s">
        <v>34</v>
      </c>
      <c r="X214" s="22" t="s">
        <v>410</v>
      </c>
    </row>
    <row r="215" spans="1:24">
      <c r="A215" s="28">
        <f>IF(B215="","",ROW()-COUNTBLANK($B$4:B215)-3)</f>
        <v>212</v>
      </c>
      <c r="B215" s="28" t="str">
        <f>'web survey'!C213</f>
        <v>FU-Z1-Eng</v>
      </c>
      <c r="C215" s="29" t="str">
        <f>'web survey'!AA213</f>
        <v>204472257</v>
      </c>
      <c r="D215" s="30" t="str">
        <f>IF(B215="FU-ACInstall",VLOOKUP(VALUE('web survey'!D213),ref!$B$6:$C$7,2,0)&amp;" ("&amp;'web survey'!D213&amp;")",VLOOKUP(VALUE('web survey'!D213),ref!$E$6:$F$10,2,0)&amp;" ("&amp;'web survey'!D213&amp;")")</f>
        <v>Good (10)</v>
      </c>
      <c r="E215" s="32" t="str">
        <f>'web survey'!S213</f>
        <v/>
      </c>
      <c r="F215" s="30" t="str">
        <f>IF(B215="FU-ACInstall",VLOOKUP(VALUE('web survey'!E213),ref!$B$10:$C$12,2,0)&amp;" ("&amp;'web survey'!E213&amp;")",VLOOKUP(VALUE('web survey'!E213),ref!$E$13:$F$17,2,0)&amp;" ("&amp;'web survey'!E213&amp;")")</f>
        <v>Very Good (10)</v>
      </c>
      <c r="G215" s="32" t="str">
        <f>'web survey'!T213</f>
        <v/>
      </c>
      <c r="H215" s="30" t="str">
        <f>IF(B215="FU-ACInstall",VLOOKUP(VALUE('web survey'!F213),ref!$B$15:$C$17,2,0)&amp;" ("&amp;'web survey'!F213&amp;")",VLOOKUP(VALUE('web survey'!F213),ref!$E$20:$F$21,2,0)&amp;" ("&amp;'web survey'!F213&amp;")")</f>
        <v>Appropriate with SAP / in Warranty (10)</v>
      </c>
      <c r="I215" s="32" t="str">
        <f>'web survey'!U213</f>
        <v/>
      </c>
      <c r="J215" s="30" t="str">
        <f>IF(B215="FU-ACInstall","-",VLOOKUP(VALUE('web survey'!G213),ref!$E$24:$F$26,2,0)&amp;" ("&amp;'web survey'!G213&amp;")")</f>
        <v>Jelas (5)</v>
      </c>
      <c r="K215" s="28" t="str">
        <f>YEAR('web survey'!Z213)&amp;"-"&amp;IF(MONTH('web survey'!Z213)&lt;10,"0"&amp;MONTH('web survey'!Z213),MONTH('web survey'!Z213))&amp;"-"&amp;IF(DAY('web survey'!Z213)&lt;10,"0"&amp;DAY('web survey'!Z213),DAY('web survey'!Z213))&amp;" "&amp;IF(HOUR('web survey'!Z213)&lt;10,"0"&amp;HOUR('web survey'!Z213),HOUR('web survey'!Z213))&amp;":"&amp;IF(MINUTE('web survey'!Z213)&lt;10,"0"&amp;MINUTE('web survey'!Z213),MINUTE('web survey'!Z213))&amp;(":00'")</f>
        <v>2026-06-12 15:29:00'</v>
      </c>
      <c r="N215" s="22">
        <v>212</v>
      </c>
      <c r="O215" s="22" t="s">
        <v>27</v>
      </c>
      <c r="P215" s="22" t="s">
        <v>411</v>
      </c>
      <c r="Q215" s="22" t="s">
        <v>18</v>
      </c>
      <c r="R215" s="22" t="s">
        <v>17</v>
      </c>
      <c r="S215" s="22" t="s">
        <v>37</v>
      </c>
      <c r="T215" s="22" t="s">
        <v>17</v>
      </c>
      <c r="U215" s="22" t="s">
        <v>30</v>
      </c>
      <c r="V215" s="22" t="s">
        <v>17</v>
      </c>
      <c r="W215" s="22" t="s">
        <v>34</v>
      </c>
      <c r="X215" s="22" t="s">
        <v>412</v>
      </c>
    </row>
    <row r="216" spans="1:24">
      <c r="A216" s="28">
        <f>IF(B216="","",ROW()-COUNTBLANK($B$4:B216)-3)</f>
        <v>213</v>
      </c>
      <c r="B216" s="28" t="str">
        <f>'web survey'!C214</f>
        <v>FU-Z1-Eng</v>
      </c>
      <c r="C216" s="29" t="str">
        <f>'web survey'!AA214</f>
        <v>204473120</v>
      </c>
      <c r="D216" s="30" t="str">
        <f>IF(B216="FU-ACInstall",VLOOKUP(VALUE('web survey'!D214),ref!$B$6:$C$7,2,0)&amp;" ("&amp;'web survey'!D214&amp;")",VLOOKUP(VALUE('web survey'!D214),ref!$E$6:$F$10,2,0)&amp;" ("&amp;'web survey'!D214&amp;")")</f>
        <v>Good (10)</v>
      </c>
      <c r="E216" s="32" t="str">
        <f>'web survey'!S214</f>
        <v/>
      </c>
      <c r="F216" s="30" t="str">
        <f>IF(B216="FU-ACInstall",VLOOKUP(VALUE('web survey'!E214),ref!$B$10:$C$12,2,0)&amp;" ("&amp;'web survey'!E214&amp;")",VLOOKUP(VALUE('web survey'!E214),ref!$E$13:$F$17,2,0)&amp;" ("&amp;'web survey'!E214&amp;")")</f>
        <v>Very Good (10)</v>
      </c>
      <c r="G216" s="32" t="str">
        <f>'web survey'!T214</f>
        <v/>
      </c>
      <c r="H216" s="30" t="str">
        <f>IF(B216="FU-ACInstall",VLOOKUP(VALUE('web survey'!F214),ref!$B$15:$C$17,2,0)&amp;" ("&amp;'web survey'!F214&amp;")",VLOOKUP(VALUE('web survey'!F214),ref!$E$20:$F$21,2,0)&amp;" ("&amp;'web survey'!F214&amp;")")</f>
        <v>Appropriate with SAP / in Warranty (10)</v>
      </c>
      <c r="I216" s="32" t="str">
        <f>'web survey'!U214</f>
        <v/>
      </c>
      <c r="J216" s="30" t="str">
        <f>IF(B216="FU-ACInstall","-",VLOOKUP(VALUE('web survey'!G214),ref!$E$24:$F$26,2,0)&amp;" ("&amp;'web survey'!G214&amp;")")</f>
        <v>Jelas (5)</v>
      </c>
      <c r="K216" s="28" t="str">
        <f>YEAR('web survey'!Z214)&amp;"-"&amp;IF(MONTH('web survey'!Z214)&lt;10,"0"&amp;MONTH('web survey'!Z214),MONTH('web survey'!Z214))&amp;"-"&amp;IF(DAY('web survey'!Z214)&lt;10,"0"&amp;DAY('web survey'!Z214),DAY('web survey'!Z214))&amp;" "&amp;IF(HOUR('web survey'!Z214)&lt;10,"0"&amp;HOUR('web survey'!Z214),HOUR('web survey'!Z214))&amp;":"&amp;IF(MINUTE('web survey'!Z214)&lt;10,"0"&amp;MINUTE('web survey'!Z214),MINUTE('web survey'!Z214))&amp;(":00'")</f>
        <v>2026-06-12 15:28:00'</v>
      </c>
      <c r="N216" s="22">
        <v>213</v>
      </c>
      <c r="O216" s="22" t="s">
        <v>27</v>
      </c>
      <c r="P216" s="22" t="s">
        <v>413</v>
      </c>
      <c r="Q216" s="22" t="s">
        <v>18</v>
      </c>
      <c r="R216" s="22" t="s">
        <v>17</v>
      </c>
      <c r="S216" s="22" t="s">
        <v>37</v>
      </c>
      <c r="T216" s="22" t="s">
        <v>17</v>
      </c>
      <c r="U216" s="22" t="s">
        <v>30</v>
      </c>
      <c r="V216" s="22" t="s">
        <v>17</v>
      </c>
      <c r="W216" s="22" t="s">
        <v>34</v>
      </c>
      <c r="X216" s="22" t="s">
        <v>414</v>
      </c>
    </row>
    <row r="217" spans="1:24">
      <c r="A217" s="28">
        <f>IF(B217="","",ROW()-COUNTBLANK($B$4:B217)-3)</f>
        <v>214</v>
      </c>
      <c r="B217" s="28" t="str">
        <f>'web survey'!C215</f>
        <v>FU-Z1-Eng</v>
      </c>
      <c r="C217" s="29" t="str">
        <f>'web survey'!AA215</f>
        <v>100988118</v>
      </c>
      <c r="D217" s="30" t="str">
        <f>IF(B217="FU-ACInstall",VLOOKUP(VALUE('web survey'!D215),ref!$B$6:$C$7,2,0)&amp;" ("&amp;'web survey'!D215&amp;")",VLOOKUP(VALUE('web survey'!D215),ref!$E$6:$F$10,2,0)&amp;" ("&amp;'web survey'!D215&amp;")")</f>
        <v>Good (10)</v>
      </c>
      <c r="E217" s="32" t="str">
        <f>'web survey'!S215</f>
        <v/>
      </c>
      <c r="F217" s="30" t="str">
        <f>IF(B217="FU-ACInstall",VLOOKUP(VALUE('web survey'!E215),ref!$B$10:$C$12,2,0)&amp;" ("&amp;'web survey'!E215&amp;")",VLOOKUP(VALUE('web survey'!E215),ref!$E$13:$F$17,2,0)&amp;" ("&amp;'web survey'!E215&amp;")")</f>
        <v>Good (5)</v>
      </c>
      <c r="G217" s="32" t="str">
        <f>'web survey'!T215</f>
        <v/>
      </c>
      <c r="H217" s="30" t="str">
        <f>IF(B217="FU-ACInstall",VLOOKUP(VALUE('web survey'!F215),ref!$B$15:$C$17,2,0)&amp;" ("&amp;'web survey'!F215&amp;")",VLOOKUP(VALUE('web survey'!F215),ref!$E$20:$F$21,2,0)&amp;" ("&amp;'web survey'!F215&amp;")")</f>
        <v>Appropriate with SAP / in Warranty (10)</v>
      </c>
      <c r="I217" s="32" t="str">
        <f>'web survey'!U215</f>
        <v/>
      </c>
      <c r="J217" s="30" t="str">
        <f>IF(B217="FU-ACInstall","-",VLOOKUP(VALUE('web survey'!G215),ref!$E$24:$F$26,2,0)&amp;" ("&amp;'web survey'!G215&amp;")")</f>
        <v>Jelas (5)</v>
      </c>
      <c r="K217" s="28" t="str">
        <f>YEAR('web survey'!Z215)&amp;"-"&amp;IF(MONTH('web survey'!Z215)&lt;10,"0"&amp;MONTH('web survey'!Z215),MONTH('web survey'!Z215))&amp;"-"&amp;IF(DAY('web survey'!Z215)&lt;10,"0"&amp;DAY('web survey'!Z215),DAY('web survey'!Z215))&amp;" "&amp;IF(HOUR('web survey'!Z215)&lt;10,"0"&amp;HOUR('web survey'!Z215),HOUR('web survey'!Z215))&amp;":"&amp;IF(MINUTE('web survey'!Z215)&lt;10,"0"&amp;MINUTE('web survey'!Z215),MINUTE('web survey'!Z215))&amp;(":00'")</f>
        <v>2026-06-12 15:27:00'</v>
      </c>
      <c r="N217" s="22">
        <v>214</v>
      </c>
      <c r="O217" s="22" t="s">
        <v>27</v>
      </c>
      <c r="P217" s="22" t="s">
        <v>415</v>
      </c>
      <c r="Q217" s="22" t="s">
        <v>18</v>
      </c>
      <c r="R217" s="22" t="s">
        <v>17</v>
      </c>
      <c r="S217" s="22" t="s">
        <v>29</v>
      </c>
      <c r="T217" s="22" t="s">
        <v>17</v>
      </c>
      <c r="U217" s="22" t="s">
        <v>30</v>
      </c>
      <c r="V217" s="22" t="s">
        <v>17</v>
      </c>
      <c r="W217" s="22" t="s">
        <v>34</v>
      </c>
      <c r="X217" s="22" t="s">
        <v>416</v>
      </c>
    </row>
    <row r="218" spans="1:24">
      <c r="A218" s="28">
        <f>IF(B218="","",ROW()-COUNTBLANK($B$4:B218)-3)</f>
        <v>215</v>
      </c>
      <c r="B218" s="28" t="str">
        <f>'web survey'!C216</f>
        <v>FU-Z1-Eng</v>
      </c>
      <c r="C218" s="29" t="str">
        <f>'web survey'!AA216</f>
        <v>2604A2600235</v>
      </c>
      <c r="D218" s="30" t="str">
        <f>IF(B218="FU-ACInstall",VLOOKUP(VALUE('web survey'!D216),ref!$B$6:$C$7,2,0)&amp;" ("&amp;'web survey'!D216&amp;")",VLOOKUP(VALUE('web survey'!D216),ref!$E$6:$F$10,2,0)&amp;" ("&amp;'web survey'!D216&amp;")")</f>
        <v>Good (10)</v>
      </c>
      <c r="E218" s="32" t="str">
        <f>'web survey'!S216</f>
        <v/>
      </c>
      <c r="F218" s="30" t="str">
        <f>IF(B218="FU-ACInstall",VLOOKUP(VALUE('web survey'!E216),ref!$B$10:$C$12,2,0)&amp;" ("&amp;'web survey'!E216&amp;")",VLOOKUP(VALUE('web survey'!E216),ref!$E$13:$F$17,2,0)&amp;" ("&amp;'web survey'!E216&amp;")")</f>
        <v>Good (5)</v>
      </c>
      <c r="G218" s="32" t="str">
        <f>'web survey'!T216</f>
        <v/>
      </c>
      <c r="H218" s="30" t="str">
        <f>IF(B218="FU-ACInstall",VLOOKUP(VALUE('web survey'!F216),ref!$B$15:$C$17,2,0)&amp;" ("&amp;'web survey'!F216&amp;")",VLOOKUP(VALUE('web survey'!F216),ref!$E$20:$F$21,2,0)&amp;" ("&amp;'web survey'!F216&amp;")")</f>
        <v>Appropriate with SAP / in Warranty (10)</v>
      </c>
      <c r="I218" s="32" t="str">
        <f>'web survey'!U216</f>
        <v/>
      </c>
      <c r="J218" s="30" t="str">
        <f>IF(B218="FU-ACInstall","-",VLOOKUP(VALUE('web survey'!G216),ref!$E$24:$F$26,2,0)&amp;" ("&amp;'web survey'!G216&amp;")")</f>
        <v>Jelas (5)</v>
      </c>
      <c r="K218" s="28" t="str">
        <f>YEAR('web survey'!Z216)&amp;"-"&amp;IF(MONTH('web survey'!Z216)&lt;10,"0"&amp;MONTH('web survey'!Z216),MONTH('web survey'!Z216))&amp;"-"&amp;IF(DAY('web survey'!Z216)&lt;10,"0"&amp;DAY('web survey'!Z216),DAY('web survey'!Z216))&amp;" "&amp;IF(HOUR('web survey'!Z216)&lt;10,"0"&amp;HOUR('web survey'!Z216),HOUR('web survey'!Z216))&amp;":"&amp;IF(MINUTE('web survey'!Z216)&lt;10,"0"&amp;MINUTE('web survey'!Z216),MINUTE('web survey'!Z216))&amp;(":00'")</f>
        <v>2026-06-12 15:26:00'</v>
      </c>
      <c r="N218" s="22">
        <v>215</v>
      </c>
      <c r="O218" s="22" t="s">
        <v>27</v>
      </c>
      <c r="P218" s="22" t="s">
        <v>417</v>
      </c>
      <c r="Q218" s="22" t="s">
        <v>18</v>
      </c>
      <c r="R218" s="22" t="s">
        <v>17</v>
      </c>
      <c r="S218" s="22" t="s">
        <v>29</v>
      </c>
      <c r="T218" s="22" t="s">
        <v>17</v>
      </c>
      <c r="U218" s="22" t="s">
        <v>30</v>
      </c>
      <c r="V218" s="22" t="s">
        <v>17</v>
      </c>
      <c r="W218" s="22" t="s">
        <v>34</v>
      </c>
      <c r="X218" s="22" t="s">
        <v>418</v>
      </c>
    </row>
    <row r="219" spans="1:24">
      <c r="A219" s="28">
        <f>IF(B219="","",ROW()-COUNTBLANK($B$4:B219)-3)</f>
        <v>216</v>
      </c>
      <c r="B219" s="28" t="str">
        <f>'web survey'!C217</f>
        <v>FU-Z1-Eng</v>
      </c>
      <c r="C219" s="29" t="str">
        <f>'web survey'!AA217</f>
        <v>204472276</v>
      </c>
      <c r="D219" s="30" t="str">
        <f>IF(B219="FU-ACInstall",VLOOKUP(VALUE('web survey'!D217),ref!$B$6:$C$7,2,0)&amp;" ("&amp;'web survey'!D217&amp;")",VLOOKUP(VALUE('web survey'!D217),ref!$E$6:$F$10,2,0)&amp;" ("&amp;'web survey'!D217&amp;")")</f>
        <v>Not Good (-10)</v>
      </c>
      <c r="E219" s="32" t="str">
        <f>'web survey'!S217</f>
        <v/>
      </c>
      <c r="F219" s="30" t="str">
        <f>IF(B219="FU-ACInstall",VLOOKUP(VALUE('web survey'!E217),ref!$B$10:$C$12,2,0)&amp;" ("&amp;'web survey'!E217&amp;")",VLOOKUP(VALUE('web survey'!E217),ref!$E$13:$F$17,2,0)&amp;" ("&amp;'web survey'!E217&amp;")")</f>
        <v>Average (3)</v>
      </c>
      <c r="G219" s="32" t="str">
        <f>'web survey'!T217</f>
        <v/>
      </c>
      <c r="H219" s="30" t="str">
        <f>IF(B219="FU-ACInstall",VLOOKUP(VALUE('web survey'!F217),ref!$B$15:$C$17,2,0)&amp;" ("&amp;'web survey'!F217&amp;")",VLOOKUP(VALUE('web survey'!F217),ref!$E$20:$F$21,2,0)&amp;" ("&amp;'web survey'!F217&amp;")")</f>
        <v>Appropriate with SAP / in Warranty (10)</v>
      </c>
      <c r="I219" s="32" t="str">
        <f>'web survey'!U217</f>
        <v/>
      </c>
      <c r="J219" s="30" t="str">
        <f>IF(B219="FU-ACInstall","-",VLOOKUP(VALUE('web survey'!G217),ref!$E$24:$F$26,2,0)&amp;" ("&amp;'web survey'!G217&amp;")")</f>
        <v>Kurang jelas (3)</v>
      </c>
      <c r="K219" s="28" t="str">
        <f>YEAR('web survey'!Z217)&amp;"-"&amp;IF(MONTH('web survey'!Z217)&lt;10,"0"&amp;MONTH('web survey'!Z217),MONTH('web survey'!Z217))&amp;"-"&amp;IF(DAY('web survey'!Z217)&lt;10,"0"&amp;DAY('web survey'!Z217),DAY('web survey'!Z217))&amp;" "&amp;IF(HOUR('web survey'!Z217)&lt;10,"0"&amp;HOUR('web survey'!Z217),HOUR('web survey'!Z217))&amp;":"&amp;IF(MINUTE('web survey'!Z217)&lt;10,"0"&amp;MINUTE('web survey'!Z217),MINUTE('web survey'!Z217))&amp;(":00'")</f>
        <v>2026-06-12 15:24:00'</v>
      </c>
      <c r="N219" s="22">
        <v>216</v>
      </c>
      <c r="O219" s="22" t="s">
        <v>27</v>
      </c>
      <c r="P219" s="22" t="s">
        <v>419</v>
      </c>
      <c r="Q219" s="22" t="s">
        <v>33</v>
      </c>
      <c r="R219" s="22" t="s">
        <v>17</v>
      </c>
      <c r="S219" s="22" t="s">
        <v>204</v>
      </c>
      <c r="T219" s="22" t="s">
        <v>17</v>
      </c>
      <c r="U219" s="22" t="s">
        <v>30</v>
      </c>
      <c r="V219" s="22" t="s">
        <v>17</v>
      </c>
      <c r="W219" s="22" t="s">
        <v>154</v>
      </c>
      <c r="X219" s="22" t="s">
        <v>420</v>
      </c>
    </row>
    <row r="220" spans="1:24">
      <c r="A220" s="28">
        <f>IF(B220="","",ROW()-COUNTBLANK($B$4:B220)-3)</f>
        <v>217</v>
      </c>
      <c r="B220" s="28" t="str">
        <f>'web survey'!C218</f>
        <v>FU-Z1-Eng</v>
      </c>
      <c r="C220" s="29" t="str">
        <f>'web survey'!AA218</f>
        <v>204472838</v>
      </c>
      <c r="D220" s="30" t="str">
        <f>IF(B220="FU-ACInstall",VLOOKUP(VALUE('web survey'!D218),ref!$B$6:$C$7,2,0)&amp;" ("&amp;'web survey'!D218&amp;")",VLOOKUP(VALUE('web survey'!D218),ref!$E$6:$F$10,2,0)&amp;" ("&amp;'web survey'!D218&amp;")")</f>
        <v>Good (10)</v>
      </c>
      <c r="E220" s="32" t="str">
        <f>'web survey'!S218</f>
        <v/>
      </c>
      <c r="F220" s="30" t="str">
        <f>IF(B220="FU-ACInstall",VLOOKUP(VALUE('web survey'!E218),ref!$B$10:$C$12,2,0)&amp;" ("&amp;'web survey'!E218&amp;")",VLOOKUP(VALUE('web survey'!E218),ref!$E$13:$F$17,2,0)&amp;" ("&amp;'web survey'!E218&amp;")")</f>
        <v>Good (5)</v>
      </c>
      <c r="G220" s="32" t="str">
        <f>'web survey'!T218</f>
        <v/>
      </c>
      <c r="H220" s="30" t="str">
        <f>IF(B220="FU-ACInstall",VLOOKUP(VALUE('web survey'!F218),ref!$B$15:$C$17,2,0)&amp;" ("&amp;'web survey'!F218&amp;")",VLOOKUP(VALUE('web survey'!F218),ref!$E$20:$F$21,2,0)&amp;" ("&amp;'web survey'!F218&amp;")")</f>
        <v>Appropriate with SAP / in Warranty (10)</v>
      </c>
      <c r="I220" s="32" t="str">
        <f>'web survey'!U218</f>
        <v/>
      </c>
      <c r="J220" s="30" t="str">
        <f>IF(B220="FU-ACInstall","-",VLOOKUP(VALUE('web survey'!G218),ref!$E$24:$F$26,2,0)&amp;" ("&amp;'web survey'!G218&amp;")")</f>
        <v>Jelas (5)</v>
      </c>
      <c r="K220" s="28" t="str">
        <f>YEAR('web survey'!Z218)&amp;"-"&amp;IF(MONTH('web survey'!Z218)&lt;10,"0"&amp;MONTH('web survey'!Z218),MONTH('web survey'!Z218))&amp;"-"&amp;IF(DAY('web survey'!Z218)&lt;10,"0"&amp;DAY('web survey'!Z218),DAY('web survey'!Z218))&amp;" "&amp;IF(HOUR('web survey'!Z218)&lt;10,"0"&amp;HOUR('web survey'!Z218),HOUR('web survey'!Z218))&amp;":"&amp;IF(MINUTE('web survey'!Z218)&lt;10,"0"&amp;MINUTE('web survey'!Z218),MINUTE('web survey'!Z218))&amp;(":00'")</f>
        <v>2026-06-12 15:23:00'</v>
      </c>
      <c r="N220" s="22">
        <v>217</v>
      </c>
      <c r="O220" s="22" t="s">
        <v>27</v>
      </c>
      <c r="P220" s="22" t="s">
        <v>421</v>
      </c>
      <c r="Q220" s="22" t="s">
        <v>18</v>
      </c>
      <c r="R220" s="22" t="s">
        <v>17</v>
      </c>
      <c r="S220" s="22" t="s">
        <v>29</v>
      </c>
      <c r="T220" s="22" t="s">
        <v>17</v>
      </c>
      <c r="U220" s="22" t="s">
        <v>30</v>
      </c>
      <c r="V220" s="22" t="s">
        <v>17</v>
      </c>
      <c r="W220" s="22" t="s">
        <v>34</v>
      </c>
      <c r="X220" s="22" t="s">
        <v>422</v>
      </c>
    </row>
    <row r="221" spans="1:24">
      <c r="A221" s="28">
        <f>IF(B221="","",ROW()-COUNTBLANK($B$4:B221)-3)</f>
        <v>218</v>
      </c>
      <c r="B221" s="28" t="str">
        <f>'web survey'!C219</f>
        <v>FU-Z1-Eng</v>
      </c>
      <c r="C221" s="29" t="str">
        <f>'web survey'!AA219</f>
        <v>204472359</v>
      </c>
      <c r="D221" s="30" t="str">
        <f>IF(B221="FU-ACInstall",VLOOKUP(VALUE('web survey'!D219),ref!$B$6:$C$7,2,0)&amp;" ("&amp;'web survey'!D219&amp;")",VLOOKUP(VALUE('web survey'!D219),ref!$E$6:$F$10,2,0)&amp;" ("&amp;'web survey'!D219&amp;")")</f>
        <v>Good (10)</v>
      </c>
      <c r="E221" s="32" t="str">
        <f>'web survey'!S219</f>
        <v/>
      </c>
      <c r="F221" s="30" t="str">
        <f>IF(B221="FU-ACInstall",VLOOKUP(VALUE('web survey'!E219),ref!$B$10:$C$12,2,0)&amp;" ("&amp;'web survey'!E219&amp;")",VLOOKUP(VALUE('web survey'!E219),ref!$E$13:$F$17,2,0)&amp;" ("&amp;'web survey'!E219&amp;")")</f>
        <v>Very Good (10)</v>
      </c>
      <c r="G221" s="32" t="str">
        <f>'web survey'!T219</f>
        <v/>
      </c>
      <c r="H221" s="30" t="str">
        <f>IF(B221="FU-ACInstall",VLOOKUP(VALUE('web survey'!F219),ref!$B$15:$C$17,2,0)&amp;" ("&amp;'web survey'!F219&amp;")",VLOOKUP(VALUE('web survey'!F219),ref!$E$20:$F$21,2,0)&amp;" ("&amp;'web survey'!F219&amp;")")</f>
        <v>Appropriate with SAP / in Warranty (10)</v>
      </c>
      <c r="I221" s="32" t="str">
        <f>'web survey'!U219</f>
        <v/>
      </c>
      <c r="J221" s="30" t="str">
        <f>IF(B221="FU-ACInstall","-",VLOOKUP(VALUE('web survey'!G219),ref!$E$24:$F$26,2,0)&amp;" ("&amp;'web survey'!G219&amp;")")</f>
        <v>Jelas (5)</v>
      </c>
      <c r="K221" s="28" t="str">
        <f>YEAR('web survey'!Z219)&amp;"-"&amp;IF(MONTH('web survey'!Z219)&lt;10,"0"&amp;MONTH('web survey'!Z219),MONTH('web survey'!Z219))&amp;"-"&amp;IF(DAY('web survey'!Z219)&lt;10,"0"&amp;DAY('web survey'!Z219),DAY('web survey'!Z219))&amp;" "&amp;IF(HOUR('web survey'!Z219)&lt;10,"0"&amp;HOUR('web survey'!Z219),HOUR('web survey'!Z219))&amp;":"&amp;IF(MINUTE('web survey'!Z219)&lt;10,"0"&amp;MINUTE('web survey'!Z219),MINUTE('web survey'!Z219))&amp;(":00'")</f>
        <v>2026-06-12 15:23:00'</v>
      </c>
      <c r="N221" s="22">
        <v>218</v>
      </c>
      <c r="O221" s="22" t="s">
        <v>27</v>
      </c>
      <c r="P221" s="22" t="s">
        <v>423</v>
      </c>
      <c r="Q221" s="22" t="s">
        <v>18</v>
      </c>
      <c r="R221" s="22" t="s">
        <v>17</v>
      </c>
      <c r="S221" s="22" t="s">
        <v>37</v>
      </c>
      <c r="T221" s="22" t="s">
        <v>17</v>
      </c>
      <c r="U221" s="22" t="s">
        <v>30</v>
      </c>
      <c r="V221" s="22" t="s">
        <v>17</v>
      </c>
      <c r="W221" s="22" t="s">
        <v>34</v>
      </c>
      <c r="X221" s="22" t="s">
        <v>422</v>
      </c>
    </row>
    <row r="222" spans="1:24">
      <c r="A222" s="28">
        <f>IF(B222="","",ROW()-COUNTBLANK($B$4:B222)-3)</f>
        <v>219</v>
      </c>
      <c r="B222" s="28" t="str">
        <f>'web survey'!C220</f>
        <v>FU-Z1-Eng</v>
      </c>
      <c r="C222" s="29" t="str">
        <f>'web survey'!AA220</f>
        <v>1516A2600132</v>
      </c>
      <c r="D222" s="30" t="str">
        <f>IF(B222="FU-ACInstall",VLOOKUP(VALUE('web survey'!D220),ref!$B$6:$C$7,2,0)&amp;" ("&amp;'web survey'!D220&amp;")",VLOOKUP(VALUE('web survey'!D220),ref!$E$6:$F$10,2,0)&amp;" ("&amp;'web survey'!D220&amp;")")</f>
        <v>Good (10)</v>
      </c>
      <c r="E222" s="32" t="str">
        <f>'web survey'!S220</f>
        <v/>
      </c>
      <c r="F222" s="30" t="str">
        <f>IF(B222="FU-ACInstall",VLOOKUP(VALUE('web survey'!E220),ref!$B$10:$C$12,2,0)&amp;" ("&amp;'web survey'!E220&amp;")",VLOOKUP(VALUE('web survey'!E220),ref!$E$13:$F$17,2,0)&amp;" ("&amp;'web survey'!E220&amp;")")</f>
        <v>Very Good (10)</v>
      </c>
      <c r="G222" s="32" t="str">
        <f>'web survey'!T220</f>
        <v/>
      </c>
      <c r="H222" s="30" t="str">
        <f>IF(B222="FU-ACInstall",VLOOKUP(VALUE('web survey'!F220),ref!$B$15:$C$17,2,0)&amp;" ("&amp;'web survey'!F220&amp;")",VLOOKUP(VALUE('web survey'!F220),ref!$E$20:$F$21,2,0)&amp;" ("&amp;'web survey'!F220&amp;")")</f>
        <v>Appropriate with SAP / in Warranty (10)</v>
      </c>
      <c r="I222" s="32" t="str">
        <f>'web survey'!U220</f>
        <v/>
      </c>
      <c r="J222" s="30" t="str">
        <f>IF(B222="FU-ACInstall","-",VLOOKUP(VALUE('web survey'!G220),ref!$E$24:$F$26,2,0)&amp;" ("&amp;'web survey'!G220&amp;")")</f>
        <v>Jelas (5)</v>
      </c>
      <c r="K222" s="28" t="str">
        <f>YEAR('web survey'!Z220)&amp;"-"&amp;IF(MONTH('web survey'!Z220)&lt;10,"0"&amp;MONTH('web survey'!Z220),MONTH('web survey'!Z220))&amp;"-"&amp;IF(DAY('web survey'!Z220)&lt;10,"0"&amp;DAY('web survey'!Z220),DAY('web survey'!Z220))&amp;" "&amp;IF(HOUR('web survey'!Z220)&lt;10,"0"&amp;HOUR('web survey'!Z220),HOUR('web survey'!Z220))&amp;":"&amp;IF(MINUTE('web survey'!Z220)&lt;10,"0"&amp;MINUTE('web survey'!Z220),MINUTE('web survey'!Z220))&amp;(":00'")</f>
        <v>2026-06-12 15:20:00'</v>
      </c>
      <c r="N222" s="22">
        <v>219</v>
      </c>
      <c r="O222" s="22" t="s">
        <v>27</v>
      </c>
      <c r="P222" s="22" t="s">
        <v>424</v>
      </c>
      <c r="Q222" s="22" t="s">
        <v>18</v>
      </c>
      <c r="R222" s="22" t="s">
        <v>17</v>
      </c>
      <c r="S222" s="22" t="s">
        <v>37</v>
      </c>
      <c r="T222" s="22" t="s">
        <v>17</v>
      </c>
      <c r="U222" s="22" t="s">
        <v>30</v>
      </c>
      <c r="V222" s="22" t="s">
        <v>17</v>
      </c>
      <c r="W222" s="22" t="s">
        <v>34</v>
      </c>
      <c r="X222" s="22" t="s">
        <v>425</v>
      </c>
    </row>
    <row r="223" spans="1:24">
      <c r="A223" s="28">
        <f>IF(B223="","",ROW()-COUNTBLANK($B$4:B223)-3)</f>
        <v>220</v>
      </c>
      <c r="B223" s="28" t="str">
        <f>'web survey'!C221</f>
        <v>FU-Z1-Eng</v>
      </c>
      <c r="C223" s="29" t="str">
        <f>'web survey'!AA221</f>
        <v>204469505</v>
      </c>
      <c r="D223" s="30" t="str">
        <f>IF(B223="FU-ACInstall",VLOOKUP(VALUE('web survey'!D221),ref!$B$6:$C$7,2,0)&amp;" ("&amp;'web survey'!D221&amp;")",VLOOKUP(VALUE('web survey'!D221),ref!$E$6:$F$10,2,0)&amp;" ("&amp;'web survey'!D221&amp;")")</f>
        <v>Good (10)</v>
      </c>
      <c r="E223" s="32" t="str">
        <f>'web survey'!S221</f>
        <v/>
      </c>
      <c r="F223" s="30" t="str">
        <f>IF(B223="FU-ACInstall",VLOOKUP(VALUE('web survey'!E221),ref!$B$10:$C$12,2,0)&amp;" ("&amp;'web survey'!E221&amp;")",VLOOKUP(VALUE('web survey'!E221),ref!$E$13:$F$17,2,0)&amp;" ("&amp;'web survey'!E221&amp;")")</f>
        <v>Very Good (10)</v>
      </c>
      <c r="G223" s="32" t="str">
        <f>'web survey'!T221</f>
        <v/>
      </c>
      <c r="H223" s="30" t="str">
        <f>IF(B223="FU-ACInstall",VLOOKUP(VALUE('web survey'!F221),ref!$B$15:$C$17,2,0)&amp;" ("&amp;'web survey'!F221&amp;")",VLOOKUP(VALUE('web survey'!F221),ref!$E$20:$F$21,2,0)&amp;" ("&amp;'web survey'!F221&amp;")")</f>
        <v>Appropriate with SAP / in Warranty (10)</v>
      </c>
      <c r="I223" s="32" t="str">
        <f>'web survey'!U221</f>
        <v/>
      </c>
      <c r="J223" s="30" t="str">
        <f>IF(B223="FU-ACInstall","-",VLOOKUP(VALUE('web survey'!G221),ref!$E$24:$F$26,2,0)&amp;" ("&amp;'web survey'!G221&amp;")")</f>
        <v>Jelas (5)</v>
      </c>
      <c r="K223" s="28" t="str">
        <f>YEAR('web survey'!Z221)&amp;"-"&amp;IF(MONTH('web survey'!Z221)&lt;10,"0"&amp;MONTH('web survey'!Z221),MONTH('web survey'!Z221))&amp;"-"&amp;IF(DAY('web survey'!Z221)&lt;10,"0"&amp;DAY('web survey'!Z221),DAY('web survey'!Z221))&amp;" "&amp;IF(HOUR('web survey'!Z221)&lt;10,"0"&amp;HOUR('web survey'!Z221),HOUR('web survey'!Z221))&amp;":"&amp;IF(MINUTE('web survey'!Z221)&lt;10,"0"&amp;MINUTE('web survey'!Z221),MINUTE('web survey'!Z221))&amp;(":00'")</f>
        <v>2026-06-12 15:19:00'</v>
      </c>
      <c r="N223" s="22">
        <v>220</v>
      </c>
      <c r="O223" s="22" t="s">
        <v>27</v>
      </c>
      <c r="P223" s="22" t="s">
        <v>426</v>
      </c>
      <c r="Q223" s="22" t="s">
        <v>18</v>
      </c>
      <c r="R223" s="22" t="s">
        <v>17</v>
      </c>
      <c r="S223" s="22" t="s">
        <v>37</v>
      </c>
      <c r="T223" s="22" t="s">
        <v>17</v>
      </c>
      <c r="U223" s="22" t="s">
        <v>30</v>
      </c>
      <c r="V223" s="22" t="s">
        <v>17</v>
      </c>
      <c r="W223" s="22" t="s">
        <v>34</v>
      </c>
      <c r="X223" s="22" t="s">
        <v>427</v>
      </c>
    </row>
    <row r="224" spans="1:24">
      <c r="A224" s="28">
        <f>IF(B224="","",ROW()-COUNTBLANK($B$4:B224)-3)</f>
        <v>221</v>
      </c>
      <c r="B224" s="28" t="str">
        <f>'web survey'!C222</f>
        <v>FU-Z1-Eng</v>
      </c>
      <c r="C224" s="29" t="str">
        <f>'web survey'!AA222</f>
        <v>204467696</v>
      </c>
      <c r="D224" s="30" t="str">
        <f>IF(B224="FU-ACInstall",VLOOKUP(VALUE('web survey'!D222),ref!$B$6:$C$7,2,0)&amp;" ("&amp;'web survey'!D222&amp;")",VLOOKUP(VALUE('web survey'!D222),ref!$E$6:$F$10,2,0)&amp;" ("&amp;'web survey'!D222&amp;")")</f>
        <v>Good (10)</v>
      </c>
      <c r="E224" s="32" t="str">
        <f>'web survey'!S222</f>
        <v/>
      </c>
      <c r="F224" s="30" t="str">
        <f>IF(B224="FU-ACInstall",VLOOKUP(VALUE('web survey'!E222),ref!$B$10:$C$12,2,0)&amp;" ("&amp;'web survey'!E222&amp;")",VLOOKUP(VALUE('web survey'!E222),ref!$E$13:$F$17,2,0)&amp;" ("&amp;'web survey'!E222&amp;")")</f>
        <v>Very Good (10)</v>
      </c>
      <c r="G224" s="32" t="str">
        <f>'web survey'!T222</f>
        <v/>
      </c>
      <c r="H224" s="30" t="str">
        <f>IF(B224="FU-ACInstall",VLOOKUP(VALUE('web survey'!F222),ref!$B$15:$C$17,2,0)&amp;" ("&amp;'web survey'!F222&amp;")",VLOOKUP(VALUE('web survey'!F222),ref!$E$20:$F$21,2,0)&amp;" ("&amp;'web survey'!F222&amp;")")</f>
        <v>Appropriate with SAP / in Warranty (10)</v>
      </c>
      <c r="I224" s="32" t="str">
        <f>'web survey'!U222</f>
        <v/>
      </c>
      <c r="J224" s="30" t="str">
        <f>IF(B224="FU-ACInstall","-",VLOOKUP(VALUE('web survey'!G222),ref!$E$24:$F$26,2,0)&amp;" ("&amp;'web survey'!G222&amp;")")</f>
        <v>Jelas (5)</v>
      </c>
      <c r="K224" s="28" t="str">
        <f>YEAR('web survey'!Z222)&amp;"-"&amp;IF(MONTH('web survey'!Z222)&lt;10,"0"&amp;MONTH('web survey'!Z222),MONTH('web survey'!Z222))&amp;"-"&amp;IF(DAY('web survey'!Z222)&lt;10,"0"&amp;DAY('web survey'!Z222),DAY('web survey'!Z222))&amp;" "&amp;IF(HOUR('web survey'!Z222)&lt;10,"0"&amp;HOUR('web survey'!Z222),HOUR('web survey'!Z222))&amp;":"&amp;IF(MINUTE('web survey'!Z222)&lt;10,"0"&amp;MINUTE('web survey'!Z222),MINUTE('web survey'!Z222))&amp;(":00'")</f>
        <v>2026-06-12 15:17:00'</v>
      </c>
      <c r="N224" s="22">
        <v>221</v>
      </c>
      <c r="O224" s="22" t="s">
        <v>27</v>
      </c>
      <c r="P224" s="22" t="s">
        <v>428</v>
      </c>
      <c r="Q224" s="22" t="s">
        <v>18</v>
      </c>
      <c r="R224" s="22" t="s">
        <v>17</v>
      </c>
      <c r="S224" s="22" t="s">
        <v>37</v>
      </c>
      <c r="T224" s="22" t="s">
        <v>17</v>
      </c>
      <c r="U224" s="22" t="s">
        <v>30</v>
      </c>
      <c r="V224" s="22" t="s">
        <v>17</v>
      </c>
      <c r="W224" s="22" t="s">
        <v>34</v>
      </c>
      <c r="X224" s="22" t="s">
        <v>429</v>
      </c>
    </row>
    <row r="225" spans="1:24">
      <c r="A225" s="28">
        <f>IF(B225="","",ROW()-COUNTBLANK($B$4:B225)-3)</f>
        <v>222</v>
      </c>
      <c r="B225" s="28" t="str">
        <f>'web survey'!C223</f>
        <v>FU-Z1-Eng</v>
      </c>
      <c r="C225" s="29" t="str">
        <f>'web survey'!AA223</f>
        <v>100987817</v>
      </c>
      <c r="D225" s="30" t="str">
        <f>IF(B225="FU-ACInstall",VLOOKUP(VALUE('web survey'!D223),ref!$B$6:$C$7,2,0)&amp;" ("&amp;'web survey'!D223&amp;")",VLOOKUP(VALUE('web survey'!D223),ref!$E$6:$F$10,2,0)&amp;" ("&amp;'web survey'!D223&amp;")")</f>
        <v>Good (10)</v>
      </c>
      <c r="E225" s="32" t="str">
        <f>'web survey'!S223</f>
        <v/>
      </c>
      <c r="F225" s="30" t="str">
        <f>IF(B225="FU-ACInstall",VLOOKUP(VALUE('web survey'!E223),ref!$B$10:$C$12,2,0)&amp;" ("&amp;'web survey'!E223&amp;")",VLOOKUP(VALUE('web survey'!E223),ref!$E$13:$F$17,2,0)&amp;" ("&amp;'web survey'!E223&amp;")")</f>
        <v>Very Good (10)</v>
      </c>
      <c r="G225" s="32" t="str">
        <f>'web survey'!T223</f>
        <v/>
      </c>
      <c r="H225" s="30" t="str">
        <f>IF(B225="FU-ACInstall",VLOOKUP(VALUE('web survey'!F223),ref!$B$15:$C$17,2,0)&amp;" ("&amp;'web survey'!F223&amp;")",VLOOKUP(VALUE('web survey'!F223),ref!$E$20:$F$21,2,0)&amp;" ("&amp;'web survey'!F223&amp;")")</f>
        <v>Appropriate with SAP / in Warranty (10)</v>
      </c>
      <c r="I225" s="32" t="str">
        <f>'web survey'!U223</f>
        <v/>
      </c>
      <c r="J225" s="30" t="str">
        <f>IF(B225="FU-ACInstall","-",VLOOKUP(VALUE('web survey'!G223),ref!$E$24:$F$26,2,0)&amp;" ("&amp;'web survey'!G223&amp;")")</f>
        <v>Jelas (5)</v>
      </c>
      <c r="K225" s="28" t="str">
        <f>YEAR('web survey'!Z223)&amp;"-"&amp;IF(MONTH('web survey'!Z223)&lt;10,"0"&amp;MONTH('web survey'!Z223),MONTH('web survey'!Z223))&amp;"-"&amp;IF(DAY('web survey'!Z223)&lt;10,"0"&amp;DAY('web survey'!Z223),DAY('web survey'!Z223))&amp;" "&amp;IF(HOUR('web survey'!Z223)&lt;10,"0"&amp;HOUR('web survey'!Z223),HOUR('web survey'!Z223))&amp;":"&amp;IF(MINUTE('web survey'!Z223)&lt;10,"0"&amp;MINUTE('web survey'!Z223),MINUTE('web survey'!Z223))&amp;(":00'")</f>
        <v>2026-06-12 15:16:00'</v>
      </c>
      <c r="N225" s="22">
        <v>222</v>
      </c>
      <c r="O225" s="22" t="s">
        <v>27</v>
      </c>
      <c r="P225" s="22" t="s">
        <v>430</v>
      </c>
      <c r="Q225" s="22" t="s">
        <v>18</v>
      </c>
      <c r="R225" s="22" t="s">
        <v>17</v>
      </c>
      <c r="S225" s="22" t="s">
        <v>37</v>
      </c>
      <c r="T225" s="22" t="s">
        <v>17</v>
      </c>
      <c r="U225" s="22" t="s">
        <v>30</v>
      </c>
      <c r="V225" s="22" t="s">
        <v>17</v>
      </c>
      <c r="W225" s="22" t="s">
        <v>34</v>
      </c>
      <c r="X225" s="22" t="s">
        <v>431</v>
      </c>
    </row>
    <row r="226" spans="1:24">
      <c r="A226" s="28">
        <f>IF(B226="","",ROW()-COUNTBLANK($B$4:B226)-3)</f>
        <v>223</v>
      </c>
      <c r="B226" s="28" t="str">
        <f>'web survey'!C224</f>
        <v>FU-Z1-Eng</v>
      </c>
      <c r="C226" s="29" t="str">
        <f>'web survey'!AA224</f>
        <v>100988457</v>
      </c>
      <c r="D226" s="30" t="str">
        <f>IF(B226="FU-ACInstall",VLOOKUP(VALUE('web survey'!D224),ref!$B$6:$C$7,2,0)&amp;" ("&amp;'web survey'!D224&amp;")",VLOOKUP(VALUE('web survey'!D224),ref!$E$6:$F$10,2,0)&amp;" ("&amp;'web survey'!D224&amp;")")</f>
        <v>Good (10)</v>
      </c>
      <c r="E226" s="32" t="str">
        <f>'web survey'!S224</f>
        <v/>
      </c>
      <c r="F226" s="30" t="str">
        <f>IF(B226="FU-ACInstall",VLOOKUP(VALUE('web survey'!E224),ref!$B$10:$C$12,2,0)&amp;" ("&amp;'web survey'!E224&amp;")",VLOOKUP(VALUE('web survey'!E224),ref!$E$13:$F$17,2,0)&amp;" ("&amp;'web survey'!E224&amp;")")</f>
        <v>Very Good (10)</v>
      </c>
      <c r="G226" s="32" t="str">
        <f>'web survey'!T224</f>
        <v/>
      </c>
      <c r="H226" s="30" t="str">
        <f>IF(B226="FU-ACInstall",VLOOKUP(VALUE('web survey'!F224),ref!$B$15:$C$17,2,0)&amp;" ("&amp;'web survey'!F224&amp;")",VLOOKUP(VALUE('web survey'!F224),ref!$E$20:$F$21,2,0)&amp;" ("&amp;'web survey'!F224&amp;")")</f>
        <v>Appropriate with SAP / in Warranty (10)</v>
      </c>
      <c r="I226" s="32" t="str">
        <f>'web survey'!U224</f>
        <v/>
      </c>
      <c r="J226" s="30" t="str">
        <f>IF(B226="FU-ACInstall","-",VLOOKUP(VALUE('web survey'!G224),ref!$E$24:$F$26,2,0)&amp;" ("&amp;'web survey'!G224&amp;")")</f>
        <v>Jelas (5)</v>
      </c>
      <c r="K226" s="28" t="str">
        <f>YEAR('web survey'!Z224)&amp;"-"&amp;IF(MONTH('web survey'!Z224)&lt;10,"0"&amp;MONTH('web survey'!Z224),MONTH('web survey'!Z224))&amp;"-"&amp;IF(DAY('web survey'!Z224)&lt;10,"0"&amp;DAY('web survey'!Z224),DAY('web survey'!Z224))&amp;" "&amp;IF(HOUR('web survey'!Z224)&lt;10,"0"&amp;HOUR('web survey'!Z224),HOUR('web survey'!Z224))&amp;":"&amp;IF(MINUTE('web survey'!Z224)&lt;10,"0"&amp;MINUTE('web survey'!Z224),MINUTE('web survey'!Z224))&amp;(":00'")</f>
        <v>2026-06-12 15:15:00'</v>
      </c>
      <c r="N226" s="22">
        <v>223</v>
      </c>
      <c r="O226" s="22" t="s">
        <v>27</v>
      </c>
      <c r="P226" s="22" t="s">
        <v>432</v>
      </c>
      <c r="Q226" s="22" t="s">
        <v>18</v>
      </c>
      <c r="R226" s="22" t="s">
        <v>17</v>
      </c>
      <c r="S226" s="22" t="s">
        <v>37</v>
      </c>
      <c r="T226" s="22" t="s">
        <v>17</v>
      </c>
      <c r="U226" s="22" t="s">
        <v>30</v>
      </c>
      <c r="V226" s="22" t="s">
        <v>17</v>
      </c>
      <c r="W226" s="22" t="s">
        <v>34</v>
      </c>
      <c r="X226" s="22" t="s">
        <v>433</v>
      </c>
    </row>
    <row r="227" spans="1:24">
      <c r="A227" s="28">
        <f>IF(B227="","",ROW()-COUNTBLANK($B$4:B227)-3)</f>
        <v>224</v>
      </c>
      <c r="B227" s="28" t="str">
        <f>'web survey'!C225</f>
        <v>FU-Z1-Eng</v>
      </c>
      <c r="C227" s="29" t="str">
        <f>'web survey'!AA225</f>
        <v>1105A2602778</v>
      </c>
      <c r="D227" s="30" t="str">
        <f>IF(B227="FU-ACInstall",VLOOKUP(VALUE('web survey'!D225),ref!$B$6:$C$7,2,0)&amp;" ("&amp;'web survey'!D225&amp;")",VLOOKUP(VALUE('web survey'!D225),ref!$E$6:$F$10,2,0)&amp;" ("&amp;'web survey'!D225&amp;")")</f>
        <v>Good (10)</v>
      </c>
      <c r="E227" s="32" t="str">
        <f>'web survey'!S225</f>
        <v/>
      </c>
      <c r="F227" s="30" t="str">
        <f>IF(B227="FU-ACInstall",VLOOKUP(VALUE('web survey'!E225),ref!$B$10:$C$12,2,0)&amp;" ("&amp;'web survey'!E225&amp;")",VLOOKUP(VALUE('web survey'!E225),ref!$E$13:$F$17,2,0)&amp;" ("&amp;'web survey'!E225&amp;")")</f>
        <v>Very Good (10)</v>
      </c>
      <c r="G227" s="32" t="str">
        <f>'web survey'!T225</f>
        <v/>
      </c>
      <c r="H227" s="30" t="str">
        <f>IF(B227="FU-ACInstall",VLOOKUP(VALUE('web survey'!F225),ref!$B$15:$C$17,2,0)&amp;" ("&amp;'web survey'!F225&amp;")",VLOOKUP(VALUE('web survey'!F225),ref!$E$20:$F$21,2,0)&amp;" ("&amp;'web survey'!F225&amp;")")</f>
        <v>Appropriate with SAP / in Warranty (10)</v>
      </c>
      <c r="I227" s="32" t="str">
        <f>'web survey'!U225</f>
        <v/>
      </c>
      <c r="J227" s="30" t="str">
        <f>IF(B227="FU-ACInstall","-",VLOOKUP(VALUE('web survey'!G225),ref!$E$24:$F$26,2,0)&amp;" ("&amp;'web survey'!G225&amp;")")</f>
        <v>Jelas (5)</v>
      </c>
      <c r="K227" s="28" t="str">
        <f>YEAR('web survey'!Z225)&amp;"-"&amp;IF(MONTH('web survey'!Z225)&lt;10,"0"&amp;MONTH('web survey'!Z225),MONTH('web survey'!Z225))&amp;"-"&amp;IF(DAY('web survey'!Z225)&lt;10,"0"&amp;DAY('web survey'!Z225),DAY('web survey'!Z225))&amp;" "&amp;IF(HOUR('web survey'!Z225)&lt;10,"0"&amp;HOUR('web survey'!Z225),HOUR('web survey'!Z225))&amp;":"&amp;IF(MINUTE('web survey'!Z225)&lt;10,"0"&amp;MINUTE('web survey'!Z225),MINUTE('web survey'!Z225))&amp;(":00'")</f>
        <v>2026-06-12 15:14:00'</v>
      </c>
      <c r="N227" s="22">
        <v>224</v>
      </c>
      <c r="O227" s="22" t="s">
        <v>27</v>
      </c>
      <c r="P227" s="22" t="s">
        <v>434</v>
      </c>
      <c r="Q227" s="22" t="s">
        <v>18</v>
      </c>
      <c r="R227" s="22" t="s">
        <v>17</v>
      </c>
      <c r="S227" s="22" t="s">
        <v>37</v>
      </c>
      <c r="T227" s="22" t="s">
        <v>17</v>
      </c>
      <c r="U227" s="22" t="s">
        <v>30</v>
      </c>
      <c r="V227" s="22" t="s">
        <v>17</v>
      </c>
      <c r="W227" s="22" t="s">
        <v>34</v>
      </c>
      <c r="X227" s="22" t="s">
        <v>435</v>
      </c>
    </row>
    <row r="228" spans="1:24">
      <c r="A228" s="28">
        <f>IF(B228="","",ROW()-COUNTBLANK($B$4:B228)-3)</f>
        <v>225</v>
      </c>
      <c r="B228" s="28" t="str">
        <f>'web survey'!C226</f>
        <v>FU-Z1-Eng</v>
      </c>
      <c r="C228" s="29" t="str">
        <f>'web survey'!AA226</f>
        <v>1714A2600144</v>
      </c>
      <c r="D228" s="30" t="str">
        <f>IF(B228="FU-ACInstall",VLOOKUP(VALUE('web survey'!D226),ref!$B$6:$C$7,2,0)&amp;" ("&amp;'web survey'!D226&amp;")",VLOOKUP(VALUE('web survey'!D226),ref!$E$6:$F$10,2,0)&amp;" ("&amp;'web survey'!D226&amp;")")</f>
        <v>Good (10)</v>
      </c>
      <c r="E228" s="32" t="str">
        <f>'web survey'!S226</f>
        <v/>
      </c>
      <c r="F228" s="30" t="str">
        <f>IF(B228="FU-ACInstall",VLOOKUP(VALUE('web survey'!E226),ref!$B$10:$C$12,2,0)&amp;" ("&amp;'web survey'!E226&amp;")",VLOOKUP(VALUE('web survey'!E226),ref!$E$13:$F$17,2,0)&amp;" ("&amp;'web survey'!E226&amp;")")</f>
        <v>Good (5)</v>
      </c>
      <c r="G228" s="32" t="str">
        <f>'web survey'!T226</f>
        <v/>
      </c>
      <c r="H228" s="30" t="str">
        <f>IF(B228="FU-ACInstall",VLOOKUP(VALUE('web survey'!F226),ref!$B$15:$C$17,2,0)&amp;" ("&amp;'web survey'!F226&amp;")",VLOOKUP(VALUE('web survey'!F226),ref!$E$20:$F$21,2,0)&amp;" ("&amp;'web survey'!F226&amp;")")</f>
        <v>Appropriate with SAP / in Warranty (10)</v>
      </c>
      <c r="I228" s="32" t="str">
        <f>'web survey'!U226</f>
        <v/>
      </c>
      <c r="J228" s="30" t="str">
        <f>IF(B228="FU-ACInstall","-",VLOOKUP(VALUE('web survey'!G226),ref!$E$24:$F$26,2,0)&amp;" ("&amp;'web survey'!G226&amp;")")</f>
        <v>Jelas (5)</v>
      </c>
      <c r="K228" s="28" t="str">
        <f>YEAR('web survey'!Z226)&amp;"-"&amp;IF(MONTH('web survey'!Z226)&lt;10,"0"&amp;MONTH('web survey'!Z226),MONTH('web survey'!Z226))&amp;"-"&amp;IF(DAY('web survey'!Z226)&lt;10,"0"&amp;DAY('web survey'!Z226),DAY('web survey'!Z226))&amp;" "&amp;IF(HOUR('web survey'!Z226)&lt;10,"0"&amp;HOUR('web survey'!Z226),HOUR('web survey'!Z226))&amp;":"&amp;IF(MINUTE('web survey'!Z226)&lt;10,"0"&amp;MINUTE('web survey'!Z226),MINUTE('web survey'!Z226))&amp;(":00'")</f>
        <v>2026-06-12 15:13:00'</v>
      </c>
      <c r="N228" s="22">
        <v>225</v>
      </c>
      <c r="O228" s="22" t="s">
        <v>27</v>
      </c>
      <c r="P228" s="22" t="s">
        <v>436</v>
      </c>
      <c r="Q228" s="22" t="s">
        <v>18</v>
      </c>
      <c r="R228" s="22" t="s">
        <v>17</v>
      </c>
      <c r="S228" s="22" t="s">
        <v>29</v>
      </c>
      <c r="T228" s="22" t="s">
        <v>17</v>
      </c>
      <c r="U228" s="22" t="s">
        <v>30</v>
      </c>
      <c r="V228" s="22" t="s">
        <v>17</v>
      </c>
      <c r="W228" s="22" t="s">
        <v>34</v>
      </c>
      <c r="X228" s="22" t="s">
        <v>437</v>
      </c>
    </row>
    <row r="229" spans="1:24">
      <c r="A229" s="28">
        <f>IF(B229="","",ROW()-COUNTBLANK($B$4:B229)-3)</f>
        <v>226</v>
      </c>
      <c r="B229" s="28" t="str">
        <f>'web survey'!C227</f>
        <v>FU-Z1-Eng</v>
      </c>
      <c r="C229" s="29" t="str">
        <f>'web survey'!AA227</f>
        <v>1105A2603128</v>
      </c>
      <c r="D229" s="30" t="str">
        <f>IF(B229="FU-ACInstall",VLOOKUP(VALUE('web survey'!D227),ref!$B$6:$C$7,2,0)&amp;" ("&amp;'web survey'!D227&amp;")",VLOOKUP(VALUE('web survey'!D227),ref!$E$6:$F$10,2,0)&amp;" ("&amp;'web survey'!D227&amp;")")</f>
        <v>Good (10)</v>
      </c>
      <c r="E229" s="32" t="str">
        <f>'web survey'!S227</f>
        <v/>
      </c>
      <c r="F229" s="30" t="str">
        <f>IF(B229="FU-ACInstall",VLOOKUP(VALUE('web survey'!E227),ref!$B$10:$C$12,2,0)&amp;" ("&amp;'web survey'!E227&amp;")",VLOOKUP(VALUE('web survey'!E227),ref!$E$13:$F$17,2,0)&amp;" ("&amp;'web survey'!E227&amp;")")</f>
        <v>Very Good (10)</v>
      </c>
      <c r="G229" s="32" t="str">
        <f>'web survey'!T227</f>
        <v/>
      </c>
      <c r="H229" s="30" t="str">
        <f>IF(B229="FU-ACInstall",VLOOKUP(VALUE('web survey'!F227),ref!$B$15:$C$17,2,0)&amp;" ("&amp;'web survey'!F227&amp;")",VLOOKUP(VALUE('web survey'!F227),ref!$E$20:$F$21,2,0)&amp;" ("&amp;'web survey'!F227&amp;")")</f>
        <v>Appropriate with SAP / in Warranty (10)</v>
      </c>
      <c r="I229" s="32" t="str">
        <f>'web survey'!U227</f>
        <v/>
      </c>
      <c r="J229" s="30" t="str">
        <f>IF(B229="FU-ACInstall","-",VLOOKUP(VALUE('web survey'!G227),ref!$E$24:$F$26,2,0)&amp;" ("&amp;'web survey'!G227&amp;")")</f>
        <v>Jelas (5)</v>
      </c>
      <c r="K229" s="28" t="str">
        <f>YEAR('web survey'!Z227)&amp;"-"&amp;IF(MONTH('web survey'!Z227)&lt;10,"0"&amp;MONTH('web survey'!Z227),MONTH('web survey'!Z227))&amp;"-"&amp;IF(DAY('web survey'!Z227)&lt;10,"0"&amp;DAY('web survey'!Z227),DAY('web survey'!Z227))&amp;" "&amp;IF(HOUR('web survey'!Z227)&lt;10,"0"&amp;HOUR('web survey'!Z227),HOUR('web survey'!Z227))&amp;":"&amp;IF(MINUTE('web survey'!Z227)&lt;10,"0"&amp;MINUTE('web survey'!Z227),MINUTE('web survey'!Z227))&amp;(":00'")</f>
        <v>2026-06-12 15:12:00'</v>
      </c>
      <c r="N229" s="22">
        <v>226</v>
      </c>
      <c r="O229" s="22" t="s">
        <v>27</v>
      </c>
      <c r="P229" s="22" t="s">
        <v>438</v>
      </c>
      <c r="Q229" s="22" t="s">
        <v>18</v>
      </c>
      <c r="R229" s="22" t="s">
        <v>17</v>
      </c>
      <c r="S229" s="22" t="s">
        <v>37</v>
      </c>
      <c r="T229" s="22" t="s">
        <v>17</v>
      </c>
      <c r="U229" s="22" t="s">
        <v>30</v>
      </c>
      <c r="V229" s="22" t="s">
        <v>17</v>
      </c>
      <c r="W229" s="22" t="s">
        <v>34</v>
      </c>
      <c r="X229" s="22" t="s">
        <v>439</v>
      </c>
    </row>
    <row r="230" spans="1:24">
      <c r="A230" s="28">
        <f>IF(B230="","",ROW()-COUNTBLANK($B$4:B230)-3)</f>
        <v>227</v>
      </c>
      <c r="B230" s="28" t="str">
        <f>'web survey'!C228</f>
        <v>FU-Z1-Eng</v>
      </c>
      <c r="C230" s="29" t="str">
        <f>'web survey'!AA228</f>
        <v>204472823</v>
      </c>
      <c r="D230" s="30" t="str">
        <f>IF(B230="FU-ACInstall",VLOOKUP(VALUE('web survey'!D228),ref!$B$6:$C$7,2,0)&amp;" ("&amp;'web survey'!D228&amp;")",VLOOKUP(VALUE('web survey'!D228),ref!$E$6:$F$10,2,0)&amp;" ("&amp;'web survey'!D228&amp;")")</f>
        <v>Good (10)</v>
      </c>
      <c r="E230" s="32" t="str">
        <f>'web survey'!S228</f>
        <v/>
      </c>
      <c r="F230" s="30" t="str">
        <f>IF(B230="FU-ACInstall",VLOOKUP(VALUE('web survey'!E228),ref!$B$10:$C$12,2,0)&amp;" ("&amp;'web survey'!E228&amp;")",VLOOKUP(VALUE('web survey'!E228),ref!$E$13:$F$17,2,0)&amp;" ("&amp;'web survey'!E228&amp;")")</f>
        <v>Very Good (10)</v>
      </c>
      <c r="G230" s="32" t="str">
        <f>'web survey'!T228</f>
        <v/>
      </c>
      <c r="H230" s="30" t="str">
        <f>IF(B230="FU-ACInstall",VLOOKUP(VALUE('web survey'!F228),ref!$B$15:$C$17,2,0)&amp;" ("&amp;'web survey'!F228&amp;")",VLOOKUP(VALUE('web survey'!F228),ref!$E$20:$F$21,2,0)&amp;" ("&amp;'web survey'!F228&amp;")")</f>
        <v>Appropriate with SAP / in Warranty (10)</v>
      </c>
      <c r="I230" s="32" t="str">
        <f>'web survey'!U228</f>
        <v/>
      </c>
      <c r="J230" s="30" t="str">
        <f>IF(B230="FU-ACInstall","-",VLOOKUP(VALUE('web survey'!G228),ref!$E$24:$F$26,2,0)&amp;" ("&amp;'web survey'!G228&amp;")")</f>
        <v>Jelas (5)</v>
      </c>
      <c r="K230" s="28" t="str">
        <f>YEAR('web survey'!Z228)&amp;"-"&amp;IF(MONTH('web survey'!Z228)&lt;10,"0"&amp;MONTH('web survey'!Z228),MONTH('web survey'!Z228))&amp;"-"&amp;IF(DAY('web survey'!Z228)&lt;10,"0"&amp;DAY('web survey'!Z228),DAY('web survey'!Z228))&amp;" "&amp;IF(HOUR('web survey'!Z228)&lt;10,"0"&amp;HOUR('web survey'!Z228),HOUR('web survey'!Z228))&amp;":"&amp;IF(MINUTE('web survey'!Z228)&lt;10,"0"&amp;MINUTE('web survey'!Z228),MINUTE('web survey'!Z228))&amp;(":00'")</f>
        <v>2026-06-12 15:10:00'</v>
      </c>
      <c r="N230" s="22">
        <v>227</v>
      </c>
      <c r="O230" s="22" t="s">
        <v>27</v>
      </c>
      <c r="P230" s="22" t="s">
        <v>440</v>
      </c>
      <c r="Q230" s="22" t="s">
        <v>18</v>
      </c>
      <c r="R230" s="22" t="s">
        <v>17</v>
      </c>
      <c r="S230" s="22" t="s">
        <v>37</v>
      </c>
      <c r="T230" s="22" t="s">
        <v>17</v>
      </c>
      <c r="U230" s="22" t="s">
        <v>30</v>
      </c>
      <c r="V230" s="22" t="s">
        <v>17</v>
      </c>
      <c r="W230" s="22" t="s">
        <v>34</v>
      </c>
      <c r="X230" s="22" t="s">
        <v>441</v>
      </c>
    </row>
    <row r="231" spans="1:24">
      <c r="A231" s="28">
        <f>IF(B231="","",ROW()-COUNTBLANK($B$4:B231)-3)</f>
        <v>228</v>
      </c>
      <c r="B231" s="28" t="str">
        <f>'web survey'!C229</f>
        <v>FU-Z1-Eng</v>
      </c>
      <c r="C231" s="29" t="str">
        <f>'web survey'!AA229</f>
        <v>1047A2601676</v>
      </c>
      <c r="D231" s="30" t="str">
        <f>IF(B231="FU-ACInstall",VLOOKUP(VALUE('web survey'!D229),ref!$B$6:$C$7,2,0)&amp;" ("&amp;'web survey'!D229&amp;")",VLOOKUP(VALUE('web survey'!D229),ref!$E$6:$F$10,2,0)&amp;" ("&amp;'web survey'!D229&amp;")")</f>
        <v>Good (10)</v>
      </c>
      <c r="E231" s="32" t="str">
        <f>'web survey'!S229</f>
        <v/>
      </c>
      <c r="F231" s="30" t="str">
        <f>IF(B231="FU-ACInstall",VLOOKUP(VALUE('web survey'!E229),ref!$B$10:$C$12,2,0)&amp;" ("&amp;'web survey'!E229&amp;")",VLOOKUP(VALUE('web survey'!E229),ref!$E$13:$F$17,2,0)&amp;" ("&amp;'web survey'!E229&amp;")")</f>
        <v>Very Good (10)</v>
      </c>
      <c r="G231" s="32" t="str">
        <f>'web survey'!T229</f>
        <v/>
      </c>
      <c r="H231" s="30" t="str">
        <f>IF(B231="FU-ACInstall",VLOOKUP(VALUE('web survey'!F229),ref!$B$15:$C$17,2,0)&amp;" ("&amp;'web survey'!F229&amp;")",VLOOKUP(VALUE('web survey'!F229),ref!$E$20:$F$21,2,0)&amp;" ("&amp;'web survey'!F229&amp;")")</f>
        <v>Appropriate with SAP / in Warranty (10)</v>
      </c>
      <c r="I231" s="32" t="str">
        <f>'web survey'!U229</f>
        <v/>
      </c>
      <c r="J231" s="30" t="str">
        <f>IF(B231="FU-ACInstall","-",VLOOKUP(VALUE('web survey'!G229),ref!$E$24:$F$26,2,0)&amp;" ("&amp;'web survey'!G229&amp;")")</f>
        <v>Jelas (5)</v>
      </c>
      <c r="K231" s="28" t="str">
        <f>YEAR('web survey'!Z229)&amp;"-"&amp;IF(MONTH('web survey'!Z229)&lt;10,"0"&amp;MONTH('web survey'!Z229),MONTH('web survey'!Z229))&amp;"-"&amp;IF(DAY('web survey'!Z229)&lt;10,"0"&amp;DAY('web survey'!Z229),DAY('web survey'!Z229))&amp;" "&amp;IF(HOUR('web survey'!Z229)&lt;10,"0"&amp;HOUR('web survey'!Z229),HOUR('web survey'!Z229))&amp;":"&amp;IF(MINUTE('web survey'!Z229)&lt;10,"0"&amp;MINUTE('web survey'!Z229),MINUTE('web survey'!Z229))&amp;(":00'")</f>
        <v>2026-06-12 15:10:00'</v>
      </c>
      <c r="N231" s="22">
        <v>228</v>
      </c>
      <c r="O231" s="22" t="s">
        <v>27</v>
      </c>
      <c r="P231" s="22" t="s">
        <v>442</v>
      </c>
      <c r="Q231" s="22" t="s">
        <v>18</v>
      </c>
      <c r="R231" s="22" t="s">
        <v>17</v>
      </c>
      <c r="S231" s="22" t="s">
        <v>37</v>
      </c>
      <c r="T231" s="22" t="s">
        <v>17</v>
      </c>
      <c r="U231" s="22" t="s">
        <v>30</v>
      </c>
      <c r="V231" s="22" t="s">
        <v>17</v>
      </c>
      <c r="W231" s="22" t="s">
        <v>34</v>
      </c>
      <c r="X231" s="22" t="s">
        <v>441</v>
      </c>
    </row>
    <row r="232" spans="1:24">
      <c r="A232" s="28">
        <f>IF(B232="","",ROW()-COUNTBLANK($B$4:B232)-3)</f>
        <v>229</v>
      </c>
      <c r="B232" s="28" t="str">
        <f>'web survey'!C230</f>
        <v>FU-Z1-Eng</v>
      </c>
      <c r="C232" s="29" t="str">
        <f>'web survey'!AA230</f>
        <v>1214A2603343</v>
      </c>
      <c r="D232" s="30" t="str">
        <f>IF(B232="FU-ACInstall",VLOOKUP(VALUE('web survey'!D230),ref!$B$6:$C$7,2,0)&amp;" ("&amp;'web survey'!D230&amp;")",VLOOKUP(VALUE('web survey'!D230),ref!$E$6:$F$10,2,0)&amp;" ("&amp;'web survey'!D230&amp;")")</f>
        <v>Good (10)</v>
      </c>
      <c r="E232" s="32" t="str">
        <f>'web survey'!S230</f>
        <v/>
      </c>
      <c r="F232" s="30" t="str">
        <f>IF(B232="FU-ACInstall",VLOOKUP(VALUE('web survey'!E230),ref!$B$10:$C$12,2,0)&amp;" ("&amp;'web survey'!E230&amp;")",VLOOKUP(VALUE('web survey'!E230),ref!$E$13:$F$17,2,0)&amp;" ("&amp;'web survey'!E230&amp;")")</f>
        <v>Very Good (10)</v>
      </c>
      <c r="G232" s="32" t="str">
        <f>'web survey'!T230</f>
        <v/>
      </c>
      <c r="H232" s="30" t="str">
        <f>IF(B232="FU-ACInstall",VLOOKUP(VALUE('web survey'!F230),ref!$B$15:$C$17,2,0)&amp;" ("&amp;'web survey'!F230&amp;")",VLOOKUP(VALUE('web survey'!F230),ref!$E$20:$F$21,2,0)&amp;" ("&amp;'web survey'!F230&amp;")")</f>
        <v>Appropriate with SAP / in Warranty (10)</v>
      </c>
      <c r="I232" s="32" t="str">
        <f>'web survey'!U230</f>
        <v/>
      </c>
      <c r="J232" s="30" t="str">
        <f>IF(B232="FU-ACInstall","-",VLOOKUP(VALUE('web survey'!G230),ref!$E$24:$F$26,2,0)&amp;" ("&amp;'web survey'!G230&amp;")")</f>
        <v>Jelas (5)</v>
      </c>
      <c r="K232" s="28" t="str">
        <f>YEAR('web survey'!Z230)&amp;"-"&amp;IF(MONTH('web survey'!Z230)&lt;10,"0"&amp;MONTH('web survey'!Z230),MONTH('web survey'!Z230))&amp;"-"&amp;IF(DAY('web survey'!Z230)&lt;10,"0"&amp;DAY('web survey'!Z230),DAY('web survey'!Z230))&amp;" "&amp;IF(HOUR('web survey'!Z230)&lt;10,"0"&amp;HOUR('web survey'!Z230),HOUR('web survey'!Z230))&amp;":"&amp;IF(MINUTE('web survey'!Z230)&lt;10,"0"&amp;MINUTE('web survey'!Z230),MINUTE('web survey'!Z230))&amp;(":00'")</f>
        <v>2026-06-12 15:08:00'</v>
      </c>
      <c r="N232" s="22">
        <v>229</v>
      </c>
      <c r="O232" s="22" t="s">
        <v>27</v>
      </c>
      <c r="P232" s="22" t="s">
        <v>443</v>
      </c>
      <c r="Q232" s="22" t="s">
        <v>18</v>
      </c>
      <c r="R232" s="22" t="s">
        <v>17</v>
      </c>
      <c r="S232" s="22" t="s">
        <v>37</v>
      </c>
      <c r="T232" s="22" t="s">
        <v>17</v>
      </c>
      <c r="U232" s="22" t="s">
        <v>30</v>
      </c>
      <c r="V232" s="22" t="s">
        <v>17</v>
      </c>
      <c r="W232" s="22" t="s">
        <v>34</v>
      </c>
      <c r="X232" s="22" t="s">
        <v>444</v>
      </c>
    </row>
    <row r="233" spans="1:24">
      <c r="A233" s="28">
        <f>IF(B233="","",ROW()-COUNTBLANK($B$4:B233)-3)</f>
        <v>230</v>
      </c>
      <c r="B233" s="28" t="str">
        <f>'web survey'!C231</f>
        <v>FU-Z1-Eng</v>
      </c>
      <c r="C233" s="29" t="str">
        <f>'web survey'!AA231</f>
        <v>1047A2601666</v>
      </c>
      <c r="D233" s="30" t="str">
        <f>IF(B233="FU-ACInstall",VLOOKUP(VALUE('web survey'!D231),ref!$B$6:$C$7,2,0)&amp;" ("&amp;'web survey'!D231&amp;")",VLOOKUP(VALUE('web survey'!D231),ref!$E$6:$F$10,2,0)&amp;" ("&amp;'web survey'!D231&amp;")")</f>
        <v>Good (10)</v>
      </c>
      <c r="E233" s="32" t="str">
        <f>'web survey'!S231</f>
        <v/>
      </c>
      <c r="F233" s="30" t="str">
        <f>IF(B233="FU-ACInstall",VLOOKUP(VALUE('web survey'!E231),ref!$B$10:$C$12,2,0)&amp;" ("&amp;'web survey'!E231&amp;")",VLOOKUP(VALUE('web survey'!E231),ref!$E$13:$F$17,2,0)&amp;" ("&amp;'web survey'!E231&amp;")")</f>
        <v>Very Good (10)</v>
      </c>
      <c r="G233" s="32" t="str">
        <f>'web survey'!T231</f>
        <v/>
      </c>
      <c r="H233" s="30" t="str">
        <f>IF(B233="FU-ACInstall",VLOOKUP(VALUE('web survey'!F231),ref!$B$15:$C$17,2,0)&amp;" ("&amp;'web survey'!F231&amp;")",VLOOKUP(VALUE('web survey'!F231),ref!$E$20:$F$21,2,0)&amp;" ("&amp;'web survey'!F231&amp;")")</f>
        <v>Appropriate with SAP / in Warranty (10)</v>
      </c>
      <c r="I233" s="32" t="str">
        <f>'web survey'!U231</f>
        <v/>
      </c>
      <c r="J233" s="30" t="str">
        <f>IF(B233="FU-ACInstall","-",VLOOKUP(VALUE('web survey'!G231),ref!$E$24:$F$26,2,0)&amp;" ("&amp;'web survey'!G231&amp;")")</f>
        <v>Jelas (5)</v>
      </c>
      <c r="K233" s="28" t="str">
        <f>YEAR('web survey'!Z231)&amp;"-"&amp;IF(MONTH('web survey'!Z231)&lt;10,"0"&amp;MONTH('web survey'!Z231),MONTH('web survey'!Z231))&amp;"-"&amp;IF(DAY('web survey'!Z231)&lt;10,"0"&amp;DAY('web survey'!Z231),DAY('web survey'!Z231))&amp;" "&amp;IF(HOUR('web survey'!Z231)&lt;10,"0"&amp;HOUR('web survey'!Z231),HOUR('web survey'!Z231))&amp;":"&amp;IF(MINUTE('web survey'!Z231)&lt;10,"0"&amp;MINUTE('web survey'!Z231),MINUTE('web survey'!Z231))&amp;(":00'")</f>
        <v>2026-06-12 15:08:00'</v>
      </c>
      <c r="N233" s="22">
        <v>230</v>
      </c>
      <c r="O233" s="22" t="s">
        <v>27</v>
      </c>
      <c r="P233" s="22" t="s">
        <v>445</v>
      </c>
      <c r="Q233" s="22" t="s">
        <v>18</v>
      </c>
      <c r="R233" s="22" t="s">
        <v>17</v>
      </c>
      <c r="S233" s="22" t="s">
        <v>37</v>
      </c>
      <c r="T233" s="22" t="s">
        <v>17</v>
      </c>
      <c r="U233" s="22" t="s">
        <v>30</v>
      </c>
      <c r="V233" s="22" t="s">
        <v>17</v>
      </c>
      <c r="W233" s="22" t="s">
        <v>34</v>
      </c>
      <c r="X233" s="22" t="s">
        <v>444</v>
      </c>
    </row>
    <row r="234" spans="1:24">
      <c r="A234" s="28">
        <f>IF(B234="","",ROW()-COUNTBLANK($B$4:B234)-3)</f>
        <v>231</v>
      </c>
      <c r="B234" s="28" t="str">
        <f>'web survey'!C232</f>
        <v>FU-Z1-Eng</v>
      </c>
      <c r="C234" s="29" t="str">
        <f>'web survey'!AA232</f>
        <v>4102A2600651</v>
      </c>
      <c r="D234" s="30" t="str">
        <f>IF(B234="FU-ACInstall",VLOOKUP(VALUE('web survey'!D232),ref!$B$6:$C$7,2,0)&amp;" ("&amp;'web survey'!D232&amp;")",VLOOKUP(VALUE('web survey'!D232),ref!$E$6:$F$10,2,0)&amp;" ("&amp;'web survey'!D232&amp;")")</f>
        <v>Good (10)</v>
      </c>
      <c r="E234" s="32" t="str">
        <f>'web survey'!S232</f>
        <v/>
      </c>
      <c r="F234" s="30" t="str">
        <f>IF(B234="FU-ACInstall",VLOOKUP(VALUE('web survey'!E232),ref!$B$10:$C$12,2,0)&amp;" ("&amp;'web survey'!E232&amp;")",VLOOKUP(VALUE('web survey'!E232),ref!$E$13:$F$17,2,0)&amp;" ("&amp;'web survey'!E232&amp;")")</f>
        <v>Very Good (10)</v>
      </c>
      <c r="G234" s="32" t="str">
        <f>'web survey'!T232</f>
        <v/>
      </c>
      <c r="H234" s="30" t="str">
        <f>IF(B234="FU-ACInstall",VLOOKUP(VALUE('web survey'!F232),ref!$B$15:$C$17,2,0)&amp;" ("&amp;'web survey'!F232&amp;")",VLOOKUP(VALUE('web survey'!F232),ref!$E$20:$F$21,2,0)&amp;" ("&amp;'web survey'!F232&amp;")")</f>
        <v>Appropriate with SAP / in Warranty (10)</v>
      </c>
      <c r="I234" s="32" t="str">
        <f>'web survey'!U232</f>
        <v/>
      </c>
      <c r="J234" s="30" t="str">
        <f>IF(B234="FU-ACInstall","-",VLOOKUP(VALUE('web survey'!G232),ref!$E$24:$F$26,2,0)&amp;" ("&amp;'web survey'!G232&amp;")")</f>
        <v>Jelas (5)</v>
      </c>
      <c r="K234" s="28" t="str">
        <f>YEAR('web survey'!Z232)&amp;"-"&amp;IF(MONTH('web survey'!Z232)&lt;10,"0"&amp;MONTH('web survey'!Z232),MONTH('web survey'!Z232))&amp;"-"&amp;IF(DAY('web survey'!Z232)&lt;10,"0"&amp;DAY('web survey'!Z232),DAY('web survey'!Z232))&amp;" "&amp;IF(HOUR('web survey'!Z232)&lt;10,"0"&amp;HOUR('web survey'!Z232),HOUR('web survey'!Z232))&amp;":"&amp;IF(MINUTE('web survey'!Z232)&lt;10,"0"&amp;MINUTE('web survey'!Z232),MINUTE('web survey'!Z232))&amp;(":00'")</f>
        <v>2026-06-12 15:08:00'</v>
      </c>
      <c r="N234" s="22">
        <v>231</v>
      </c>
      <c r="O234" s="22" t="s">
        <v>27</v>
      </c>
      <c r="P234" s="22" t="s">
        <v>446</v>
      </c>
      <c r="Q234" s="22" t="s">
        <v>18</v>
      </c>
      <c r="R234" s="22" t="s">
        <v>17</v>
      </c>
      <c r="S234" s="22" t="s">
        <v>37</v>
      </c>
      <c r="T234" s="22" t="s">
        <v>17</v>
      </c>
      <c r="U234" s="22" t="s">
        <v>30</v>
      </c>
      <c r="V234" s="22" t="s">
        <v>17</v>
      </c>
      <c r="W234" s="22" t="s">
        <v>34</v>
      </c>
      <c r="X234" s="22" t="s">
        <v>444</v>
      </c>
    </row>
    <row r="235" spans="1:24">
      <c r="A235" s="28">
        <f>IF(B235="","",ROW()-COUNTBLANK($B$4:B235)-3)</f>
        <v>232</v>
      </c>
      <c r="B235" s="28" t="str">
        <f>'web survey'!C233</f>
        <v>FU-Z1-Eng</v>
      </c>
      <c r="C235" s="29" t="str">
        <f>'web survey'!AA233</f>
        <v>204473617</v>
      </c>
      <c r="D235" s="30" t="str">
        <f>IF(B235="FU-ACInstall",VLOOKUP(VALUE('web survey'!D233),ref!$B$6:$C$7,2,0)&amp;" ("&amp;'web survey'!D233&amp;")",VLOOKUP(VALUE('web survey'!D233),ref!$E$6:$F$10,2,0)&amp;" ("&amp;'web survey'!D233&amp;")")</f>
        <v>Good (10)</v>
      </c>
      <c r="E235" s="32" t="str">
        <f>'web survey'!S233</f>
        <v/>
      </c>
      <c r="F235" s="30" t="str">
        <f>IF(B235="FU-ACInstall",VLOOKUP(VALUE('web survey'!E233),ref!$B$10:$C$12,2,0)&amp;" ("&amp;'web survey'!E233&amp;")",VLOOKUP(VALUE('web survey'!E233),ref!$E$13:$F$17,2,0)&amp;" ("&amp;'web survey'!E233&amp;")")</f>
        <v>Very Good (10)</v>
      </c>
      <c r="G235" s="32" t="str">
        <f>'web survey'!T233</f>
        <v/>
      </c>
      <c r="H235" s="30" t="str">
        <f>IF(B235="FU-ACInstall",VLOOKUP(VALUE('web survey'!F233),ref!$B$15:$C$17,2,0)&amp;" ("&amp;'web survey'!F233&amp;")",VLOOKUP(VALUE('web survey'!F233),ref!$E$20:$F$21,2,0)&amp;" ("&amp;'web survey'!F233&amp;")")</f>
        <v>Appropriate with SAP / in Warranty (10)</v>
      </c>
      <c r="I235" s="32" t="str">
        <f>'web survey'!U233</f>
        <v/>
      </c>
      <c r="J235" s="30" t="str">
        <f>IF(B235="FU-ACInstall","-",VLOOKUP(VALUE('web survey'!G233),ref!$E$24:$F$26,2,0)&amp;" ("&amp;'web survey'!G233&amp;")")</f>
        <v>Jelas (5)</v>
      </c>
      <c r="K235" s="28" t="str">
        <f>YEAR('web survey'!Z233)&amp;"-"&amp;IF(MONTH('web survey'!Z233)&lt;10,"0"&amp;MONTH('web survey'!Z233),MONTH('web survey'!Z233))&amp;"-"&amp;IF(DAY('web survey'!Z233)&lt;10,"0"&amp;DAY('web survey'!Z233),DAY('web survey'!Z233))&amp;" "&amp;IF(HOUR('web survey'!Z233)&lt;10,"0"&amp;HOUR('web survey'!Z233),HOUR('web survey'!Z233))&amp;":"&amp;IF(MINUTE('web survey'!Z233)&lt;10,"0"&amp;MINUTE('web survey'!Z233),MINUTE('web survey'!Z233))&amp;(":00'")</f>
        <v>2026-06-12 15:07:00'</v>
      </c>
      <c r="N235" s="22">
        <v>232</v>
      </c>
      <c r="O235" s="22" t="s">
        <v>27</v>
      </c>
      <c r="P235" s="22" t="s">
        <v>447</v>
      </c>
      <c r="Q235" s="22" t="s">
        <v>18</v>
      </c>
      <c r="R235" s="22" t="s">
        <v>17</v>
      </c>
      <c r="S235" s="22" t="s">
        <v>37</v>
      </c>
      <c r="T235" s="22" t="s">
        <v>17</v>
      </c>
      <c r="U235" s="22" t="s">
        <v>30</v>
      </c>
      <c r="V235" s="22" t="s">
        <v>17</v>
      </c>
      <c r="W235" s="22" t="s">
        <v>34</v>
      </c>
      <c r="X235" s="22" t="s">
        <v>448</v>
      </c>
    </row>
    <row r="236" spans="1:24">
      <c r="A236" s="28">
        <f>IF(B236="","",ROW()-COUNTBLANK($B$4:B236)-3)</f>
        <v>233</v>
      </c>
      <c r="B236" s="28" t="str">
        <f>'web survey'!C234</f>
        <v>FU-Z1-Eng</v>
      </c>
      <c r="C236" s="29" t="str">
        <f>'web survey'!AA234</f>
        <v>204471071</v>
      </c>
      <c r="D236" s="30" t="str">
        <f>IF(B236="FU-ACInstall",VLOOKUP(VALUE('web survey'!D234),ref!$B$6:$C$7,2,0)&amp;" ("&amp;'web survey'!D234&amp;")",VLOOKUP(VALUE('web survey'!D234),ref!$E$6:$F$10,2,0)&amp;" ("&amp;'web survey'!D234&amp;")")</f>
        <v>Good (10)</v>
      </c>
      <c r="E236" s="32" t="str">
        <f>'web survey'!S234</f>
        <v/>
      </c>
      <c r="F236" s="30" t="str">
        <f>IF(B236="FU-ACInstall",VLOOKUP(VALUE('web survey'!E234),ref!$B$10:$C$12,2,0)&amp;" ("&amp;'web survey'!E234&amp;")",VLOOKUP(VALUE('web survey'!E234),ref!$E$13:$F$17,2,0)&amp;" ("&amp;'web survey'!E234&amp;")")</f>
        <v>Average (3)</v>
      </c>
      <c r="G236" s="32" t="str">
        <f>'web survey'!T234</f>
        <v/>
      </c>
      <c r="H236" s="30" t="str">
        <f>IF(B236="FU-ACInstall",VLOOKUP(VALUE('web survey'!F234),ref!$B$15:$C$17,2,0)&amp;" ("&amp;'web survey'!F234&amp;")",VLOOKUP(VALUE('web survey'!F234),ref!$E$20:$F$21,2,0)&amp;" ("&amp;'web survey'!F234&amp;")")</f>
        <v>Appropriate with SAP / in Warranty (10)</v>
      </c>
      <c r="I236" s="32" t="str">
        <f>'web survey'!U234</f>
        <v/>
      </c>
      <c r="J236" s="30" t="str">
        <f>IF(B236="FU-ACInstall","-",VLOOKUP(VALUE('web survey'!G234),ref!$E$24:$F$26,2,0)&amp;" ("&amp;'web survey'!G234&amp;")")</f>
        <v>Jelas (5)</v>
      </c>
      <c r="K236" s="28" t="str">
        <f>YEAR('web survey'!Z234)&amp;"-"&amp;IF(MONTH('web survey'!Z234)&lt;10,"0"&amp;MONTH('web survey'!Z234),MONTH('web survey'!Z234))&amp;"-"&amp;IF(DAY('web survey'!Z234)&lt;10,"0"&amp;DAY('web survey'!Z234),DAY('web survey'!Z234))&amp;" "&amp;IF(HOUR('web survey'!Z234)&lt;10,"0"&amp;HOUR('web survey'!Z234),HOUR('web survey'!Z234))&amp;":"&amp;IF(MINUTE('web survey'!Z234)&lt;10,"0"&amp;MINUTE('web survey'!Z234),MINUTE('web survey'!Z234))&amp;(":00'")</f>
        <v>2026-06-12 15:06:00'</v>
      </c>
      <c r="N236" s="22">
        <v>233</v>
      </c>
      <c r="O236" s="22" t="s">
        <v>27</v>
      </c>
      <c r="P236" s="22" t="s">
        <v>449</v>
      </c>
      <c r="Q236" s="22" t="s">
        <v>18</v>
      </c>
      <c r="R236" s="22" t="s">
        <v>17</v>
      </c>
      <c r="S236" s="22" t="s">
        <v>204</v>
      </c>
      <c r="T236" s="22" t="s">
        <v>17</v>
      </c>
      <c r="U236" s="22" t="s">
        <v>30</v>
      </c>
      <c r="V236" s="22" t="s">
        <v>17</v>
      </c>
      <c r="W236" s="22" t="s">
        <v>34</v>
      </c>
      <c r="X236" s="22" t="s">
        <v>450</v>
      </c>
    </row>
    <row r="237" spans="1:24">
      <c r="A237" s="28">
        <f>IF(B237="","",ROW()-COUNTBLANK($B$4:B237)-3)</f>
        <v>234</v>
      </c>
      <c r="B237" s="28" t="str">
        <f>'web survey'!C235</f>
        <v>FU-Z1-Eng</v>
      </c>
      <c r="C237" s="29" t="str">
        <f>'web survey'!AA235</f>
        <v>204473775</v>
      </c>
      <c r="D237" s="30" t="str">
        <f>IF(B237="FU-ACInstall",VLOOKUP(VALUE('web survey'!D235),ref!$B$6:$C$7,2,0)&amp;" ("&amp;'web survey'!D235&amp;")",VLOOKUP(VALUE('web survey'!D235),ref!$E$6:$F$10,2,0)&amp;" ("&amp;'web survey'!D235&amp;")")</f>
        <v>Good (10)</v>
      </c>
      <c r="E237" s="32" t="str">
        <f>'web survey'!S235</f>
        <v/>
      </c>
      <c r="F237" s="30" t="str">
        <f>IF(B237="FU-ACInstall",VLOOKUP(VALUE('web survey'!E235),ref!$B$10:$C$12,2,0)&amp;" ("&amp;'web survey'!E235&amp;")",VLOOKUP(VALUE('web survey'!E235),ref!$E$13:$F$17,2,0)&amp;" ("&amp;'web survey'!E235&amp;")")</f>
        <v>Very Good (10)</v>
      </c>
      <c r="G237" s="32" t="str">
        <f>'web survey'!T235</f>
        <v/>
      </c>
      <c r="H237" s="30" t="str">
        <f>IF(B237="FU-ACInstall",VLOOKUP(VALUE('web survey'!F235),ref!$B$15:$C$17,2,0)&amp;" ("&amp;'web survey'!F235&amp;")",VLOOKUP(VALUE('web survey'!F235),ref!$E$20:$F$21,2,0)&amp;" ("&amp;'web survey'!F235&amp;")")</f>
        <v>Appropriate with SAP / in Warranty (10)</v>
      </c>
      <c r="I237" s="32" t="str">
        <f>'web survey'!U235</f>
        <v/>
      </c>
      <c r="J237" s="30" t="str">
        <f>IF(B237="FU-ACInstall","-",VLOOKUP(VALUE('web survey'!G235),ref!$E$24:$F$26,2,0)&amp;" ("&amp;'web survey'!G235&amp;")")</f>
        <v>Jelas (5)</v>
      </c>
      <c r="K237" s="28" t="str">
        <f>YEAR('web survey'!Z235)&amp;"-"&amp;IF(MONTH('web survey'!Z235)&lt;10,"0"&amp;MONTH('web survey'!Z235),MONTH('web survey'!Z235))&amp;"-"&amp;IF(DAY('web survey'!Z235)&lt;10,"0"&amp;DAY('web survey'!Z235),DAY('web survey'!Z235))&amp;" "&amp;IF(HOUR('web survey'!Z235)&lt;10,"0"&amp;HOUR('web survey'!Z235),HOUR('web survey'!Z235))&amp;":"&amp;IF(MINUTE('web survey'!Z235)&lt;10,"0"&amp;MINUTE('web survey'!Z235),MINUTE('web survey'!Z235))&amp;(":00'")</f>
        <v>2026-06-12 15:06:00'</v>
      </c>
      <c r="N237" s="22">
        <v>234</v>
      </c>
      <c r="O237" s="22" t="s">
        <v>27</v>
      </c>
      <c r="P237" s="22" t="s">
        <v>451</v>
      </c>
      <c r="Q237" s="22" t="s">
        <v>18</v>
      </c>
      <c r="R237" s="22" t="s">
        <v>17</v>
      </c>
      <c r="S237" s="22" t="s">
        <v>37</v>
      </c>
      <c r="T237" s="22" t="s">
        <v>17</v>
      </c>
      <c r="U237" s="22" t="s">
        <v>30</v>
      </c>
      <c r="V237" s="22" t="s">
        <v>17</v>
      </c>
      <c r="W237" s="22" t="s">
        <v>34</v>
      </c>
      <c r="X237" s="22" t="s">
        <v>450</v>
      </c>
    </row>
    <row r="238" spans="1:24">
      <c r="A238" s="28">
        <f>IF(B238="","",ROW()-COUNTBLANK($B$4:B238)-3)</f>
        <v>235</v>
      </c>
      <c r="B238" s="28" t="str">
        <f>'web survey'!C236</f>
        <v>FU-Z1-Eng</v>
      </c>
      <c r="C238" s="29" t="str">
        <f>'web survey'!AA236</f>
        <v>204471504</v>
      </c>
      <c r="D238" s="30" t="str">
        <f>IF(B238="FU-ACInstall",VLOOKUP(VALUE('web survey'!D236),ref!$B$6:$C$7,2,0)&amp;" ("&amp;'web survey'!D236&amp;")",VLOOKUP(VALUE('web survey'!D236),ref!$E$6:$F$10,2,0)&amp;" ("&amp;'web survey'!D236&amp;")")</f>
        <v>Good (10)</v>
      </c>
      <c r="E238" s="32" t="str">
        <f>'web survey'!S236</f>
        <v/>
      </c>
      <c r="F238" s="30" t="str">
        <f>IF(B238="FU-ACInstall",VLOOKUP(VALUE('web survey'!E236),ref!$B$10:$C$12,2,0)&amp;" ("&amp;'web survey'!E236&amp;")",VLOOKUP(VALUE('web survey'!E236),ref!$E$13:$F$17,2,0)&amp;" ("&amp;'web survey'!E236&amp;")")</f>
        <v>Good (5)</v>
      </c>
      <c r="G238" s="32" t="str">
        <f>'web survey'!T236</f>
        <v/>
      </c>
      <c r="H238" s="30" t="str">
        <f>IF(B238="FU-ACInstall",VLOOKUP(VALUE('web survey'!F236),ref!$B$15:$C$17,2,0)&amp;" ("&amp;'web survey'!F236&amp;")",VLOOKUP(VALUE('web survey'!F236),ref!$E$20:$F$21,2,0)&amp;" ("&amp;'web survey'!F236&amp;")")</f>
        <v>Appropriate with SAP / in Warranty (10)</v>
      </c>
      <c r="I238" s="32" t="str">
        <f>'web survey'!U236</f>
        <v/>
      </c>
      <c r="J238" s="30" t="str">
        <f>IF(B238="FU-ACInstall","-",VLOOKUP(VALUE('web survey'!G236),ref!$E$24:$F$26,2,0)&amp;" ("&amp;'web survey'!G236&amp;")")</f>
        <v>Jelas (5)</v>
      </c>
      <c r="K238" s="28" t="str">
        <f>YEAR('web survey'!Z236)&amp;"-"&amp;IF(MONTH('web survey'!Z236)&lt;10,"0"&amp;MONTH('web survey'!Z236),MONTH('web survey'!Z236))&amp;"-"&amp;IF(DAY('web survey'!Z236)&lt;10,"0"&amp;DAY('web survey'!Z236),DAY('web survey'!Z236))&amp;" "&amp;IF(HOUR('web survey'!Z236)&lt;10,"0"&amp;HOUR('web survey'!Z236),HOUR('web survey'!Z236))&amp;":"&amp;IF(MINUTE('web survey'!Z236)&lt;10,"0"&amp;MINUTE('web survey'!Z236),MINUTE('web survey'!Z236))&amp;(":00'")</f>
        <v>2026-06-12 15:06:00'</v>
      </c>
      <c r="N238" s="22">
        <v>235</v>
      </c>
      <c r="O238" s="22" t="s">
        <v>27</v>
      </c>
      <c r="P238" s="22" t="s">
        <v>452</v>
      </c>
      <c r="Q238" s="22" t="s">
        <v>18</v>
      </c>
      <c r="R238" s="22" t="s">
        <v>17</v>
      </c>
      <c r="S238" s="22" t="s">
        <v>29</v>
      </c>
      <c r="T238" s="22" t="s">
        <v>17</v>
      </c>
      <c r="U238" s="22" t="s">
        <v>30</v>
      </c>
      <c r="V238" s="22" t="s">
        <v>17</v>
      </c>
      <c r="W238" s="22" t="s">
        <v>34</v>
      </c>
      <c r="X238" s="22" t="s">
        <v>450</v>
      </c>
    </row>
    <row r="239" spans="1:24">
      <c r="A239" s="28">
        <f>IF(B239="","",ROW()-COUNTBLANK($B$4:B239)-3)</f>
        <v>236</v>
      </c>
      <c r="B239" s="28" t="str">
        <f>'web survey'!C237</f>
        <v>FU-Z1-Eng</v>
      </c>
      <c r="C239" s="29" t="str">
        <f>'web survey'!AA237</f>
        <v>204469140</v>
      </c>
      <c r="D239" s="30" t="str">
        <f>IF(B239="FU-ACInstall",VLOOKUP(VALUE('web survey'!D237),ref!$B$6:$C$7,2,0)&amp;" ("&amp;'web survey'!D237&amp;")",VLOOKUP(VALUE('web survey'!D237),ref!$E$6:$F$10,2,0)&amp;" ("&amp;'web survey'!D237&amp;")")</f>
        <v>Good (10)</v>
      </c>
      <c r="E239" s="32" t="str">
        <f>'web survey'!S237</f>
        <v/>
      </c>
      <c r="F239" s="30" t="str">
        <f>IF(B239="FU-ACInstall",VLOOKUP(VALUE('web survey'!E237),ref!$B$10:$C$12,2,0)&amp;" ("&amp;'web survey'!E237&amp;")",VLOOKUP(VALUE('web survey'!E237),ref!$E$13:$F$17,2,0)&amp;" ("&amp;'web survey'!E237&amp;")")</f>
        <v>Very Good (10)</v>
      </c>
      <c r="G239" s="32" t="str">
        <f>'web survey'!T237</f>
        <v/>
      </c>
      <c r="H239" s="30" t="str">
        <f>IF(B239="FU-ACInstall",VLOOKUP(VALUE('web survey'!F237),ref!$B$15:$C$17,2,0)&amp;" ("&amp;'web survey'!F237&amp;")",VLOOKUP(VALUE('web survey'!F237),ref!$E$20:$F$21,2,0)&amp;" ("&amp;'web survey'!F237&amp;")")</f>
        <v>Appropriate with SAP / in Warranty (10)</v>
      </c>
      <c r="I239" s="32" t="str">
        <f>'web survey'!U237</f>
        <v/>
      </c>
      <c r="J239" s="30" t="str">
        <f>IF(B239="FU-ACInstall","-",VLOOKUP(VALUE('web survey'!G237),ref!$E$24:$F$26,2,0)&amp;" ("&amp;'web survey'!G237&amp;")")</f>
        <v>Jelas (5)</v>
      </c>
      <c r="K239" s="28" t="str">
        <f>YEAR('web survey'!Z237)&amp;"-"&amp;IF(MONTH('web survey'!Z237)&lt;10,"0"&amp;MONTH('web survey'!Z237),MONTH('web survey'!Z237))&amp;"-"&amp;IF(DAY('web survey'!Z237)&lt;10,"0"&amp;DAY('web survey'!Z237),DAY('web survey'!Z237))&amp;" "&amp;IF(HOUR('web survey'!Z237)&lt;10,"0"&amp;HOUR('web survey'!Z237),HOUR('web survey'!Z237))&amp;":"&amp;IF(MINUTE('web survey'!Z237)&lt;10,"0"&amp;MINUTE('web survey'!Z237),MINUTE('web survey'!Z237))&amp;(":00'")</f>
        <v>2026-06-12 15:06:00'</v>
      </c>
      <c r="N239" s="22">
        <v>236</v>
      </c>
      <c r="O239" s="22" t="s">
        <v>27</v>
      </c>
      <c r="P239" s="22" t="s">
        <v>453</v>
      </c>
      <c r="Q239" s="22" t="s">
        <v>18</v>
      </c>
      <c r="R239" s="22" t="s">
        <v>17</v>
      </c>
      <c r="S239" s="22" t="s">
        <v>37</v>
      </c>
      <c r="T239" s="22" t="s">
        <v>17</v>
      </c>
      <c r="U239" s="22" t="s">
        <v>30</v>
      </c>
      <c r="V239" s="22" t="s">
        <v>17</v>
      </c>
      <c r="W239" s="22" t="s">
        <v>34</v>
      </c>
      <c r="X239" s="22" t="s">
        <v>450</v>
      </c>
    </row>
    <row r="240" spans="1:24">
      <c r="A240" s="28">
        <f>IF(B240="","",ROW()-COUNTBLANK($B$4:B240)-3)</f>
        <v>237</v>
      </c>
      <c r="B240" s="28" t="str">
        <f>'web survey'!C238</f>
        <v>FU-Z1-Eng</v>
      </c>
      <c r="C240" s="29" t="str">
        <f>'web survey'!AA238</f>
        <v>204471260</v>
      </c>
      <c r="D240" s="30" t="str">
        <f>IF(B240="FU-ACInstall",VLOOKUP(VALUE('web survey'!D238),ref!$B$6:$C$7,2,0)&amp;" ("&amp;'web survey'!D238&amp;")",VLOOKUP(VALUE('web survey'!D238),ref!$E$6:$F$10,2,0)&amp;" ("&amp;'web survey'!D238&amp;")")</f>
        <v>Good (10)</v>
      </c>
      <c r="E240" s="32" t="str">
        <f>'web survey'!S238</f>
        <v/>
      </c>
      <c r="F240" s="30" t="str">
        <f>IF(B240="FU-ACInstall",VLOOKUP(VALUE('web survey'!E238),ref!$B$10:$C$12,2,0)&amp;" ("&amp;'web survey'!E238&amp;")",VLOOKUP(VALUE('web survey'!E238),ref!$E$13:$F$17,2,0)&amp;" ("&amp;'web survey'!E238&amp;")")</f>
        <v>Very Good (10)</v>
      </c>
      <c r="G240" s="32" t="str">
        <f>'web survey'!T238</f>
        <v/>
      </c>
      <c r="H240" s="30" t="str">
        <f>IF(B240="FU-ACInstall",VLOOKUP(VALUE('web survey'!F238),ref!$B$15:$C$17,2,0)&amp;" ("&amp;'web survey'!F238&amp;")",VLOOKUP(VALUE('web survey'!F238),ref!$E$20:$F$21,2,0)&amp;" ("&amp;'web survey'!F238&amp;")")</f>
        <v>Appropriate with SAP / in Warranty (10)</v>
      </c>
      <c r="I240" s="32" t="str">
        <f>'web survey'!U238</f>
        <v/>
      </c>
      <c r="J240" s="30" t="str">
        <f>IF(B240="FU-ACInstall","-",VLOOKUP(VALUE('web survey'!G238),ref!$E$24:$F$26,2,0)&amp;" ("&amp;'web survey'!G238&amp;")")</f>
        <v>Jelas (5)</v>
      </c>
      <c r="K240" s="28" t="str">
        <f>YEAR('web survey'!Z238)&amp;"-"&amp;IF(MONTH('web survey'!Z238)&lt;10,"0"&amp;MONTH('web survey'!Z238),MONTH('web survey'!Z238))&amp;"-"&amp;IF(DAY('web survey'!Z238)&lt;10,"0"&amp;DAY('web survey'!Z238),DAY('web survey'!Z238))&amp;" "&amp;IF(HOUR('web survey'!Z238)&lt;10,"0"&amp;HOUR('web survey'!Z238),HOUR('web survey'!Z238))&amp;":"&amp;IF(MINUTE('web survey'!Z238)&lt;10,"0"&amp;MINUTE('web survey'!Z238),MINUTE('web survey'!Z238))&amp;(":00'")</f>
        <v>2026-06-12 15:06:00'</v>
      </c>
      <c r="N240" s="22">
        <v>237</v>
      </c>
      <c r="O240" s="22" t="s">
        <v>27</v>
      </c>
      <c r="P240" s="22" t="s">
        <v>454</v>
      </c>
      <c r="Q240" s="22" t="s">
        <v>18</v>
      </c>
      <c r="R240" s="22" t="s">
        <v>17</v>
      </c>
      <c r="S240" s="22" t="s">
        <v>37</v>
      </c>
      <c r="T240" s="22" t="s">
        <v>17</v>
      </c>
      <c r="U240" s="22" t="s">
        <v>30</v>
      </c>
      <c r="V240" s="22" t="s">
        <v>17</v>
      </c>
      <c r="W240" s="22" t="s">
        <v>34</v>
      </c>
      <c r="X240" s="22" t="s">
        <v>450</v>
      </c>
    </row>
    <row r="241" spans="1:24">
      <c r="A241" s="28">
        <f>IF(B241="","",ROW()-COUNTBLANK($B$4:B241)-3)</f>
        <v>238</v>
      </c>
      <c r="B241" s="28" t="str">
        <f>'web survey'!C239</f>
        <v>FU-Z1-Eng</v>
      </c>
      <c r="C241" s="29" t="str">
        <f>'web survey'!AA239</f>
        <v>204474339</v>
      </c>
      <c r="D241" s="30" t="str">
        <f>IF(B241="FU-ACInstall",VLOOKUP(VALUE('web survey'!D239),ref!$B$6:$C$7,2,0)&amp;" ("&amp;'web survey'!D239&amp;")",VLOOKUP(VALUE('web survey'!D239),ref!$E$6:$F$10,2,0)&amp;" ("&amp;'web survey'!D239&amp;")")</f>
        <v>Good (10)</v>
      </c>
      <c r="E241" s="32" t="str">
        <f>'web survey'!S239</f>
        <v/>
      </c>
      <c r="F241" s="30" t="str">
        <f>IF(B241="FU-ACInstall",VLOOKUP(VALUE('web survey'!E239),ref!$B$10:$C$12,2,0)&amp;" ("&amp;'web survey'!E239&amp;")",VLOOKUP(VALUE('web survey'!E239),ref!$E$13:$F$17,2,0)&amp;" ("&amp;'web survey'!E239&amp;")")</f>
        <v>Very Good (10)</v>
      </c>
      <c r="G241" s="32" t="str">
        <f>'web survey'!T239</f>
        <v/>
      </c>
      <c r="H241" s="30" t="str">
        <f>IF(B241="FU-ACInstall",VLOOKUP(VALUE('web survey'!F239),ref!$B$15:$C$17,2,0)&amp;" ("&amp;'web survey'!F239&amp;")",VLOOKUP(VALUE('web survey'!F239),ref!$E$20:$F$21,2,0)&amp;" ("&amp;'web survey'!F239&amp;")")</f>
        <v>Appropriate with SAP / in Warranty (10)</v>
      </c>
      <c r="I241" s="32" t="str">
        <f>'web survey'!U239</f>
        <v/>
      </c>
      <c r="J241" s="30" t="str">
        <f>IF(B241="FU-ACInstall","-",VLOOKUP(VALUE('web survey'!G239),ref!$E$24:$F$26,2,0)&amp;" ("&amp;'web survey'!G239&amp;")")</f>
        <v>Jelas (5)</v>
      </c>
      <c r="K241" s="28" t="str">
        <f>YEAR('web survey'!Z239)&amp;"-"&amp;IF(MONTH('web survey'!Z239)&lt;10,"0"&amp;MONTH('web survey'!Z239),MONTH('web survey'!Z239))&amp;"-"&amp;IF(DAY('web survey'!Z239)&lt;10,"0"&amp;DAY('web survey'!Z239),DAY('web survey'!Z239))&amp;" "&amp;IF(HOUR('web survey'!Z239)&lt;10,"0"&amp;HOUR('web survey'!Z239),HOUR('web survey'!Z239))&amp;":"&amp;IF(MINUTE('web survey'!Z239)&lt;10,"0"&amp;MINUTE('web survey'!Z239),MINUTE('web survey'!Z239))&amp;(":00'")</f>
        <v>2026-06-12 15:05:00'</v>
      </c>
      <c r="N241" s="22">
        <v>238</v>
      </c>
      <c r="O241" s="22" t="s">
        <v>27</v>
      </c>
      <c r="P241" s="22" t="s">
        <v>455</v>
      </c>
      <c r="Q241" s="22" t="s">
        <v>18</v>
      </c>
      <c r="R241" s="22" t="s">
        <v>17</v>
      </c>
      <c r="S241" s="22" t="s">
        <v>37</v>
      </c>
      <c r="T241" s="22" t="s">
        <v>17</v>
      </c>
      <c r="U241" s="22" t="s">
        <v>30</v>
      </c>
      <c r="V241" s="22" t="s">
        <v>17</v>
      </c>
      <c r="W241" s="22" t="s">
        <v>34</v>
      </c>
      <c r="X241" s="22" t="s">
        <v>456</v>
      </c>
    </row>
    <row r="242" spans="1:24">
      <c r="A242" s="28">
        <f>IF(B242="","",ROW()-COUNTBLANK($B$4:B242)-3)</f>
        <v>239</v>
      </c>
      <c r="B242" s="28" t="str">
        <f>'web survey'!C240</f>
        <v>FU-Z1-Eng</v>
      </c>
      <c r="C242" s="29" t="str">
        <f>'web survey'!AA240</f>
        <v>204469964</v>
      </c>
      <c r="D242" s="30" t="str">
        <f>IF(B242="FU-ACInstall",VLOOKUP(VALUE('web survey'!D240),ref!$B$6:$C$7,2,0)&amp;" ("&amp;'web survey'!D240&amp;")",VLOOKUP(VALUE('web survey'!D240),ref!$E$6:$F$10,2,0)&amp;" ("&amp;'web survey'!D240&amp;")")</f>
        <v>Good (10)</v>
      </c>
      <c r="E242" s="32" t="str">
        <f>'web survey'!S240</f>
        <v/>
      </c>
      <c r="F242" s="30" t="str">
        <f>IF(B242="FU-ACInstall",VLOOKUP(VALUE('web survey'!E240),ref!$B$10:$C$12,2,0)&amp;" ("&amp;'web survey'!E240&amp;")",VLOOKUP(VALUE('web survey'!E240),ref!$E$13:$F$17,2,0)&amp;" ("&amp;'web survey'!E240&amp;")")</f>
        <v>Very Good (10)</v>
      </c>
      <c r="G242" s="32" t="str">
        <f>'web survey'!T240</f>
        <v/>
      </c>
      <c r="H242" s="30" t="str">
        <f>IF(B242="FU-ACInstall",VLOOKUP(VALUE('web survey'!F240),ref!$B$15:$C$17,2,0)&amp;" ("&amp;'web survey'!F240&amp;")",VLOOKUP(VALUE('web survey'!F240),ref!$E$20:$F$21,2,0)&amp;" ("&amp;'web survey'!F240&amp;")")</f>
        <v>Appropriate with SAP / in Warranty (10)</v>
      </c>
      <c r="I242" s="32" t="str">
        <f>'web survey'!U240</f>
        <v/>
      </c>
      <c r="J242" s="30" t="str">
        <f>IF(B242="FU-ACInstall","-",VLOOKUP(VALUE('web survey'!G240),ref!$E$24:$F$26,2,0)&amp;" ("&amp;'web survey'!G240&amp;")")</f>
        <v>Jelas (5)</v>
      </c>
      <c r="K242" s="28" t="str">
        <f>YEAR('web survey'!Z240)&amp;"-"&amp;IF(MONTH('web survey'!Z240)&lt;10,"0"&amp;MONTH('web survey'!Z240),MONTH('web survey'!Z240))&amp;"-"&amp;IF(DAY('web survey'!Z240)&lt;10,"0"&amp;DAY('web survey'!Z240),DAY('web survey'!Z240))&amp;" "&amp;IF(HOUR('web survey'!Z240)&lt;10,"0"&amp;HOUR('web survey'!Z240),HOUR('web survey'!Z240))&amp;":"&amp;IF(MINUTE('web survey'!Z240)&lt;10,"0"&amp;MINUTE('web survey'!Z240),MINUTE('web survey'!Z240))&amp;(":00'")</f>
        <v>2026-06-12 15:05:00'</v>
      </c>
      <c r="N242" s="22">
        <v>239</v>
      </c>
      <c r="O242" s="22" t="s">
        <v>27</v>
      </c>
      <c r="P242" s="22" t="s">
        <v>457</v>
      </c>
      <c r="Q242" s="22" t="s">
        <v>18</v>
      </c>
      <c r="R242" s="22" t="s">
        <v>17</v>
      </c>
      <c r="S242" s="22" t="s">
        <v>37</v>
      </c>
      <c r="T242" s="22" t="s">
        <v>17</v>
      </c>
      <c r="U242" s="22" t="s">
        <v>30</v>
      </c>
      <c r="V242" s="22" t="s">
        <v>17</v>
      </c>
      <c r="W242" s="22" t="s">
        <v>34</v>
      </c>
      <c r="X242" s="22" t="s">
        <v>456</v>
      </c>
    </row>
    <row r="243" spans="1:24">
      <c r="A243" s="28">
        <f>IF(B243="","",ROW()-COUNTBLANK($B$4:B243)-3)</f>
        <v>240</v>
      </c>
      <c r="B243" s="28" t="str">
        <f>'web survey'!C241</f>
        <v>FU-Z1-Eng</v>
      </c>
      <c r="C243" s="29" t="str">
        <f>'web survey'!AA241</f>
        <v>204472082</v>
      </c>
      <c r="D243" s="30" t="str">
        <f>IF(B243="FU-ACInstall",VLOOKUP(VALUE('web survey'!D241),ref!$B$6:$C$7,2,0)&amp;" ("&amp;'web survey'!D241&amp;")",VLOOKUP(VALUE('web survey'!D241),ref!$E$6:$F$10,2,0)&amp;" ("&amp;'web survey'!D241&amp;")")</f>
        <v>Good (10)</v>
      </c>
      <c r="E243" s="32" t="str">
        <f>'web survey'!S241</f>
        <v/>
      </c>
      <c r="F243" s="30" t="str">
        <f>IF(B243="FU-ACInstall",VLOOKUP(VALUE('web survey'!E241),ref!$B$10:$C$12,2,0)&amp;" ("&amp;'web survey'!E241&amp;")",VLOOKUP(VALUE('web survey'!E241),ref!$E$13:$F$17,2,0)&amp;" ("&amp;'web survey'!E241&amp;")")</f>
        <v>Very Good (10)</v>
      </c>
      <c r="G243" s="32" t="str">
        <f>'web survey'!T241</f>
        <v/>
      </c>
      <c r="H243" s="30" t="str">
        <f>IF(B243="FU-ACInstall",VLOOKUP(VALUE('web survey'!F241),ref!$B$15:$C$17,2,0)&amp;" ("&amp;'web survey'!F241&amp;")",VLOOKUP(VALUE('web survey'!F241),ref!$E$20:$F$21,2,0)&amp;" ("&amp;'web survey'!F241&amp;")")</f>
        <v>Appropriate with SAP / in Warranty (10)</v>
      </c>
      <c r="I243" s="32" t="str">
        <f>'web survey'!U241</f>
        <v/>
      </c>
      <c r="J243" s="30" t="str">
        <f>IF(B243="FU-ACInstall","-",VLOOKUP(VALUE('web survey'!G241),ref!$E$24:$F$26,2,0)&amp;" ("&amp;'web survey'!G241&amp;")")</f>
        <v>Jelas (5)</v>
      </c>
      <c r="K243" s="28" t="str">
        <f>YEAR('web survey'!Z241)&amp;"-"&amp;IF(MONTH('web survey'!Z241)&lt;10,"0"&amp;MONTH('web survey'!Z241),MONTH('web survey'!Z241))&amp;"-"&amp;IF(DAY('web survey'!Z241)&lt;10,"0"&amp;DAY('web survey'!Z241),DAY('web survey'!Z241))&amp;" "&amp;IF(HOUR('web survey'!Z241)&lt;10,"0"&amp;HOUR('web survey'!Z241),HOUR('web survey'!Z241))&amp;":"&amp;IF(MINUTE('web survey'!Z241)&lt;10,"0"&amp;MINUTE('web survey'!Z241),MINUTE('web survey'!Z241))&amp;(":00'")</f>
        <v>2026-06-12 15:05:00'</v>
      </c>
      <c r="N243" s="22">
        <v>240</v>
      </c>
      <c r="O243" s="22" t="s">
        <v>27</v>
      </c>
      <c r="P243" s="22" t="s">
        <v>458</v>
      </c>
      <c r="Q243" s="22" t="s">
        <v>18</v>
      </c>
      <c r="R243" s="22" t="s">
        <v>17</v>
      </c>
      <c r="S243" s="22" t="s">
        <v>37</v>
      </c>
      <c r="T243" s="22" t="s">
        <v>17</v>
      </c>
      <c r="U243" s="22" t="s">
        <v>30</v>
      </c>
      <c r="V243" s="22" t="s">
        <v>17</v>
      </c>
      <c r="W243" s="22" t="s">
        <v>34</v>
      </c>
      <c r="X243" s="22" t="s">
        <v>456</v>
      </c>
    </row>
    <row r="244" spans="1:24">
      <c r="A244" s="28">
        <f>IF(B244="","",ROW()-COUNTBLANK($B$4:B244)-3)</f>
        <v>241</v>
      </c>
      <c r="B244" s="28" t="str">
        <f>'web survey'!C242</f>
        <v>FU-Z1-Eng</v>
      </c>
      <c r="C244" s="29" t="str">
        <f>'web survey'!AA242</f>
        <v>204472803</v>
      </c>
      <c r="D244" s="30" t="str">
        <f>IF(B244="FU-ACInstall",VLOOKUP(VALUE('web survey'!D242),ref!$B$6:$C$7,2,0)&amp;" ("&amp;'web survey'!D242&amp;")",VLOOKUP(VALUE('web survey'!D242),ref!$E$6:$F$10,2,0)&amp;" ("&amp;'web survey'!D242&amp;")")</f>
        <v>Good (10)</v>
      </c>
      <c r="E244" s="32" t="str">
        <f>'web survey'!S242</f>
        <v/>
      </c>
      <c r="F244" s="30" t="str">
        <f>IF(B244="FU-ACInstall",VLOOKUP(VALUE('web survey'!E242),ref!$B$10:$C$12,2,0)&amp;" ("&amp;'web survey'!E242&amp;")",VLOOKUP(VALUE('web survey'!E242),ref!$E$13:$F$17,2,0)&amp;" ("&amp;'web survey'!E242&amp;")")</f>
        <v>Very Good (10)</v>
      </c>
      <c r="G244" s="32" t="str">
        <f>'web survey'!T242</f>
        <v/>
      </c>
      <c r="H244" s="30" t="str">
        <f>IF(B244="FU-ACInstall",VLOOKUP(VALUE('web survey'!F242),ref!$B$15:$C$17,2,0)&amp;" ("&amp;'web survey'!F242&amp;")",VLOOKUP(VALUE('web survey'!F242),ref!$E$20:$F$21,2,0)&amp;" ("&amp;'web survey'!F242&amp;")")</f>
        <v>Appropriate with SAP / in Warranty (10)</v>
      </c>
      <c r="I244" s="32" t="str">
        <f>'web survey'!U242</f>
        <v/>
      </c>
      <c r="J244" s="30" t="str">
        <f>IF(B244="FU-ACInstall","-",VLOOKUP(VALUE('web survey'!G242),ref!$E$24:$F$26,2,0)&amp;" ("&amp;'web survey'!G242&amp;")")</f>
        <v>Jelas (5)</v>
      </c>
      <c r="K244" s="28" t="str">
        <f>YEAR('web survey'!Z242)&amp;"-"&amp;IF(MONTH('web survey'!Z242)&lt;10,"0"&amp;MONTH('web survey'!Z242),MONTH('web survey'!Z242))&amp;"-"&amp;IF(DAY('web survey'!Z242)&lt;10,"0"&amp;DAY('web survey'!Z242),DAY('web survey'!Z242))&amp;" "&amp;IF(HOUR('web survey'!Z242)&lt;10,"0"&amp;HOUR('web survey'!Z242),HOUR('web survey'!Z242))&amp;":"&amp;IF(MINUTE('web survey'!Z242)&lt;10,"0"&amp;MINUTE('web survey'!Z242),MINUTE('web survey'!Z242))&amp;(":00'")</f>
        <v>2026-06-12 15:05:00'</v>
      </c>
      <c r="N244" s="22">
        <v>241</v>
      </c>
      <c r="O244" s="22" t="s">
        <v>27</v>
      </c>
      <c r="P244" s="22" t="s">
        <v>459</v>
      </c>
      <c r="Q244" s="22" t="s">
        <v>18</v>
      </c>
      <c r="R244" s="22" t="s">
        <v>17</v>
      </c>
      <c r="S244" s="22" t="s">
        <v>37</v>
      </c>
      <c r="T244" s="22" t="s">
        <v>17</v>
      </c>
      <c r="U244" s="22" t="s">
        <v>30</v>
      </c>
      <c r="V244" s="22" t="s">
        <v>17</v>
      </c>
      <c r="W244" s="22" t="s">
        <v>34</v>
      </c>
      <c r="X244" s="22" t="s">
        <v>456</v>
      </c>
    </row>
    <row r="245" spans="1:24">
      <c r="A245" s="28">
        <f>IF(B245="","",ROW()-COUNTBLANK($B$4:B245)-3)</f>
        <v>242</v>
      </c>
      <c r="B245" s="28" t="str">
        <f>'web survey'!C243</f>
        <v>FU-Z1-Eng</v>
      </c>
      <c r="C245" s="29" t="str">
        <f>'web survey'!AA243</f>
        <v>1516A2600114</v>
      </c>
      <c r="D245" s="30" t="str">
        <f>IF(B245="FU-ACInstall",VLOOKUP(VALUE('web survey'!D243),ref!$B$6:$C$7,2,0)&amp;" ("&amp;'web survey'!D243&amp;")",VLOOKUP(VALUE('web survey'!D243),ref!$E$6:$F$10,2,0)&amp;" ("&amp;'web survey'!D243&amp;")")</f>
        <v>Good (10)</v>
      </c>
      <c r="E245" s="32" t="str">
        <f>'web survey'!S243</f>
        <v/>
      </c>
      <c r="F245" s="30" t="str">
        <f>IF(B245="FU-ACInstall",VLOOKUP(VALUE('web survey'!E243),ref!$B$10:$C$12,2,0)&amp;" ("&amp;'web survey'!E243&amp;")",VLOOKUP(VALUE('web survey'!E243),ref!$E$13:$F$17,2,0)&amp;" ("&amp;'web survey'!E243&amp;")")</f>
        <v>Very Good (10)</v>
      </c>
      <c r="G245" s="32" t="str">
        <f>'web survey'!T243</f>
        <v/>
      </c>
      <c r="H245" s="30" t="str">
        <f>IF(B245="FU-ACInstall",VLOOKUP(VALUE('web survey'!F243),ref!$B$15:$C$17,2,0)&amp;" ("&amp;'web survey'!F243&amp;")",VLOOKUP(VALUE('web survey'!F243),ref!$E$20:$F$21,2,0)&amp;" ("&amp;'web survey'!F243&amp;")")</f>
        <v>Appropriate with SAP / in Warranty (10)</v>
      </c>
      <c r="I245" s="32" t="str">
        <f>'web survey'!U243</f>
        <v/>
      </c>
      <c r="J245" s="30" t="str">
        <f>IF(B245="FU-ACInstall","-",VLOOKUP(VALUE('web survey'!G243),ref!$E$24:$F$26,2,0)&amp;" ("&amp;'web survey'!G243&amp;")")</f>
        <v>Jelas (5)</v>
      </c>
      <c r="K245" s="28" t="str">
        <f>YEAR('web survey'!Z243)&amp;"-"&amp;IF(MONTH('web survey'!Z243)&lt;10,"0"&amp;MONTH('web survey'!Z243),MONTH('web survey'!Z243))&amp;"-"&amp;IF(DAY('web survey'!Z243)&lt;10,"0"&amp;DAY('web survey'!Z243),DAY('web survey'!Z243))&amp;" "&amp;IF(HOUR('web survey'!Z243)&lt;10,"0"&amp;HOUR('web survey'!Z243),HOUR('web survey'!Z243))&amp;":"&amp;IF(MINUTE('web survey'!Z243)&lt;10,"0"&amp;MINUTE('web survey'!Z243),MINUTE('web survey'!Z243))&amp;(":00'")</f>
        <v>2026-06-12 15:05:00'</v>
      </c>
      <c r="N245" s="22">
        <v>242</v>
      </c>
      <c r="O245" s="22" t="s">
        <v>27</v>
      </c>
      <c r="P245" s="22" t="s">
        <v>460</v>
      </c>
      <c r="Q245" s="22" t="s">
        <v>18</v>
      </c>
      <c r="R245" s="22" t="s">
        <v>17</v>
      </c>
      <c r="S245" s="22" t="s">
        <v>37</v>
      </c>
      <c r="T245" s="22" t="s">
        <v>17</v>
      </c>
      <c r="U245" s="22" t="s">
        <v>30</v>
      </c>
      <c r="V245" s="22" t="s">
        <v>17</v>
      </c>
      <c r="W245" s="22" t="s">
        <v>34</v>
      </c>
      <c r="X245" s="22" t="s">
        <v>456</v>
      </c>
    </row>
    <row r="246" spans="1:24">
      <c r="A246" s="28">
        <f>IF(B246="","",ROW()-COUNTBLANK($B$4:B246)-3)</f>
        <v>243</v>
      </c>
      <c r="B246" s="28" t="str">
        <f>'web survey'!C244</f>
        <v>FU-Z1-Eng</v>
      </c>
      <c r="C246" s="29" t="str">
        <f>'web survey'!AA244</f>
        <v>1047A2601562</v>
      </c>
      <c r="D246" s="30" t="str">
        <f>IF(B246="FU-ACInstall",VLOOKUP(VALUE('web survey'!D244),ref!$B$6:$C$7,2,0)&amp;" ("&amp;'web survey'!D244&amp;")",VLOOKUP(VALUE('web survey'!D244),ref!$E$6:$F$10,2,0)&amp;" ("&amp;'web survey'!D244&amp;")")</f>
        <v>Good (10)</v>
      </c>
      <c r="E246" s="32" t="str">
        <f>'web survey'!S244</f>
        <v/>
      </c>
      <c r="F246" s="30" t="str">
        <f>IF(B246="FU-ACInstall",VLOOKUP(VALUE('web survey'!E244),ref!$B$10:$C$12,2,0)&amp;" ("&amp;'web survey'!E244&amp;")",VLOOKUP(VALUE('web survey'!E244),ref!$E$13:$F$17,2,0)&amp;" ("&amp;'web survey'!E244&amp;")")</f>
        <v>Very Good (10)</v>
      </c>
      <c r="G246" s="32" t="str">
        <f>'web survey'!T244</f>
        <v/>
      </c>
      <c r="H246" s="30" t="str">
        <f>IF(B246="FU-ACInstall",VLOOKUP(VALUE('web survey'!F244),ref!$B$15:$C$17,2,0)&amp;" ("&amp;'web survey'!F244&amp;")",VLOOKUP(VALUE('web survey'!F244),ref!$E$20:$F$21,2,0)&amp;" ("&amp;'web survey'!F244&amp;")")</f>
        <v>Appropriate with SAP / in Warranty (10)</v>
      </c>
      <c r="I246" s="32" t="str">
        <f>'web survey'!U244</f>
        <v/>
      </c>
      <c r="J246" s="30" t="str">
        <f>IF(B246="FU-ACInstall","-",VLOOKUP(VALUE('web survey'!G244),ref!$E$24:$F$26,2,0)&amp;" ("&amp;'web survey'!G244&amp;")")</f>
        <v>Jelas (5)</v>
      </c>
      <c r="K246" s="28" t="str">
        <f>YEAR('web survey'!Z244)&amp;"-"&amp;IF(MONTH('web survey'!Z244)&lt;10,"0"&amp;MONTH('web survey'!Z244),MONTH('web survey'!Z244))&amp;"-"&amp;IF(DAY('web survey'!Z244)&lt;10,"0"&amp;DAY('web survey'!Z244),DAY('web survey'!Z244))&amp;" "&amp;IF(HOUR('web survey'!Z244)&lt;10,"0"&amp;HOUR('web survey'!Z244),HOUR('web survey'!Z244))&amp;":"&amp;IF(MINUTE('web survey'!Z244)&lt;10,"0"&amp;MINUTE('web survey'!Z244),MINUTE('web survey'!Z244))&amp;(":00'")</f>
        <v>2026-06-12 15:05:00'</v>
      </c>
      <c r="N246" s="22">
        <v>243</v>
      </c>
      <c r="O246" s="22" t="s">
        <v>27</v>
      </c>
      <c r="P246" s="22" t="s">
        <v>461</v>
      </c>
      <c r="Q246" s="22" t="s">
        <v>18</v>
      </c>
      <c r="R246" s="22" t="s">
        <v>17</v>
      </c>
      <c r="S246" s="22" t="s">
        <v>37</v>
      </c>
      <c r="T246" s="22" t="s">
        <v>17</v>
      </c>
      <c r="U246" s="22" t="s">
        <v>30</v>
      </c>
      <c r="V246" s="22" t="s">
        <v>17</v>
      </c>
      <c r="W246" s="22" t="s">
        <v>34</v>
      </c>
      <c r="X246" s="22" t="s">
        <v>456</v>
      </c>
    </row>
    <row r="247" spans="1:24">
      <c r="A247" s="28">
        <f>IF(B247="","",ROW()-COUNTBLANK($B$4:B247)-3)</f>
        <v>244</v>
      </c>
      <c r="B247" s="28" t="str">
        <f>'web survey'!C245</f>
        <v>FU-Z1-Eng</v>
      </c>
      <c r="C247" s="29" t="str">
        <f>'web survey'!AA245</f>
        <v>1100356723</v>
      </c>
      <c r="D247" s="30" t="str">
        <f>IF(B247="FU-ACInstall",VLOOKUP(VALUE('web survey'!D245),ref!$B$6:$C$7,2,0)&amp;" ("&amp;'web survey'!D245&amp;")",VLOOKUP(VALUE('web survey'!D245),ref!$E$6:$F$10,2,0)&amp;" ("&amp;'web survey'!D245&amp;")")</f>
        <v>Good (10)</v>
      </c>
      <c r="E247" s="32" t="str">
        <f>'web survey'!S245</f>
        <v/>
      </c>
      <c r="F247" s="30" t="str">
        <f>IF(B247="FU-ACInstall",VLOOKUP(VALUE('web survey'!E245),ref!$B$10:$C$12,2,0)&amp;" ("&amp;'web survey'!E245&amp;")",VLOOKUP(VALUE('web survey'!E245),ref!$E$13:$F$17,2,0)&amp;" ("&amp;'web survey'!E245&amp;")")</f>
        <v>Average (3)</v>
      </c>
      <c r="G247" s="32" t="str">
        <f>'web survey'!T245</f>
        <v/>
      </c>
      <c r="H247" s="30" t="str">
        <f>IF(B247="FU-ACInstall",VLOOKUP(VALUE('web survey'!F245),ref!$B$15:$C$17,2,0)&amp;" ("&amp;'web survey'!F245&amp;")",VLOOKUP(VALUE('web survey'!F245),ref!$E$20:$F$21,2,0)&amp;" ("&amp;'web survey'!F245&amp;")")</f>
        <v>Appropriate with SAP / in Warranty (10)</v>
      </c>
      <c r="I247" s="32" t="str">
        <f>'web survey'!U245</f>
        <v/>
      </c>
      <c r="J247" s="30" t="str">
        <f>IF(B247="FU-ACInstall","-",VLOOKUP(VALUE('web survey'!G245),ref!$E$24:$F$26,2,0)&amp;" ("&amp;'web survey'!G245&amp;")")</f>
        <v>Jelas (5)</v>
      </c>
      <c r="K247" s="28" t="str">
        <f>YEAR('web survey'!Z245)&amp;"-"&amp;IF(MONTH('web survey'!Z245)&lt;10,"0"&amp;MONTH('web survey'!Z245),MONTH('web survey'!Z245))&amp;"-"&amp;IF(DAY('web survey'!Z245)&lt;10,"0"&amp;DAY('web survey'!Z245),DAY('web survey'!Z245))&amp;" "&amp;IF(HOUR('web survey'!Z245)&lt;10,"0"&amp;HOUR('web survey'!Z245),HOUR('web survey'!Z245))&amp;":"&amp;IF(MINUTE('web survey'!Z245)&lt;10,"0"&amp;MINUTE('web survey'!Z245),MINUTE('web survey'!Z245))&amp;(":00'")</f>
        <v>2026-06-12 15:05:00'</v>
      </c>
      <c r="N247" s="22">
        <v>244</v>
      </c>
      <c r="O247" s="22" t="s">
        <v>27</v>
      </c>
      <c r="P247" s="22" t="s">
        <v>462</v>
      </c>
      <c r="Q247" s="22" t="s">
        <v>18</v>
      </c>
      <c r="R247" s="22" t="s">
        <v>17</v>
      </c>
      <c r="S247" s="22" t="s">
        <v>204</v>
      </c>
      <c r="T247" s="22" t="s">
        <v>17</v>
      </c>
      <c r="U247" s="22" t="s">
        <v>30</v>
      </c>
      <c r="V247" s="22" t="s">
        <v>17</v>
      </c>
      <c r="W247" s="22" t="s">
        <v>34</v>
      </c>
      <c r="X247" s="22" t="s">
        <v>456</v>
      </c>
    </row>
    <row r="248" spans="1:24">
      <c r="A248" s="28">
        <f>IF(B248="","",ROW()-COUNTBLANK($B$4:B248)-3)</f>
        <v>245</v>
      </c>
      <c r="B248" s="28" t="str">
        <f>'web survey'!C246</f>
        <v>FU-Z1-Eng</v>
      </c>
      <c r="C248" s="29" t="str">
        <f>'web survey'!AA246</f>
        <v>100987520</v>
      </c>
      <c r="D248" s="30" t="str">
        <f>IF(B248="FU-ACInstall",VLOOKUP(VALUE('web survey'!D246),ref!$B$6:$C$7,2,0)&amp;" ("&amp;'web survey'!D246&amp;")",VLOOKUP(VALUE('web survey'!D246),ref!$E$6:$F$10,2,0)&amp;" ("&amp;'web survey'!D246&amp;")")</f>
        <v>Good (10)</v>
      </c>
      <c r="E248" s="32" t="str">
        <f>'web survey'!S246</f>
        <v/>
      </c>
      <c r="F248" s="30" t="str">
        <f>IF(B248="FU-ACInstall",VLOOKUP(VALUE('web survey'!E246),ref!$B$10:$C$12,2,0)&amp;" ("&amp;'web survey'!E246&amp;")",VLOOKUP(VALUE('web survey'!E246),ref!$E$13:$F$17,2,0)&amp;" ("&amp;'web survey'!E246&amp;")")</f>
        <v>Very Good (10)</v>
      </c>
      <c r="G248" s="32" t="str">
        <f>'web survey'!T246</f>
        <v/>
      </c>
      <c r="H248" s="30" t="str">
        <f>IF(B248="FU-ACInstall",VLOOKUP(VALUE('web survey'!F246),ref!$B$15:$C$17,2,0)&amp;" ("&amp;'web survey'!F246&amp;")",VLOOKUP(VALUE('web survey'!F246),ref!$E$20:$F$21,2,0)&amp;" ("&amp;'web survey'!F246&amp;")")</f>
        <v>Appropriate with SAP / in Warranty (10)</v>
      </c>
      <c r="I248" s="32" t="str">
        <f>'web survey'!U246</f>
        <v/>
      </c>
      <c r="J248" s="30" t="str">
        <f>IF(B248="FU-ACInstall","-",VLOOKUP(VALUE('web survey'!G246),ref!$E$24:$F$26,2,0)&amp;" ("&amp;'web survey'!G246&amp;")")</f>
        <v>Jelas (5)</v>
      </c>
      <c r="K248" s="28" t="str">
        <f>YEAR('web survey'!Z246)&amp;"-"&amp;IF(MONTH('web survey'!Z246)&lt;10,"0"&amp;MONTH('web survey'!Z246),MONTH('web survey'!Z246))&amp;"-"&amp;IF(DAY('web survey'!Z246)&lt;10,"0"&amp;DAY('web survey'!Z246),DAY('web survey'!Z246))&amp;" "&amp;IF(HOUR('web survey'!Z246)&lt;10,"0"&amp;HOUR('web survey'!Z246),HOUR('web survey'!Z246))&amp;":"&amp;IF(MINUTE('web survey'!Z246)&lt;10,"0"&amp;MINUTE('web survey'!Z246),MINUTE('web survey'!Z246))&amp;(":00'")</f>
        <v>2026-06-12 15:05:00'</v>
      </c>
      <c r="N248" s="22">
        <v>245</v>
      </c>
      <c r="O248" s="22" t="s">
        <v>27</v>
      </c>
      <c r="P248" s="22" t="s">
        <v>463</v>
      </c>
      <c r="Q248" s="22" t="s">
        <v>18</v>
      </c>
      <c r="R248" s="22" t="s">
        <v>17</v>
      </c>
      <c r="S248" s="22" t="s">
        <v>37</v>
      </c>
      <c r="T248" s="22" t="s">
        <v>17</v>
      </c>
      <c r="U248" s="22" t="s">
        <v>30</v>
      </c>
      <c r="V248" s="22" t="s">
        <v>17</v>
      </c>
      <c r="W248" s="22" t="s">
        <v>34</v>
      </c>
      <c r="X248" s="22" t="s">
        <v>456</v>
      </c>
    </row>
    <row r="249" spans="1:24">
      <c r="A249" s="28">
        <f>IF(B249="","",ROW()-COUNTBLANK($B$4:B249)-3)</f>
        <v>246</v>
      </c>
      <c r="B249" s="28" t="str">
        <f>'web survey'!C247</f>
        <v>FU-Z1-Eng</v>
      </c>
      <c r="C249" s="29" t="str">
        <f>'web survey'!AA247</f>
        <v>100986225</v>
      </c>
      <c r="D249" s="30" t="str">
        <f>IF(B249="FU-ACInstall",VLOOKUP(VALUE('web survey'!D247),ref!$B$6:$C$7,2,0)&amp;" ("&amp;'web survey'!D247&amp;")",VLOOKUP(VALUE('web survey'!D247),ref!$E$6:$F$10,2,0)&amp;" ("&amp;'web survey'!D247&amp;")")</f>
        <v>Good (10)</v>
      </c>
      <c r="E249" s="32" t="str">
        <f>'web survey'!S247</f>
        <v/>
      </c>
      <c r="F249" s="30" t="str">
        <f>IF(B249="FU-ACInstall",VLOOKUP(VALUE('web survey'!E247),ref!$B$10:$C$12,2,0)&amp;" ("&amp;'web survey'!E247&amp;")",VLOOKUP(VALUE('web survey'!E247),ref!$E$13:$F$17,2,0)&amp;" ("&amp;'web survey'!E247&amp;")")</f>
        <v>Very Good (10)</v>
      </c>
      <c r="G249" s="32" t="str">
        <f>'web survey'!T247</f>
        <v/>
      </c>
      <c r="H249" s="30" t="str">
        <f>IF(B249="FU-ACInstall",VLOOKUP(VALUE('web survey'!F247),ref!$B$15:$C$17,2,0)&amp;" ("&amp;'web survey'!F247&amp;")",VLOOKUP(VALUE('web survey'!F247),ref!$E$20:$F$21,2,0)&amp;" ("&amp;'web survey'!F247&amp;")")</f>
        <v>Appropriate with SAP / in Warranty (10)</v>
      </c>
      <c r="I249" s="32" t="str">
        <f>'web survey'!U247</f>
        <v/>
      </c>
      <c r="J249" s="30" t="str">
        <f>IF(B249="FU-ACInstall","-",VLOOKUP(VALUE('web survey'!G247),ref!$E$24:$F$26,2,0)&amp;" ("&amp;'web survey'!G247&amp;")")</f>
        <v>Jelas (5)</v>
      </c>
      <c r="K249" s="28" t="str">
        <f>YEAR('web survey'!Z247)&amp;"-"&amp;IF(MONTH('web survey'!Z247)&lt;10,"0"&amp;MONTH('web survey'!Z247),MONTH('web survey'!Z247))&amp;"-"&amp;IF(DAY('web survey'!Z247)&lt;10,"0"&amp;DAY('web survey'!Z247),DAY('web survey'!Z247))&amp;" "&amp;IF(HOUR('web survey'!Z247)&lt;10,"0"&amp;HOUR('web survey'!Z247),HOUR('web survey'!Z247))&amp;":"&amp;IF(MINUTE('web survey'!Z247)&lt;10,"0"&amp;MINUTE('web survey'!Z247),MINUTE('web survey'!Z247))&amp;(":00'")</f>
        <v>2026-06-12 15:04:00'</v>
      </c>
      <c r="N249" s="22">
        <v>246</v>
      </c>
      <c r="O249" s="22" t="s">
        <v>27</v>
      </c>
      <c r="P249" s="22" t="s">
        <v>464</v>
      </c>
      <c r="Q249" s="22" t="s">
        <v>18</v>
      </c>
      <c r="R249" s="22" t="s">
        <v>17</v>
      </c>
      <c r="S249" s="22" t="s">
        <v>37</v>
      </c>
      <c r="T249" s="22" t="s">
        <v>17</v>
      </c>
      <c r="U249" s="22" t="s">
        <v>30</v>
      </c>
      <c r="V249" s="22" t="s">
        <v>17</v>
      </c>
      <c r="W249" s="22" t="s">
        <v>34</v>
      </c>
      <c r="X249" s="22" t="s">
        <v>465</v>
      </c>
    </row>
    <row r="250" spans="1:24">
      <c r="A250" s="28">
        <f>IF(B250="","",ROW()-COUNTBLANK($B$4:B250)-3)</f>
        <v>247</v>
      </c>
      <c r="B250" s="28" t="str">
        <f>'web survey'!C248</f>
        <v>FU-Z1-Eng</v>
      </c>
      <c r="C250" s="29" t="str">
        <f>'web survey'!AA248</f>
        <v>204469751</v>
      </c>
      <c r="D250" s="30" t="str">
        <f>IF(B250="FU-ACInstall",VLOOKUP(VALUE('web survey'!D248),ref!$B$6:$C$7,2,0)&amp;" ("&amp;'web survey'!D248&amp;")",VLOOKUP(VALUE('web survey'!D248),ref!$E$6:$F$10,2,0)&amp;" ("&amp;'web survey'!D248&amp;")")</f>
        <v>Good (10)</v>
      </c>
      <c r="E250" s="32" t="str">
        <f>'web survey'!S248</f>
        <v/>
      </c>
      <c r="F250" s="30" t="str">
        <f>IF(B250="FU-ACInstall",VLOOKUP(VALUE('web survey'!E248),ref!$B$10:$C$12,2,0)&amp;" ("&amp;'web survey'!E248&amp;")",VLOOKUP(VALUE('web survey'!E248),ref!$E$13:$F$17,2,0)&amp;" ("&amp;'web survey'!E248&amp;")")</f>
        <v>Good (5)</v>
      </c>
      <c r="G250" s="32" t="str">
        <f>'web survey'!T248</f>
        <v/>
      </c>
      <c r="H250" s="30" t="str">
        <f>IF(B250="FU-ACInstall",VLOOKUP(VALUE('web survey'!F248),ref!$B$15:$C$17,2,0)&amp;" ("&amp;'web survey'!F248&amp;")",VLOOKUP(VALUE('web survey'!F248),ref!$E$20:$F$21,2,0)&amp;" ("&amp;'web survey'!F248&amp;")")</f>
        <v>Appropriate with SAP / in Warranty (10)</v>
      </c>
      <c r="I250" s="32" t="str">
        <f>'web survey'!U248</f>
        <v/>
      </c>
      <c r="J250" s="30" t="str">
        <f>IF(B250="FU-ACInstall","-",VLOOKUP(VALUE('web survey'!G248),ref!$E$24:$F$26,2,0)&amp;" ("&amp;'web survey'!G248&amp;")")</f>
        <v>Jelas (5)</v>
      </c>
      <c r="K250" s="28" t="str">
        <f>YEAR('web survey'!Z248)&amp;"-"&amp;IF(MONTH('web survey'!Z248)&lt;10,"0"&amp;MONTH('web survey'!Z248),MONTH('web survey'!Z248))&amp;"-"&amp;IF(DAY('web survey'!Z248)&lt;10,"0"&amp;DAY('web survey'!Z248),DAY('web survey'!Z248))&amp;" "&amp;IF(HOUR('web survey'!Z248)&lt;10,"0"&amp;HOUR('web survey'!Z248),HOUR('web survey'!Z248))&amp;":"&amp;IF(MINUTE('web survey'!Z248)&lt;10,"0"&amp;MINUTE('web survey'!Z248),MINUTE('web survey'!Z248))&amp;(":00'")</f>
        <v>2026-06-12 15:04:00'</v>
      </c>
      <c r="N250" s="22">
        <v>247</v>
      </c>
      <c r="O250" s="22" t="s">
        <v>27</v>
      </c>
      <c r="P250" s="22" t="s">
        <v>466</v>
      </c>
      <c r="Q250" s="22" t="s">
        <v>18</v>
      </c>
      <c r="R250" s="22" t="s">
        <v>17</v>
      </c>
      <c r="S250" s="22" t="s">
        <v>29</v>
      </c>
      <c r="T250" s="22" t="s">
        <v>17</v>
      </c>
      <c r="U250" s="22" t="s">
        <v>30</v>
      </c>
      <c r="V250" s="22" t="s">
        <v>17</v>
      </c>
      <c r="W250" s="22" t="s">
        <v>34</v>
      </c>
      <c r="X250" s="22" t="s">
        <v>465</v>
      </c>
    </row>
    <row r="251" spans="1:24">
      <c r="A251" s="28">
        <f>IF(B251="","",ROW()-COUNTBLANK($B$4:B251)-3)</f>
        <v>248</v>
      </c>
      <c r="B251" s="28" t="str">
        <f>'web survey'!C249</f>
        <v>FU-Z1-Eng</v>
      </c>
      <c r="C251" s="29" t="str">
        <f>'web survey'!AA249</f>
        <v>204471423</v>
      </c>
      <c r="D251" s="30" t="str">
        <f>IF(B251="FU-ACInstall",VLOOKUP(VALUE('web survey'!D249),ref!$B$6:$C$7,2,0)&amp;" ("&amp;'web survey'!D249&amp;")",VLOOKUP(VALUE('web survey'!D249),ref!$E$6:$F$10,2,0)&amp;" ("&amp;'web survey'!D249&amp;")")</f>
        <v>Good (10)</v>
      </c>
      <c r="E251" s="32" t="str">
        <f>'web survey'!S249</f>
        <v/>
      </c>
      <c r="F251" s="30" t="str">
        <f>IF(B251="FU-ACInstall",VLOOKUP(VALUE('web survey'!E249),ref!$B$10:$C$12,2,0)&amp;" ("&amp;'web survey'!E249&amp;")",VLOOKUP(VALUE('web survey'!E249),ref!$E$13:$F$17,2,0)&amp;" ("&amp;'web survey'!E249&amp;")")</f>
        <v>Very Good (10)</v>
      </c>
      <c r="G251" s="32" t="str">
        <f>'web survey'!T249</f>
        <v/>
      </c>
      <c r="H251" s="30" t="str">
        <f>IF(B251="FU-ACInstall",VLOOKUP(VALUE('web survey'!F249),ref!$B$15:$C$17,2,0)&amp;" ("&amp;'web survey'!F249&amp;")",VLOOKUP(VALUE('web survey'!F249),ref!$E$20:$F$21,2,0)&amp;" ("&amp;'web survey'!F249&amp;")")</f>
        <v>Appropriate with SAP / in Warranty (10)</v>
      </c>
      <c r="I251" s="32" t="str">
        <f>'web survey'!U249</f>
        <v/>
      </c>
      <c r="J251" s="30" t="str">
        <f>IF(B251="FU-ACInstall","-",VLOOKUP(VALUE('web survey'!G249),ref!$E$24:$F$26,2,0)&amp;" ("&amp;'web survey'!G249&amp;")")</f>
        <v>Jelas (5)</v>
      </c>
      <c r="K251" s="28" t="str">
        <f>YEAR('web survey'!Z249)&amp;"-"&amp;IF(MONTH('web survey'!Z249)&lt;10,"0"&amp;MONTH('web survey'!Z249),MONTH('web survey'!Z249))&amp;"-"&amp;IF(DAY('web survey'!Z249)&lt;10,"0"&amp;DAY('web survey'!Z249),DAY('web survey'!Z249))&amp;" "&amp;IF(HOUR('web survey'!Z249)&lt;10,"0"&amp;HOUR('web survey'!Z249),HOUR('web survey'!Z249))&amp;":"&amp;IF(MINUTE('web survey'!Z249)&lt;10,"0"&amp;MINUTE('web survey'!Z249),MINUTE('web survey'!Z249))&amp;(":00'")</f>
        <v>2026-06-12 15:04:00'</v>
      </c>
      <c r="N251" s="22">
        <v>248</v>
      </c>
      <c r="O251" s="22" t="s">
        <v>27</v>
      </c>
      <c r="P251" s="22" t="s">
        <v>467</v>
      </c>
      <c r="Q251" s="22" t="s">
        <v>18</v>
      </c>
      <c r="R251" s="22" t="s">
        <v>17</v>
      </c>
      <c r="S251" s="22" t="s">
        <v>37</v>
      </c>
      <c r="T251" s="22" t="s">
        <v>17</v>
      </c>
      <c r="U251" s="22" t="s">
        <v>30</v>
      </c>
      <c r="V251" s="22" t="s">
        <v>17</v>
      </c>
      <c r="W251" s="22" t="s">
        <v>34</v>
      </c>
      <c r="X251" s="22" t="s">
        <v>465</v>
      </c>
    </row>
    <row r="252" spans="1:24">
      <c r="A252" s="28">
        <f>IF(B252="","",ROW()-COUNTBLANK($B$4:B252)-3)</f>
        <v>249</v>
      </c>
      <c r="B252" s="28" t="str">
        <f>'web survey'!C250</f>
        <v>FU-Z1-Eng</v>
      </c>
      <c r="C252" s="29" t="str">
        <f>'web survey'!AA250</f>
        <v>204441186</v>
      </c>
      <c r="D252" s="30" t="str">
        <f>IF(B252="FU-ACInstall",VLOOKUP(VALUE('web survey'!D250),ref!$B$6:$C$7,2,0)&amp;" ("&amp;'web survey'!D250&amp;")",VLOOKUP(VALUE('web survey'!D250),ref!$E$6:$F$10,2,0)&amp;" ("&amp;'web survey'!D250&amp;")")</f>
        <v>Good (10)</v>
      </c>
      <c r="E252" s="32" t="str">
        <f>'web survey'!S250</f>
        <v/>
      </c>
      <c r="F252" s="30" t="str">
        <f>IF(B252="FU-ACInstall",VLOOKUP(VALUE('web survey'!E250),ref!$B$10:$C$12,2,0)&amp;" ("&amp;'web survey'!E250&amp;")",VLOOKUP(VALUE('web survey'!E250),ref!$E$13:$F$17,2,0)&amp;" ("&amp;'web survey'!E250&amp;")")</f>
        <v>Good (5)</v>
      </c>
      <c r="G252" s="32" t="str">
        <f>'web survey'!T250</f>
        <v/>
      </c>
      <c r="H252" s="30" t="str">
        <f>IF(B252="FU-ACInstall",VLOOKUP(VALUE('web survey'!F250),ref!$B$15:$C$17,2,0)&amp;" ("&amp;'web survey'!F250&amp;")",VLOOKUP(VALUE('web survey'!F250),ref!$E$20:$F$21,2,0)&amp;" ("&amp;'web survey'!F250&amp;")")</f>
        <v>Appropriate with SAP / in Warranty (10)</v>
      </c>
      <c r="I252" s="32" t="str">
        <f>'web survey'!U250</f>
        <v/>
      </c>
      <c r="J252" s="30" t="str">
        <f>IF(B252="FU-ACInstall","-",VLOOKUP(VALUE('web survey'!G250),ref!$E$24:$F$26,2,0)&amp;" ("&amp;'web survey'!G250&amp;")")</f>
        <v>Jelas (5)</v>
      </c>
      <c r="K252" s="28" t="str">
        <f>YEAR('web survey'!Z250)&amp;"-"&amp;IF(MONTH('web survey'!Z250)&lt;10,"0"&amp;MONTH('web survey'!Z250),MONTH('web survey'!Z250))&amp;"-"&amp;IF(DAY('web survey'!Z250)&lt;10,"0"&amp;DAY('web survey'!Z250),DAY('web survey'!Z250))&amp;" "&amp;IF(HOUR('web survey'!Z250)&lt;10,"0"&amp;HOUR('web survey'!Z250),HOUR('web survey'!Z250))&amp;":"&amp;IF(MINUTE('web survey'!Z250)&lt;10,"0"&amp;MINUTE('web survey'!Z250),MINUTE('web survey'!Z250))&amp;(":00'")</f>
        <v>2026-06-12 15:04:00'</v>
      </c>
      <c r="N252" s="22">
        <v>249</v>
      </c>
      <c r="O252" s="22" t="s">
        <v>27</v>
      </c>
      <c r="P252" s="22" t="s">
        <v>468</v>
      </c>
      <c r="Q252" s="22" t="s">
        <v>18</v>
      </c>
      <c r="R252" s="22" t="s">
        <v>17</v>
      </c>
      <c r="S252" s="22" t="s">
        <v>29</v>
      </c>
      <c r="T252" s="22" t="s">
        <v>17</v>
      </c>
      <c r="U252" s="22" t="s">
        <v>30</v>
      </c>
      <c r="V252" s="22" t="s">
        <v>17</v>
      </c>
      <c r="W252" s="22" t="s">
        <v>34</v>
      </c>
      <c r="X252" s="22" t="s">
        <v>465</v>
      </c>
    </row>
    <row r="253" spans="1:24">
      <c r="A253" s="28">
        <f>IF(B253="","",ROW()-COUNTBLANK($B$4:B253)-3)</f>
        <v>250</v>
      </c>
      <c r="B253" s="28" t="str">
        <f>'web survey'!C251</f>
        <v>FU-Z1-Eng</v>
      </c>
      <c r="C253" s="29" t="str">
        <f>'web survey'!AA251</f>
        <v>100987521</v>
      </c>
      <c r="D253" s="30" t="str">
        <f>IF(B253="FU-ACInstall",VLOOKUP(VALUE('web survey'!D251),ref!$B$6:$C$7,2,0)&amp;" ("&amp;'web survey'!D251&amp;")",VLOOKUP(VALUE('web survey'!D251),ref!$E$6:$F$10,2,0)&amp;" ("&amp;'web survey'!D251&amp;")")</f>
        <v>Good (10)</v>
      </c>
      <c r="E253" s="32" t="str">
        <f>'web survey'!S251</f>
        <v/>
      </c>
      <c r="F253" s="30" t="str">
        <f>IF(B253="FU-ACInstall",VLOOKUP(VALUE('web survey'!E251),ref!$B$10:$C$12,2,0)&amp;" ("&amp;'web survey'!E251&amp;")",VLOOKUP(VALUE('web survey'!E251),ref!$E$13:$F$17,2,0)&amp;" ("&amp;'web survey'!E251&amp;")")</f>
        <v>Very Good (10)</v>
      </c>
      <c r="G253" s="32" t="str">
        <f>'web survey'!T251</f>
        <v/>
      </c>
      <c r="H253" s="30" t="str">
        <f>IF(B253="FU-ACInstall",VLOOKUP(VALUE('web survey'!F251),ref!$B$15:$C$17,2,0)&amp;" ("&amp;'web survey'!F251&amp;")",VLOOKUP(VALUE('web survey'!F251),ref!$E$20:$F$21,2,0)&amp;" ("&amp;'web survey'!F251&amp;")")</f>
        <v>Appropriate with SAP / in Warranty (10)</v>
      </c>
      <c r="I253" s="32" t="str">
        <f>'web survey'!U251</f>
        <v/>
      </c>
      <c r="J253" s="30" t="str">
        <f>IF(B253="FU-ACInstall","-",VLOOKUP(VALUE('web survey'!G251),ref!$E$24:$F$26,2,0)&amp;" ("&amp;'web survey'!G251&amp;")")</f>
        <v>Jelas (5)</v>
      </c>
      <c r="K253" s="28" t="str">
        <f>YEAR('web survey'!Z251)&amp;"-"&amp;IF(MONTH('web survey'!Z251)&lt;10,"0"&amp;MONTH('web survey'!Z251),MONTH('web survey'!Z251))&amp;"-"&amp;IF(DAY('web survey'!Z251)&lt;10,"0"&amp;DAY('web survey'!Z251),DAY('web survey'!Z251))&amp;" "&amp;IF(HOUR('web survey'!Z251)&lt;10,"0"&amp;HOUR('web survey'!Z251),HOUR('web survey'!Z251))&amp;":"&amp;IF(MINUTE('web survey'!Z251)&lt;10,"0"&amp;MINUTE('web survey'!Z251),MINUTE('web survey'!Z251))&amp;(":00'")</f>
        <v>2026-06-12 15:03:00'</v>
      </c>
      <c r="N253" s="22">
        <v>250</v>
      </c>
      <c r="O253" s="22" t="s">
        <v>27</v>
      </c>
      <c r="P253" s="22" t="s">
        <v>469</v>
      </c>
      <c r="Q253" s="22" t="s">
        <v>18</v>
      </c>
      <c r="R253" s="22" t="s">
        <v>17</v>
      </c>
      <c r="S253" s="22" t="s">
        <v>37</v>
      </c>
      <c r="T253" s="22" t="s">
        <v>17</v>
      </c>
      <c r="U253" s="22" t="s">
        <v>30</v>
      </c>
      <c r="V253" s="22" t="s">
        <v>17</v>
      </c>
      <c r="W253" s="22" t="s">
        <v>34</v>
      </c>
      <c r="X253" s="22" t="s">
        <v>470</v>
      </c>
    </row>
    <row r="254" spans="1:24">
      <c r="A254" s="28">
        <f>IF(B254="","",ROW()-COUNTBLANK($B$4:B254)-3)</f>
        <v>251</v>
      </c>
      <c r="B254" s="28" t="str">
        <f>'web survey'!C252</f>
        <v>FU-Z1-Eng</v>
      </c>
      <c r="C254" s="29" t="str">
        <f>'web survey'!AA252</f>
        <v>204425803</v>
      </c>
      <c r="D254" s="30" t="str">
        <f>IF(B254="FU-ACInstall",VLOOKUP(VALUE('web survey'!D252),ref!$B$6:$C$7,2,0)&amp;" ("&amp;'web survey'!D252&amp;")",VLOOKUP(VALUE('web survey'!D252),ref!$E$6:$F$10,2,0)&amp;" ("&amp;'web survey'!D252&amp;")")</f>
        <v>Good (10)</v>
      </c>
      <c r="E254" s="32" t="str">
        <f>'web survey'!S252</f>
        <v/>
      </c>
      <c r="F254" s="30" t="str">
        <f>IF(B254="FU-ACInstall",VLOOKUP(VALUE('web survey'!E252),ref!$B$10:$C$12,2,0)&amp;" ("&amp;'web survey'!E252&amp;")",VLOOKUP(VALUE('web survey'!E252),ref!$E$13:$F$17,2,0)&amp;" ("&amp;'web survey'!E252&amp;")")</f>
        <v>Very Good (10)</v>
      </c>
      <c r="G254" s="32" t="str">
        <f>'web survey'!T252</f>
        <v/>
      </c>
      <c r="H254" s="30" t="str">
        <f>IF(B254="FU-ACInstall",VLOOKUP(VALUE('web survey'!F252),ref!$B$15:$C$17,2,0)&amp;" ("&amp;'web survey'!F252&amp;")",VLOOKUP(VALUE('web survey'!F252),ref!$E$20:$F$21,2,0)&amp;" ("&amp;'web survey'!F252&amp;")")</f>
        <v>Appropriate with SAP / in Warranty (10)</v>
      </c>
      <c r="I254" s="32" t="str">
        <f>'web survey'!U252</f>
        <v/>
      </c>
      <c r="J254" s="30" t="str">
        <f>IF(B254="FU-ACInstall","-",VLOOKUP(VALUE('web survey'!G252),ref!$E$24:$F$26,2,0)&amp;" ("&amp;'web survey'!G252&amp;")")</f>
        <v>Jelas (5)</v>
      </c>
      <c r="K254" s="28" t="str">
        <f>YEAR('web survey'!Z252)&amp;"-"&amp;IF(MONTH('web survey'!Z252)&lt;10,"0"&amp;MONTH('web survey'!Z252),MONTH('web survey'!Z252))&amp;"-"&amp;IF(DAY('web survey'!Z252)&lt;10,"0"&amp;DAY('web survey'!Z252),DAY('web survey'!Z252))&amp;" "&amp;IF(HOUR('web survey'!Z252)&lt;10,"0"&amp;HOUR('web survey'!Z252),HOUR('web survey'!Z252))&amp;":"&amp;IF(MINUTE('web survey'!Z252)&lt;10,"0"&amp;MINUTE('web survey'!Z252),MINUTE('web survey'!Z252))&amp;(":00'")</f>
        <v>2026-06-12 15:03:00'</v>
      </c>
      <c r="N254" s="22">
        <v>251</v>
      </c>
      <c r="O254" s="22" t="s">
        <v>27</v>
      </c>
      <c r="P254" s="22" t="s">
        <v>471</v>
      </c>
      <c r="Q254" s="22" t="s">
        <v>18</v>
      </c>
      <c r="R254" s="22" t="s">
        <v>17</v>
      </c>
      <c r="S254" s="22" t="s">
        <v>37</v>
      </c>
      <c r="T254" s="22" t="s">
        <v>17</v>
      </c>
      <c r="U254" s="22" t="s">
        <v>30</v>
      </c>
      <c r="V254" s="22" t="s">
        <v>17</v>
      </c>
      <c r="W254" s="22" t="s">
        <v>34</v>
      </c>
      <c r="X254" s="22" t="s">
        <v>470</v>
      </c>
    </row>
    <row r="255" spans="1:24">
      <c r="A255" s="28">
        <f>IF(B255="","",ROW()-COUNTBLANK($B$4:B255)-3)</f>
        <v>252</v>
      </c>
      <c r="B255" s="28" t="str">
        <f>'web survey'!C253</f>
        <v>FU-Z1-Eng</v>
      </c>
      <c r="C255" s="29" t="str">
        <f>'web survey'!AA253</f>
        <v>204471875</v>
      </c>
      <c r="D255" s="30" t="str">
        <f>IF(B255="FU-ACInstall",VLOOKUP(VALUE('web survey'!D253),ref!$B$6:$C$7,2,0)&amp;" ("&amp;'web survey'!D253&amp;")",VLOOKUP(VALUE('web survey'!D253),ref!$E$6:$F$10,2,0)&amp;" ("&amp;'web survey'!D253&amp;")")</f>
        <v>Good (10)</v>
      </c>
      <c r="E255" s="32" t="str">
        <f>'web survey'!S253</f>
        <v/>
      </c>
      <c r="F255" s="30" t="str">
        <f>IF(B255="FU-ACInstall",VLOOKUP(VALUE('web survey'!E253),ref!$B$10:$C$12,2,0)&amp;" ("&amp;'web survey'!E253&amp;")",VLOOKUP(VALUE('web survey'!E253),ref!$E$13:$F$17,2,0)&amp;" ("&amp;'web survey'!E253&amp;")")</f>
        <v>Very Good (10)</v>
      </c>
      <c r="G255" s="32" t="str">
        <f>'web survey'!T253</f>
        <v/>
      </c>
      <c r="H255" s="30" t="str">
        <f>IF(B255="FU-ACInstall",VLOOKUP(VALUE('web survey'!F253),ref!$B$15:$C$17,2,0)&amp;" ("&amp;'web survey'!F253&amp;")",VLOOKUP(VALUE('web survey'!F253),ref!$E$20:$F$21,2,0)&amp;" ("&amp;'web survey'!F253&amp;")")</f>
        <v>Appropriate with SAP / in Warranty (10)</v>
      </c>
      <c r="I255" s="32" t="str">
        <f>'web survey'!U253</f>
        <v/>
      </c>
      <c r="J255" s="30" t="str">
        <f>IF(B255="FU-ACInstall","-",VLOOKUP(VALUE('web survey'!G253),ref!$E$24:$F$26,2,0)&amp;" ("&amp;'web survey'!G253&amp;")")</f>
        <v>Jelas (5)</v>
      </c>
      <c r="K255" s="28" t="str">
        <f>YEAR('web survey'!Z253)&amp;"-"&amp;IF(MONTH('web survey'!Z253)&lt;10,"0"&amp;MONTH('web survey'!Z253),MONTH('web survey'!Z253))&amp;"-"&amp;IF(DAY('web survey'!Z253)&lt;10,"0"&amp;DAY('web survey'!Z253),DAY('web survey'!Z253))&amp;" "&amp;IF(HOUR('web survey'!Z253)&lt;10,"0"&amp;HOUR('web survey'!Z253),HOUR('web survey'!Z253))&amp;":"&amp;IF(MINUTE('web survey'!Z253)&lt;10,"0"&amp;MINUTE('web survey'!Z253),MINUTE('web survey'!Z253))&amp;(":00'")</f>
        <v>2026-06-12 15:03:00'</v>
      </c>
      <c r="N255" s="22">
        <v>252</v>
      </c>
      <c r="O255" s="22" t="s">
        <v>27</v>
      </c>
      <c r="P255" s="22" t="s">
        <v>472</v>
      </c>
      <c r="Q255" s="22" t="s">
        <v>18</v>
      </c>
      <c r="R255" s="22" t="s">
        <v>17</v>
      </c>
      <c r="S255" s="22" t="s">
        <v>37</v>
      </c>
      <c r="T255" s="22" t="s">
        <v>17</v>
      </c>
      <c r="U255" s="22" t="s">
        <v>30</v>
      </c>
      <c r="V255" s="22" t="s">
        <v>17</v>
      </c>
      <c r="W255" s="22" t="s">
        <v>34</v>
      </c>
      <c r="X255" s="22" t="s">
        <v>470</v>
      </c>
    </row>
    <row r="256" spans="1:24">
      <c r="A256" s="28">
        <f>IF(B256="","",ROW()-COUNTBLANK($B$4:B256)-3)</f>
        <v>253</v>
      </c>
      <c r="B256" s="28" t="str">
        <f>'web survey'!C254</f>
        <v>FU-Z1-Eng</v>
      </c>
      <c r="C256" s="29" t="str">
        <f>'web survey'!AA254</f>
        <v>2604A2600228</v>
      </c>
      <c r="D256" s="30" t="str">
        <f>IF(B256="FU-ACInstall",VLOOKUP(VALUE('web survey'!D254),ref!$B$6:$C$7,2,0)&amp;" ("&amp;'web survey'!D254&amp;")",VLOOKUP(VALUE('web survey'!D254),ref!$E$6:$F$10,2,0)&amp;" ("&amp;'web survey'!D254&amp;")")</f>
        <v>Good (10)</v>
      </c>
      <c r="E256" s="32" t="str">
        <f>'web survey'!S254</f>
        <v/>
      </c>
      <c r="F256" s="30" t="str">
        <f>IF(B256="FU-ACInstall",VLOOKUP(VALUE('web survey'!E254),ref!$B$10:$C$12,2,0)&amp;" ("&amp;'web survey'!E254&amp;")",VLOOKUP(VALUE('web survey'!E254),ref!$E$13:$F$17,2,0)&amp;" ("&amp;'web survey'!E254&amp;")")</f>
        <v>Very Good (10)</v>
      </c>
      <c r="G256" s="32" t="str">
        <f>'web survey'!T254</f>
        <v/>
      </c>
      <c r="H256" s="30" t="str">
        <f>IF(B256="FU-ACInstall",VLOOKUP(VALUE('web survey'!F254),ref!$B$15:$C$17,2,0)&amp;" ("&amp;'web survey'!F254&amp;")",VLOOKUP(VALUE('web survey'!F254),ref!$E$20:$F$21,2,0)&amp;" ("&amp;'web survey'!F254&amp;")")</f>
        <v>Appropriate with SAP / in Warranty (10)</v>
      </c>
      <c r="I256" s="32" t="str">
        <f>'web survey'!U254</f>
        <v/>
      </c>
      <c r="J256" s="30" t="str">
        <f>IF(B256="FU-ACInstall","-",VLOOKUP(VALUE('web survey'!G254),ref!$E$24:$F$26,2,0)&amp;" ("&amp;'web survey'!G254&amp;")")</f>
        <v>Jelas (5)</v>
      </c>
      <c r="K256" s="28" t="str">
        <f>YEAR('web survey'!Z254)&amp;"-"&amp;IF(MONTH('web survey'!Z254)&lt;10,"0"&amp;MONTH('web survey'!Z254),MONTH('web survey'!Z254))&amp;"-"&amp;IF(DAY('web survey'!Z254)&lt;10,"0"&amp;DAY('web survey'!Z254),DAY('web survey'!Z254))&amp;" "&amp;IF(HOUR('web survey'!Z254)&lt;10,"0"&amp;HOUR('web survey'!Z254),HOUR('web survey'!Z254))&amp;":"&amp;IF(MINUTE('web survey'!Z254)&lt;10,"0"&amp;MINUTE('web survey'!Z254),MINUTE('web survey'!Z254))&amp;(":00'")</f>
        <v>2026-06-12 15:02:00'</v>
      </c>
      <c r="N256" s="22">
        <v>253</v>
      </c>
      <c r="O256" s="22" t="s">
        <v>27</v>
      </c>
      <c r="P256" s="22" t="s">
        <v>473</v>
      </c>
      <c r="Q256" s="22" t="s">
        <v>18</v>
      </c>
      <c r="R256" s="22" t="s">
        <v>17</v>
      </c>
      <c r="S256" s="22" t="s">
        <v>37</v>
      </c>
      <c r="T256" s="22" t="s">
        <v>17</v>
      </c>
      <c r="U256" s="22" t="s">
        <v>30</v>
      </c>
      <c r="V256" s="22" t="s">
        <v>17</v>
      </c>
      <c r="W256" s="22" t="s">
        <v>34</v>
      </c>
      <c r="X256" s="22" t="s">
        <v>474</v>
      </c>
    </row>
    <row r="257" spans="1:24">
      <c r="A257" s="28">
        <f>IF(B257="","",ROW()-COUNTBLANK($B$4:B257)-3)</f>
        <v>254</v>
      </c>
      <c r="B257" s="28" t="str">
        <f>'web survey'!C255</f>
        <v>FU-Z1-Eng</v>
      </c>
      <c r="C257" s="29" t="str">
        <f>'web survey'!AA255</f>
        <v>204472582</v>
      </c>
      <c r="D257" s="30" t="str">
        <f>IF(B257="FU-ACInstall",VLOOKUP(VALUE('web survey'!D255),ref!$B$6:$C$7,2,0)&amp;" ("&amp;'web survey'!D255&amp;")",VLOOKUP(VALUE('web survey'!D255),ref!$E$6:$F$10,2,0)&amp;" ("&amp;'web survey'!D255&amp;")")</f>
        <v>Good (10)</v>
      </c>
      <c r="E257" s="32" t="str">
        <f>'web survey'!S255</f>
        <v/>
      </c>
      <c r="F257" s="30" t="str">
        <f>IF(B257="FU-ACInstall",VLOOKUP(VALUE('web survey'!E255),ref!$B$10:$C$12,2,0)&amp;" ("&amp;'web survey'!E255&amp;")",VLOOKUP(VALUE('web survey'!E255),ref!$E$13:$F$17,2,0)&amp;" ("&amp;'web survey'!E255&amp;")")</f>
        <v>Very Good (10)</v>
      </c>
      <c r="G257" s="32" t="str">
        <f>'web survey'!T255</f>
        <v/>
      </c>
      <c r="H257" s="30" t="str">
        <f>IF(B257="FU-ACInstall",VLOOKUP(VALUE('web survey'!F255),ref!$B$15:$C$17,2,0)&amp;" ("&amp;'web survey'!F255&amp;")",VLOOKUP(VALUE('web survey'!F255),ref!$E$20:$F$21,2,0)&amp;" ("&amp;'web survey'!F255&amp;")")</f>
        <v>Appropriate with SAP / in Warranty (10)</v>
      </c>
      <c r="I257" s="32" t="str">
        <f>'web survey'!U255</f>
        <v/>
      </c>
      <c r="J257" s="30" t="str">
        <f>IF(B257="FU-ACInstall","-",VLOOKUP(VALUE('web survey'!G255),ref!$E$24:$F$26,2,0)&amp;" ("&amp;'web survey'!G255&amp;")")</f>
        <v>Jelas (5)</v>
      </c>
      <c r="K257" s="28" t="str">
        <f>YEAR('web survey'!Z255)&amp;"-"&amp;IF(MONTH('web survey'!Z255)&lt;10,"0"&amp;MONTH('web survey'!Z255),MONTH('web survey'!Z255))&amp;"-"&amp;IF(DAY('web survey'!Z255)&lt;10,"0"&amp;DAY('web survey'!Z255),DAY('web survey'!Z255))&amp;" "&amp;IF(HOUR('web survey'!Z255)&lt;10,"0"&amp;HOUR('web survey'!Z255),HOUR('web survey'!Z255))&amp;":"&amp;IF(MINUTE('web survey'!Z255)&lt;10,"0"&amp;MINUTE('web survey'!Z255),MINUTE('web survey'!Z255))&amp;(":00'")</f>
        <v>2026-06-12 15:02:00'</v>
      </c>
      <c r="N257" s="22">
        <v>254</v>
      </c>
      <c r="O257" s="22" t="s">
        <v>27</v>
      </c>
      <c r="P257" s="22" t="s">
        <v>475</v>
      </c>
      <c r="Q257" s="22" t="s">
        <v>18</v>
      </c>
      <c r="R257" s="22" t="s">
        <v>17</v>
      </c>
      <c r="S257" s="22" t="s">
        <v>37</v>
      </c>
      <c r="T257" s="22" t="s">
        <v>17</v>
      </c>
      <c r="U257" s="22" t="s">
        <v>30</v>
      </c>
      <c r="V257" s="22" t="s">
        <v>17</v>
      </c>
      <c r="W257" s="22" t="s">
        <v>34</v>
      </c>
      <c r="X257" s="22" t="s">
        <v>474</v>
      </c>
    </row>
    <row r="258" spans="1:24">
      <c r="A258" s="28">
        <f>IF(B258="","",ROW()-COUNTBLANK($B$4:B258)-3)</f>
        <v>255</v>
      </c>
      <c r="B258" s="28" t="str">
        <f>'web survey'!C256</f>
        <v>FU-Z1-Eng</v>
      </c>
      <c r="C258" s="29" t="str">
        <f>'web survey'!AA256</f>
        <v>204470132</v>
      </c>
      <c r="D258" s="30" t="str">
        <f>IF(B258="FU-ACInstall",VLOOKUP(VALUE('web survey'!D256),ref!$B$6:$C$7,2,0)&amp;" ("&amp;'web survey'!D256&amp;")",VLOOKUP(VALUE('web survey'!D256),ref!$E$6:$F$10,2,0)&amp;" ("&amp;'web survey'!D256&amp;")")</f>
        <v>Good (10)</v>
      </c>
      <c r="E258" s="32" t="str">
        <f>'web survey'!S256</f>
        <v/>
      </c>
      <c r="F258" s="30" t="str">
        <f>IF(B258="FU-ACInstall",VLOOKUP(VALUE('web survey'!E256),ref!$B$10:$C$12,2,0)&amp;" ("&amp;'web survey'!E256&amp;")",VLOOKUP(VALUE('web survey'!E256),ref!$E$13:$F$17,2,0)&amp;" ("&amp;'web survey'!E256&amp;")")</f>
        <v>Very Good (10)</v>
      </c>
      <c r="G258" s="32" t="str">
        <f>'web survey'!T256</f>
        <v/>
      </c>
      <c r="H258" s="30" t="str">
        <f>IF(B258="FU-ACInstall",VLOOKUP(VALUE('web survey'!F256),ref!$B$15:$C$17,2,0)&amp;" ("&amp;'web survey'!F256&amp;")",VLOOKUP(VALUE('web survey'!F256),ref!$E$20:$F$21,2,0)&amp;" ("&amp;'web survey'!F256&amp;")")</f>
        <v>Appropriate with SAP / in Warranty (10)</v>
      </c>
      <c r="I258" s="32" t="str">
        <f>'web survey'!U256</f>
        <v/>
      </c>
      <c r="J258" s="30" t="str">
        <f>IF(B258="FU-ACInstall","-",VLOOKUP(VALUE('web survey'!G256),ref!$E$24:$F$26,2,0)&amp;" ("&amp;'web survey'!G256&amp;")")</f>
        <v>Jelas (5)</v>
      </c>
      <c r="K258" s="28" t="str">
        <f>YEAR('web survey'!Z256)&amp;"-"&amp;IF(MONTH('web survey'!Z256)&lt;10,"0"&amp;MONTH('web survey'!Z256),MONTH('web survey'!Z256))&amp;"-"&amp;IF(DAY('web survey'!Z256)&lt;10,"0"&amp;DAY('web survey'!Z256),DAY('web survey'!Z256))&amp;" "&amp;IF(HOUR('web survey'!Z256)&lt;10,"0"&amp;HOUR('web survey'!Z256),HOUR('web survey'!Z256))&amp;":"&amp;IF(MINUTE('web survey'!Z256)&lt;10,"0"&amp;MINUTE('web survey'!Z256),MINUTE('web survey'!Z256))&amp;(":00'")</f>
        <v>2026-06-12 15:02:00'</v>
      </c>
      <c r="N258" s="22">
        <v>255</v>
      </c>
      <c r="O258" s="22" t="s">
        <v>27</v>
      </c>
      <c r="P258" s="22" t="s">
        <v>476</v>
      </c>
      <c r="Q258" s="22" t="s">
        <v>18</v>
      </c>
      <c r="R258" s="22" t="s">
        <v>17</v>
      </c>
      <c r="S258" s="22" t="s">
        <v>37</v>
      </c>
      <c r="T258" s="22" t="s">
        <v>17</v>
      </c>
      <c r="U258" s="22" t="s">
        <v>30</v>
      </c>
      <c r="V258" s="22" t="s">
        <v>17</v>
      </c>
      <c r="W258" s="22" t="s">
        <v>34</v>
      </c>
      <c r="X258" s="22" t="s">
        <v>474</v>
      </c>
    </row>
    <row r="259" spans="1:24">
      <c r="A259" s="28">
        <f>IF(B259="","",ROW()-COUNTBLANK($B$4:B259)-3)</f>
        <v>256</v>
      </c>
      <c r="B259" s="28" t="str">
        <f>'web survey'!C257</f>
        <v>FU-Z1-Eng</v>
      </c>
      <c r="C259" s="29" t="str">
        <f>'web survey'!AA257</f>
        <v>204473717</v>
      </c>
      <c r="D259" s="30" t="str">
        <f>IF(B259="FU-ACInstall",VLOOKUP(VALUE('web survey'!D257),ref!$B$6:$C$7,2,0)&amp;" ("&amp;'web survey'!D257&amp;")",VLOOKUP(VALUE('web survey'!D257),ref!$E$6:$F$10,2,0)&amp;" ("&amp;'web survey'!D257&amp;")")</f>
        <v>Good (10)</v>
      </c>
      <c r="E259" s="32" t="str">
        <f>'web survey'!S257</f>
        <v/>
      </c>
      <c r="F259" s="30" t="str">
        <f>IF(B259="FU-ACInstall",VLOOKUP(VALUE('web survey'!E257),ref!$B$10:$C$12,2,0)&amp;" ("&amp;'web survey'!E257&amp;")",VLOOKUP(VALUE('web survey'!E257),ref!$E$13:$F$17,2,0)&amp;" ("&amp;'web survey'!E257&amp;")")</f>
        <v>Very Good (10)</v>
      </c>
      <c r="G259" s="32" t="str">
        <f>'web survey'!T257</f>
        <v/>
      </c>
      <c r="H259" s="30" t="str">
        <f>IF(B259="FU-ACInstall",VLOOKUP(VALUE('web survey'!F257),ref!$B$15:$C$17,2,0)&amp;" ("&amp;'web survey'!F257&amp;")",VLOOKUP(VALUE('web survey'!F257),ref!$E$20:$F$21,2,0)&amp;" ("&amp;'web survey'!F257&amp;")")</f>
        <v>Appropriate with SAP / in Warranty (10)</v>
      </c>
      <c r="I259" s="32" t="str">
        <f>'web survey'!U257</f>
        <v/>
      </c>
      <c r="J259" s="30" t="str">
        <f>IF(B259="FU-ACInstall","-",VLOOKUP(VALUE('web survey'!G257),ref!$E$24:$F$26,2,0)&amp;" ("&amp;'web survey'!G257&amp;")")</f>
        <v>Jelas (5)</v>
      </c>
      <c r="K259" s="28" t="str">
        <f>YEAR('web survey'!Z257)&amp;"-"&amp;IF(MONTH('web survey'!Z257)&lt;10,"0"&amp;MONTH('web survey'!Z257),MONTH('web survey'!Z257))&amp;"-"&amp;IF(DAY('web survey'!Z257)&lt;10,"0"&amp;DAY('web survey'!Z257),DAY('web survey'!Z257))&amp;" "&amp;IF(HOUR('web survey'!Z257)&lt;10,"0"&amp;HOUR('web survey'!Z257),HOUR('web survey'!Z257))&amp;":"&amp;IF(MINUTE('web survey'!Z257)&lt;10,"0"&amp;MINUTE('web survey'!Z257),MINUTE('web survey'!Z257))&amp;(":00'")</f>
        <v>2026-06-12 15:01:00'</v>
      </c>
      <c r="N259" s="22">
        <v>256</v>
      </c>
      <c r="O259" s="22" t="s">
        <v>27</v>
      </c>
      <c r="P259" s="22" t="s">
        <v>477</v>
      </c>
      <c r="Q259" s="22" t="s">
        <v>18</v>
      </c>
      <c r="R259" s="22" t="s">
        <v>17</v>
      </c>
      <c r="S259" s="22" t="s">
        <v>37</v>
      </c>
      <c r="T259" s="22" t="s">
        <v>17</v>
      </c>
      <c r="U259" s="22" t="s">
        <v>30</v>
      </c>
      <c r="V259" s="22" t="s">
        <v>17</v>
      </c>
      <c r="W259" s="22" t="s">
        <v>34</v>
      </c>
      <c r="X259" s="22" t="s">
        <v>478</v>
      </c>
    </row>
    <row r="260" spans="1:24">
      <c r="A260" s="28">
        <f>IF(B260="","",ROW()-COUNTBLANK($B$4:B260)-3)</f>
        <v>257</v>
      </c>
      <c r="B260" s="28" t="str">
        <f>'web survey'!C258</f>
        <v>FU-Z1-Eng</v>
      </c>
      <c r="C260" s="29" t="str">
        <f>'web survey'!AA258</f>
        <v>204474161</v>
      </c>
      <c r="D260" s="30" t="str">
        <f>IF(B260="FU-ACInstall",VLOOKUP(VALUE('web survey'!D258),ref!$B$6:$C$7,2,0)&amp;" ("&amp;'web survey'!D258&amp;")",VLOOKUP(VALUE('web survey'!D258),ref!$E$6:$F$10,2,0)&amp;" ("&amp;'web survey'!D258&amp;")")</f>
        <v>Good (10)</v>
      </c>
      <c r="E260" s="32" t="str">
        <f>'web survey'!S258</f>
        <v/>
      </c>
      <c r="F260" s="30" t="str">
        <f>IF(B260="FU-ACInstall",VLOOKUP(VALUE('web survey'!E258),ref!$B$10:$C$12,2,0)&amp;" ("&amp;'web survey'!E258&amp;")",VLOOKUP(VALUE('web survey'!E258),ref!$E$13:$F$17,2,0)&amp;" ("&amp;'web survey'!E258&amp;")")</f>
        <v>Very Good (10)</v>
      </c>
      <c r="G260" s="32" t="str">
        <f>'web survey'!T258</f>
        <v/>
      </c>
      <c r="H260" s="30" t="str">
        <f>IF(B260="FU-ACInstall",VLOOKUP(VALUE('web survey'!F258),ref!$B$15:$C$17,2,0)&amp;" ("&amp;'web survey'!F258&amp;")",VLOOKUP(VALUE('web survey'!F258),ref!$E$20:$F$21,2,0)&amp;" ("&amp;'web survey'!F258&amp;")")</f>
        <v>Appropriate with SAP / in Warranty (10)</v>
      </c>
      <c r="I260" s="32" t="str">
        <f>'web survey'!U258</f>
        <v/>
      </c>
      <c r="J260" s="30" t="str">
        <f>IF(B260="FU-ACInstall","-",VLOOKUP(VALUE('web survey'!G258),ref!$E$24:$F$26,2,0)&amp;" ("&amp;'web survey'!G258&amp;")")</f>
        <v>Jelas (5)</v>
      </c>
      <c r="K260" s="28" t="str">
        <f>YEAR('web survey'!Z258)&amp;"-"&amp;IF(MONTH('web survey'!Z258)&lt;10,"0"&amp;MONTH('web survey'!Z258),MONTH('web survey'!Z258))&amp;"-"&amp;IF(DAY('web survey'!Z258)&lt;10,"0"&amp;DAY('web survey'!Z258),DAY('web survey'!Z258))&amp;" "&amp;IF(HOUR('web survey'!Z258)&lt;10,"0"&amp;HOUR('web survey'!Z258),HOUR('web survey'!Z258))&amp;":"&amp;IF(MINUTE('web survey'!Z258)&lt;10,"0"&amp;MINUTE('web survey'!Z258),MINUTE('web survey'!Z258))&amp;(":00'")</f>
        <v>2026-06-12 15:01:00'</v>
      </c>
      <c r="N260" s="22">
        <v>257</v>
      </c>
      <c r="O260" s="22" t="s">
        <v>27</v>
      </c>
      <c r="P260" s="22" t="s">
        <v>479</v>
      </c>
      <c r="Q260" s="22" t="s">
        <v>18</v>
      </c>
      <c r="R260" s="22" t="s">
        <v>17</v>
      </c>
      <c r="S260" s="22" t="s">
        <v>37</v>
      </c>
      <c r="T260" s="22" t="s">
        <v>17</v>
      </c>
      <c r="U260" s="22" t="s">
        <v>30</v>
      </c>
      <c r="V260" s="22" t="s">
        <v>17</v>
      </c>
      <c r="W260" s="22" t="s">
        <v>34</v>
      </c>
      <c r="X260" s="22" t="s">
        <v>478</v>
      </c>
    </row>
    <row r="261" spans="1:24">
      <c r="A261" s="28">
        <f>IF(B261="","",ROW()-COUNTBLANK($B$4:B261)-3)</f>
        <v>258</v>
      </c>
      <c r="B261" s="28" t="str">
        <f>'web survey'!C259</f>
        <v>FU-Z1-Eng</v>
      </c>
      <c r="C261" s="29" t="str">
        <f>'web survey'!AA259</f>
        <v>204472954</v>
      </c>
      <c r="D261" s="30" t="str">
        <f>IF(B261="FU-ACInstall",VLOOKUP(VALUE('web survey'!D259),ref!$B$6:$C$7,2,0)&amp;" ("&amp;'web survey'!D259&amp;")",VLOOKUP(VALUE('web survey'!D259),ref!$E$6:$F$10,2,0)&amp;" ("&amp;'web survey'!D259&amp;")")</f>
        <v>Good (10)</v>
      </c>
      <c r="E261" s="32" t="str">
        <f>'web survey'!S259</f>
        <v/>
      </c>
      <c r="F261" s="30" t="str">
        <f>IF(B261="FU-ACInstall",VLOOKUP(VALUE('web survey'!E259),ref!$B$10:$C$12,2,0)&amp;" ("&amp;'web survey'!E259&amp;")",VLOOKUP(VALUE('web survey'!E259),ref!$E$13:$F$17,2,0)&amp;" ("&amp;'web survey'!E259&amp;")")</f>
        <v>Very Good (10)</v>
      </c>
      <c r="G261" s="32" t="str">
        <f>'web survey'!T259</f>
        <v/>
      </c>
      <c r="H261" s="30" t="str">
        <f>IF(B261="FU-ACInstall",VLOOKUP(VALUE('web survey'!F259),ref!$B$15:$C$17,2,0)&amp;" ("&amp;'web survey'!F259&amp;")",VLOOKUP(VALUE('web survey'!F259),ref!$E$20:$F$21,2,0)&amp;" ("&amp;'web survey'!F259&amp;")")</f>
        <v>Appropriate with SAP / in Warranty (10)</v>
      </c>
      <c r="I261" s="32" t="str">
        <f>'web survey'!U259</f>
        <v/>
      </c>
      <c r="J261" s="30" t="str">
        <f>IF(B261="FU-ACInstall","-",VLOOKUP(VALUE('web survey'!G259),ref!$E$24:$F$26,2,0)&amp;" ("&amp;'web survey'!G259&amp;")")</f>
        <v>Jelas (5)</v>
      </c>
      <c r="K261" s="28" t="str">
        <f>YEAR('web survey'!Z259)&amp;"-"&amp;IF(MONTH('web survey'!Z259)&lt;10,"0"&amp;MONTH('web survey'!Z259),MONTH('web survey'!Z259))&amp;"-"&amp;IF(DAY('web survey'!Z259)&lt;10,"0"&amp;DAY('web survey'!Z259),DAY('web survey'!Z259))&amp;" "&amp;IF(HOUR('web survey'!Z259)&lt;10,"0"&amp;HOUR('web survey'!Z259),HOUR('web survey'!Z259))&amp;":"&amp;IF(MINUTE('web survey'!Z259)&lt;10,"0"&amp;MINUTE('web survey'!Z259),MINUTE('web survey'!Z259))&amp;(":00'")</f>
        <v>2026-06-12 15:01:00'</v>
      </c>
      <c r="N261" s="22">
        <v>258</v>
      </c>
      <c r="O261" s="22" t="s">
        <v>27</v>
      </c>
      <c r="P261" s="22" t="s">
        <v>480</v>
      </c>
      <c r="Q261" s="22" t="s">
        <v>18</v>
      </c>
      <c r="R261" s="22" t="s">
        <v>17</v>
      </c>
      <c r="S261" s="22" t="s">
        <v>37</v>
      </c>
      <c r="T261" s="22" t="s">
        <v>17</v>
      </c>
      <c r="U261" s="22" t="s">
        <v>30</v>
      </c>
      <c r="V261" s="22" t="s">
        <v>17</v>
      </c>
      <c r="W261" s="22" t="s">
        <v>34</v>
      </c>
      <c r="X261" s="22" t="s">
        <v>478</v>
      </c>
    </row>
    <row r="262" spans="1:24">
      <c r="A262" s="28">
        <f>IF(B262="","",ROW()-COUNTBLANK($B$4:B262)-3)</f>
        <v>259</v>
      </c>
      <c r="B262" s="28" t="str">
        <f>'web survey'!C260</f>
        <v>FU-Z1-Eng</v>
      </c>
      <c r="C262" s="29" t="str">
        <f>'web survey'!AA260</f>
        <v>204472958</v>
      </c>
      <c r="D262" s="30" t="str">
        <f>IF(B262="FU-ACInstall",VLOOKUP(VALUE('web survey'!D260),ref!$B$6:$C$7,2,0)&amp;" ("&amp;'web survey'!D260&amp;")",VLOOKUP(VALUE('web survey'!D260),ref!$E$6:$F$10,2,0)&amp;" ("&amp;'web survey'!D260&amp;")")</f>
        <v>Good (10)</v>
      </c>
      <c r="E262" s="32" t="str">
        <f>'web survey'!S260</f>
        <v/>
      </c>
      <c r="F262" s="30" t="str">
        <f>IF(B262="FU-ACInstall",VLOOKUP(VALUE('web survey'!E260),ref!$B$10:$C$12,2,0)&amp;" ("&amp;'web survey'!E260&amp;")",VLOOKUP(VALUE('web survey'!E260),ref!$E$13:$F$17,2,0)&amp;" ("&amp;'web survey'!E260&amp;")")</f>
        <v>Very Good (10)</v>
      </c>
      <c r="G262" s="32" t="str">
        <f>'web survey'!T260</f>
        <v/>
      </c>
      <c r="H262" s="30" t="str">
        <f>IF(B262="FU-ACInstall",VLOOKUP(VALUE('web survey'!F260),ref!$B$15:$C$17,2,0)&amp;" ("&amp;'web survey'!F260&amp;")",VLOOKUP(VALUE('web survey'!F260),ref!$E$20:$F$21,2,0)&amp;" ("&amp;'web survey'!F260&amp;")")</f>
        <v>Appropriate with SAP / in Warranty (10)</v>
      </c>
      <c r="I262" s="32" t="str">
        <f>'web survey'!U260</f>
        <v/>
      </c>
      <c r="J262" s="30" t="str">
        <f>IF(B262="FU-ACInstall","-",VLOOKUP(VALUE('web survey'!G260),ref!$E$24:$F$26,2,0)&amp;" ("&amp;'web survey'!G260&amp;")")</f>
        <v>Jelas (5)</v>
      </c>
      <c r="K262" s="28" t="str">
        <f>YEAR('web survey'!Z260)&amp;"-"&amp;IF(MONTH('web survey'!Z260)&lt;10,"0"&amp;MONTH('web survey'!Z260),MONTH('web survey'!Z260))&amp;"-"&amp;IF(DAY('web survey'!Z260)&lt;10,"0"&amp;DAY('web survey'!Z260),DAY('web survey'!Z260))&amp;" "&amp;IF(HOUR('web survey'!Z260)&lt;10,"0"&amp;HOUR('web survey'!Z260),HOUR('web survey'!Z260))&amp;":"&amp;IF(MINUTE('web survey'!Z260)&lt;10,"0"&amp;MINUTE('web survey'!Z260),MINUTE('web survey'!Z260))&amp;(":00'")</f>
        <v>2026-06-12 15:01:00'</v>
      </c>
      <c r="N262" s="22">
        <v>259</v>
      </c>
      <c r="O262" s="22" t="s">
        <v>27</v>
      </c>
      <c r="P262" s="22" t="s">
        <v>481</v>
      </c>
      <c r="Q262" s="22" t="s">
        <v>18</v>
      </c>
      <c r="R262" s="22" t="s">
        <v>17</v>
      </c>
      <c r="S262" s="22" t="s">
        <v>37</v>
      </c>
      <c r="T262" s="22" t="s">
        <v>17</v>
      </c>
      <c r="U262" s="22" t="s">
        <v>30</v>
      </c>
      <c r="V262" s="22" t="s">
        <v>17</v>
      </c>
      <c r="W262" s="22" t="s">
        <v>34</v>
      </c>
      <c r="X262" s="22" t="s">
        <v>478</v>
      </c>
    </row>
    <row r="263" spans="1:24">
      <c r="A263" s="28">
        <f>IF(B263="","",ROW()-COUNTBLANK($B$4:B263)-3)</f>
        <v>260</v>
      </c>
      <c r="B263" s="28" t="str">
        <f>'web survey'!C261</f>
        <v>FU-Z1-Eng</v>
      </c>
      <c r="C263" s="29" t="str">
        <f>'web survey'!AA261</f>
        <v>1100357056</v>
      </c>
      <c r="D263" s="30" t="str">
        <f>IF(B263="FU-ACInstall",VLOOKUP(VALUE('web survey'!D261),ref!$B$6:$C$7,2,0)&amp;" ("&amp;'web survey'!D261&amp;")",VLOOKUP(VALUE('web survey'!D261),ref!$E$6:$F$10,2,0)&amp;" ("&amp;'web survey'!D261&amp;")")</f>
        <v>Good (10)</v>
      </c>
      <c r="E263" s="32" t="str">
        <f>'web survey'!S261</f>
        <v/>
      </c>
      <c r="F263" s="30" t="str">
        <f>IF(B263="FU-ACInstall",VLOOKUP(VALUE('web survey'!E261),ref!$B$10:$C$12,2,0)&amp;" ("&amp;'web survey'!E261&amp;")",VLOOKUP(VALUE('web survey'!E261),ref!$E$13:$F$17,2,0)&amp;" ("&amp;'web survey'!E261&amp;")")</f>
        <v>Good (5)</v>
      </c>
      <c r="G263" s="32" t="str">
        <f>'web survey'!T261</f>
        <v/>
      </c>
      <c r="H263" s="30" t="str">
        <f>IF(B263="FU-ACInstall",VLOOKUP(VALUE('web survey'!F261),ref!$B$15:$C$17,2,0)&amp;" ("&amp;'web survey'!F261&amp;")",VLOOKUP(VALUE('web survey'!F261),ref!$E$20:$F$21,2,0)&amp;" ("&amp;'web survey'!F261&amp;")")</f>
        <v>Appropriate with SAP / in Warranty (10)</v>
      </c>
      <c r="I263" s="32" t="str">
        <f>'web survey'!U261</f>
        <v/>
      </c>
      <c r="J263" s="30" t="str">
        <f>IF(B263="FU-ACInstall","-",VLOOKUP(VALUE('web survey'!G261),ref!$E$24:$F$26,2,0)&amp;" ("&amp;'web survey'!G261&amp;")")</f>
        <v>Jelas (5)</v>
      </c>
      <c r="K263" s="28" t="str">
        <f>YEAR('web survey'!Z261)&amp;"-"&amp;IF(MONTH('web survey'!Z261)&lt;10,"0"&amp;MONTH('web survey'!Z261),MONTH('web survey'!Z261))&amp;"-"&amp;IF(DAY('web survey'!Z261)&lt;10,"0"&amp;DAY('web survey'!Z261),DAY('web survey'!Z261))&amp;" "&amp;IF(HOUR('web survey'!Z261)&lt;10,"0"&amp;HOUR('web survey'!Z261),HOUR('web survey'!Z261))&amp;":"&amp;IF(MINUTE('web survey'!Z261)&lt;10,"0"&amp;MINUTE('web survey'!Z261),MINUTE('web survey'!Z261))&amp;(":00'")</f>
        <v>2026-06-12 14:24:00'</v>
      </c>
      <c r="N263" s="22">
        <v>260</v>
      </c>
      <c r="O263" s="22" t="s">
        <v>27</v>
      </c>
      <c r="P263" s="22" t="s">
        <v>482</v>
      </c>
      <c r="Q263" s="22" t="s">
        <v>18</v>
      </c>
      <c r="R263" s="22" t="s">
        <v>17</v>
      </c>
      <c r="S263" s="22" t="s">
        <v>29</v>
      </c>
      <c r="T263" s="22" t="s">
        <v>17</v>
      </c>
      <c r="U263" s="22" t="s">
        <v>30</v>
      </c>
      <c r="V263" s="22" t="s">
        <v>17</v>
      </c>
      <c r="W263" s="22" t="s">
        <v>34</v>
      </c>
      <c r="X263" s="22" t="s">
        <v>483</v>
      </c>
    </row>
    <row r="264" spans="1:24">
      <c r="A264" s="28">
        <f>IF(B264="","",ROW()-COUNTBLANK($B$4:B264)-3)</f>
        <v>261</v>
      </c>
      <c r="B264" s="28" t="str">
        <f>'web survey'!C262</f>
        <v>FU-Z1-Eng</v>
      </c>
      <c r="C264" s="29" t="str">
        <f>'web survey'!AA262</f>
        <v>204465992</v>
      </c>
      <c r="D264" s="30" t="str">
        <f>IF(B264="FU-ACInstall",VLOOKUP(VALUE('web survey'!D262),ref!$B$6:$C$7,2,0)&amp;" ("&amp;'web survey'!D262&amp;")",VLOOKUP(VALUE('web survey'!D262),ref!$E$6:$F$10,2,0)&amp;" ("&amp;'web survey'!D262&amp;")")</f>
        <v>Good (10)</v>
      </c>
      <c r="E264" s="32" t="str">
        <f>'web survey'!S262</f>
        <v/>
      </c>
      <c r="F264" s="30" t="str">
        <f>IF(B264="FU-ACInstall",VLOOKUP(VALUE('web survey'!E262),ref!$B$10:$C$12,2,0)&amp;" ("&amp;'web survey'!E262&amp;")",VLOOKUP(VALUE('web survey'!E262),ref!$E$13:$F$17,2,0)&amp;" ("&amp;'web survey'!E262&amp;")")</f>
        <v>Good (5)</v>
      </c>
      <c r="G264" s="32" t="str">
        <f>'web survey'!T262</f>
        <v/>
      </c>
      <c r="H264" s="30" t="str">
        <f>IF(B264="FU-ACInstall",VLOOKUP(VALUE('web survey'!F262),ref!$B$15:$C$17,2,0)&amp;" ("&amp;'web survey'!F262&amp;")",VLOOKUP(VALUE('web survey'!F262),ref!$E$20:$F$21,2,0)&amp;" ("&amp;'web survey'!F262&amp;")")</f>
        <v>Appropriate with SAP / in Warranty (10)</v>
      </c>
      <c r="I264" s="32" t="str">
        <f>'web survey'!U262</f>
        <v/>
      </c>
      <c r="J264" s="30" t="str">
        <f>IF(B264="FU-ACInstall","-",VLOOKUP(VALUE('web survey'!G262),ref!$E$24:$F$26,2,0)&amp;" ("&amp;'web survey'!G262&amp;")")</f>
        <v>Jelas (5)</v>
      </c>
      <c r="K264" s="28" t="str">
        <f>YEAR('web survey'!Z262)&amp;"-"&amp;IF(MONTH('web survey'!Z262)&lt;10,"0"&amp;MONTH('web survey'!Z262),MONTH('web survey'!Z262))&amp;"-"&amp;IF(DAY('web survey'!Z262)&lt;10,"0"&amp;DAY('web survey'!Z262),DAY('web survey'!Z262))&amp;" "&amp;IF(HOUR('web survey'!Z262)&lt;10,"0"&amp;HOUR('web survey'!Z262),HOUR('web survey'!Z262))&amp;":"&amp;IF(MINUTE('web survey'!Z262)&lt;10,"0"&amp;MINUTE('web survey'!Z262),MINUTE('web survey'!Z262))&amp;(":00'")</f>
        <v>2026-06-12 14:10:00'</v>
      </c>
      <c r="N264" s="22">
        <v>261</v>
      </c>
      <c r="O264" s="22" t="s">
        <v>27</v>
      </c>
      <c r="P264" s="22" t="s">
        <v>484</v>
      </c>
      <c r="Q264" s="22" t="s">
        <v>18</v>
      </c>
      <c r="R264" s="22" t="s">
        <v>17</v>
      </c>
      <c r="S264" s="22" t="s">
        <v>29</v>
      </c>
      <c r="T264" s="22" t="s">
        <v>17</v>
      </c>
      <c r="U264" s="22" t="s">
        <v>30</v>
      </c>
      <c r="V264" s="22" t="s">
        <v>17</v>
      </c>
      <c r="W264" s="22" t="s">
        <v>34</v>
      </c>
      <c r="X264" s="22" t="s">
        <v>485</v>
      </c>
    </row>
    <row r="265" spans="1:24">
      <c r="A265" s="28">
        <f>IF(B265="","",ROW()-COUNTBLANK($B$4:B265)-3)</f>
        <v>262</v>
      </c>
      <c r="B265" s="28" t="str">
        <f>'web survey'!C263</f>
        <v>FU-Z1-Eng</v>
      </c>
      <c r="C265" s="29" t="str">
        <f>'web survey'!AA263</f>
        <v>100987914</v>
      </c>
      <c r="D265" s="30" t="str">
        <f>IF(B265="FU-ACInstall",VLOOKUP(VALUE('web survey'!D263),ref!$B$6:$C$7,2,0)&amp;" ("&amp;'web survey'!D263&amp;")",VLOOKUP(VALUE('web survey'!D263),ref!$E$6:$F$10,2,0)&amp;" ("&amp;'web survey'!D263&amp;")")</f>
        <v>Good (10)</v>
      </c>
      <c r="E265" s="32" t="str">
        <f>'web survey'!S263</f>
        <v/>
      </c>
      <c r="F265" s="30" t="str">
        <f>IF(B265="FU-ACInstall",VLOOKUP(VALUE('web survey'!E263),ref!$B$10:$C$12,2,0)&amp;" ("&amp;'web survey'!E263&amp;")",VLOOKUP(VALUE('web survey'!E263),ref!$E$13:$F$17,2,0)&amp;" ("&amp;'web survey'!E263&amp;")")</f>
        <v>Good (5)</v>
      </c>
      <c r="G265" s="32" t="str">
        <f>'web survey'!T263</f>
        <v/>
      </c>
      <c r="H265" s="30" t="str">
        <f>IF(B265="FU-ACInstall",VLOOKUP(VALUE('web survey'!F263),ref!$B$15:$C$17,2,0)&amp;" ("&amp;'web survey'!F263&amp;")",VLOOKUP(VALUE('web survey'!F263),ref!$E$20:$F$21,2,0)&amp;" ("&amp;'web survey'!F263&amp;")")</f>
        <v>Appropriate with SAP / in Warranty (10)</v>
      </c>
      <c r="I265" s="32" t="str">
        <f>'web survey'!U263</f>
        <v/>
      </c>
      <c r="J265" s="30" t="str">
        <f>IF(B265="FU-ACInstall","-",VLOOKUP(VALUE('web survey'!G263),ref!$E$24:$F$26,2,0)&amp;" ("&amp;'web survey'!G263&amp;")")</f>
        <v>Jelas (5)</v>
      </c>
      <c r="K265" s="28" t="str">
        <f>YEAR('web survey'!Z263)&amp;"-"&amp;IF(MONTH('web survey'!Z263)&lt;10,"0"&amp;MONTH('web survey'!Z263),MONTH('web survey'!Z263))&amp;"-"&amp;IF(DAY('web survey'!Z263)&lt;10,"0"&amp;DAY('web survey'!Z263),DAY('web survey'!Z263))&amp;" "&amp;IF(HOUR('web survey'!Z263)&lt;10,"0"&amp;HOUR('web survey'!Z263),HOUR('web survey'!Z263))&amp;":"&amp;IF(MINUTE('web survey'!Z263)&lt;10,"0"&amp;MINUTE('web survey'!Z263),MINUTE('web survey'!Z263))&amp;(":00'")</f>
        <v>2026-06-12 13:49:00'</v>
      </c>
      <c r="N265" s="22">
        <v>262</v>
      </c>
      <c r="O265" s="22" t="s">
        <v>27</v>
      </c>
      <c r="P265" s="22" t="s">
        <v>486</v>
      </c>
      <c r="Q265" s="22" t="s">
        <v>18</v>
      </c>
      <c r="R265" s="22" t="s">
        <v>17</v>
      </c>
      <c r="S265" s="22" t="s">
        <v>29</v>
      </c>
      <c r="T265" s="22" t="s">
        <v>17</v>
      </c>
      <c r="U265" s="22" t="s">
        <v>30</v>
      </c>
      <c r="V265" s="22" t="s">
        <v>17</v>
      </c>
      <c r="W265" s="22" t="s">
        <v>34</v>
      </c>
      <c r="X265" s="22" t="s">
        <v>487</v>
      </c>
    </row>
    <row r="266" spans="1:24">
      <c r="A266" s="28">
        <f>IF(B266="","",ROW()-COUNTBLANK($B$4:B266)-3)</f>
        <v>263</v>
      </c>
      <c r="B266" s="28" t="str">
        <f>'web survey'!C264</f>
        <v>FU-Z1-Eng</v>
      </c>
      <c r="C266" s="29" t="str">
        <f>'web survey'!AA264</f>
        <v>100986597</v>
      </c>
      <c r="D266" s="30" t="str">
        <f>IF(B266="FU-ACInstall",VLOOKUP(VALUE('web survey'!D264),ref!$B$6:$C$7,2,0)&amp;" ("&amp;'web survey'!D264&amp;")",VLOOKUP(VALUE('web survey'!D264),ref!$E$6:$F$10,2,0)&amp;" ("&amp;'web survey'!D264&amp;")")</f>
        <v>Good (10)</v>
      </c>
      <c r="E266" s="32" t="str">
        <f>'web survey'!S264</f>
        <v/>
      </c>
      <c r="F266" s="30" t="str">
        <f>IF(B266="FU-ACInstall",VLOOKUP(VALUE('web survey'!E264),ref!$B$10:$C$12,2,0)&amp;" ("&amp;'web survey'!E264&amp;")",VLOOKUP(VALUE('web survey'!E264),ref!$E$13:$F$17,2,0)&amp;" ("&amp;'web survey'!E264&amp;")")</f>
        <v>Very Good (10)</v>
      </c>
      <c r="G266" s="32" t="str">
        <f>'web survey'!T264</f>
        <v/>
      </c>
      <c r="H266" s="30" t="str">
        <f>IF(B266="FU-ACInstall",VLOOKUP(VALUE('web survey'!F264),ref!$B$15:$C$17,2,0)&amp;" ("&amp;'web survey'!F264&amp;")",VLOOKUP(VALUE('web survey'!F264),ref!$E$20:$F$21,2,0)&amp;" ("&amp;'web survey'!F264&amp;")")</f>
        <v>Appropriate with SAP / in Warranty (10)</v>
      </c>
      <c r="I266" s="32" t="str">
        <f>'web survey'!U264</f>
        <v/>
      </c>
      <c r="J266" s="30" t="str">
        <f>IF(B266="FU-ACInstall","-",VLOOKUP(VALUE('web survey'!G264),ref!$E$24:$F$26,2,0)&amp;" ("&amp;'web survey'!G264&amp;")")</f>
        <v>Kurang jelas (3)</v>
      </c>
      <c r="K266" s="28" t="str">
        <f>YEAR('web survey'!Z264)&amp;"-"&amp;IF(MONTH('web survey'!Z264)&lt;10,"0"&amp;MONTH('web survey'!Z264),MONTH('web survey'!Z264))&amp;"-"&amp;IF(DAY('web survey'!Z264)&lt;10,"0"&amp;DAY('web survey'!Z264),DAY('web survey'!Z264))&amp;" "&amp;IF(HOUR('web survey'!Z264)&lt;10,"0"&amp;HOUR('web survey'!Z264),HOUR('web survey'!Z264))&amp;":"&amp;IF(MINUTE('web survey'!Z264)&lt;10,"0"&amp;MINUTE('web survey'!Z264),MINUTE('web survey'!Z264))&amp;(":00'")</f>
        <v>2026-06-12 13:48:00'</v>
      </c>
      <c r="N266" s="22">
        <v>263</v>
      </c>
      <c r="O266" s="22" t="s">
        <v>27</v>
      </c>
      <c r="P266" s="22" t="s">
        <v>488</v>
      </c>
      <c r="Q266" s="22" t="s">
        <v>18</v>
      </c>
      <c r="R266" s="22" t="s">
        <v>17</v>
      </c>
      <c r="S266" s="22" t="s">
        <v>37</v>
      </c>
      <c r="T266" s="22" t="s">
        <v>17</v>
      </c>
      <c r="U266" s="22" t="s">
        <v>30</v>
      </c>
      <c r="V266" s="22" t="s">
        <v>17</v>
      </c>
      <c r="W266" s="22" t="s">
        <v>154</v>
      </c>
      <c r="X266" s="22" t="s">
        <v>489</v>
      </c>
    </row>
    <row r="267" spans="1:24">
      <c r="A267" s="28">
        <f>IF(B267="","",ROW()-COUNTBLANK($B$4:B267)-3)</f>
        <v>264</v>
      </c>
      <c r="B267" s="28" t="str">
        <f>'web survey'!C265</f>
        <v>FU-Z1-Eng</v>
      </c>
      <c r="C267" s="29" t="str">
        <f>'web survey'!AA265</f>
        <v>204466972</v>
      </c>
      <c r="D267" s="30" t="str">
        <f>IF(B267="FU-ACInstall",VLOOKUP(VALUE('web survey'!D265),ref!$B$6:$C$7,2,0)&amp;" ("&amp;'web survey'!D265&amp;")",VLOOKUP(VALUE('web survey'!D265),ref!$E$6:$F$10,2,0)&amp;" ("&amp;'web survey'!D265&amp;")")</f>
        <v>Good (10)</v>
      </c>
      <c r="E267" s="32" t="str">
        <f>'web survey'!S265</f>
        <v/>
      </c>
      <c r="F267" s="30" t="str">
        <f>IF(B267="FU-ACInstall",VLOOKUP(VALUE('web survey'!E265),ref!$B$10:$C$12,2,0)&amp;" ("&amp;'web survey'!E265&amp;")",VLOOKUP(VALUE('web survey'!E265),ref!$E$13:$F$17,2,0)&amp;" ("&amp;'web survey'!E265&amp;")")</f>
        <v>Very Good (10)</v>
      </c>
      <c r="G267" s="32" t="str">
        <f>'web survey'!T265</f>
        <v/>
      </c>
      <c r="H267" s="30" t="str">
        <f>IF(B267="FU-ACInstall",VLOOKUP(VALUE('web survey'!F265),ref!$B$15:$C$17,2,0)&amp;" ("&amp;'web survey'!F265&amp;")",VLOOKUP(VALUE('web survey'!F265),ref!$E$20:$F$21,2,0)&amp;" ("&amp;'web survey'!F265&amp;")")</f>
        <v>Appropriate with SAP / in Warranty (10)</v>
      </c>
      <c r="I267" s="32" t="str">
        <f>'web survey'!U265</f>
        <v/>
      </c>
      <c r="J267" s="30" t="str">
        <f>IF(B267="FU-ACInstall","-",VLOOKUP(VALUE('web survey'!G265),ref!$E$24:$F$26,2,0)&amp;" ("&amp;'web survey'!G265&amp;")")</f>
        <v>Jelas (5)</v>
      </c>
      <c r="K267" s="28" t="str">
        <f>YEAR('web survey'!Z265)&amp;"-"&amp;IF(MONTH('web survey'!Z265)&lt;10,"0"&amp;MONTH('web survey'!Z265),MONTH('web survey'!Z265))&amp;"-"&amp;IF(DAY('web survey'!Z265)&lt;10,"0"&amp;DAY('web survey'!Z265),DAY('web survey'!Z265))&amp;" "&amp;IF(HOUR('web survey'!Z265)&lt;10,"0"&amp;HOUR('web survey'!Z265),HOUR('web survey'!Z265))&amp;":"&amp;IF(MINUTE('web survey'!Z265)&lt;10,"0"&amp;MINUTE('web survey'!Z265),MINUTE('web survey'!Z265))&amp;(":00'")</f>
        <v>2026-06-12 13:41:00'</v>
      </c>
      <c r="N267" s="22">
        <v>264</v>
      </c>
      <c r="O267" s="22" t="s">
        <v>27</v>
      </c>
      <c r="P267" s="22" t="s">
        <v>490</v>
      </c>
      <c r="Q267" s="22" t="s">
        <v>18</v>
      </c>
      <c r="R267" s="22" t="s">
        <v>17</v>
      </c>
      <c r="S267" s="22" t="s">
        <v>37</v>
      </c>
      <c r="T267" s="22" t="s">
        <v>17</v>
      </c>
      <c r="U267" s="22" t="s">
        <v>30</v>
      </c>
      <c r="V267" s="22" t="s">
        <v>17</v>
      </c>
      <c r="W267" s="22" t="s">
        <v>34</v>
      </c>
      <c r="X267" s="22" t="s">
        <v>491</v>
      </c>
    </row>
    <row r="268" spans="1:24">
      <c r="A268" s="28">
        <f>IF(B268="","",ROW()-COUNTBLANK($B$4:B268)-3)</f>
        <v>265</v>
      </c>
      <c r="B268" s="28" t="str">
        <f>'web survey'!C266</f>
        <v>FU-Z1-Eng</v>
      </c>
      <c r="C268" s="29" t="str">
        <f>'web survey'!AA266</f>
        <v>204465283</v>
      </c>
      <c r="D268" s="30" t="str">
        <f>IF(B268="FU-ACInstall",VLOOKUP(VALUE('web survey'!D266),ref!$B$6:$C$7,2,0)&amp;" ("&amp;'web survey'!D266&amp;")",VLOOKUP(VALUE('web survey'!D266),ref!$E$6:$F$10,2,0)&amp;" ("&amp;'web survey'!D266&amp;")")</f>
        <v>Good (10)</v>
      </c>
      <c r="E268" s="32" t="str">
        <f>'web survey'!S266</f>
        <v/>
      </c>
      <c r="F268" s="30" t="str">
        <f>IF(B268="FU-ACInstall",VLOOKUP(VALUE('web survey'!E266),ref!$B$10:$C$12,2,0)&amp;" ("&amp;'web survey'!E266&amp;")",VLOOKUP(VALUE('web survey'!E266),ref!$E$13:$F$17,2,0)&amp;" ("&amp;'web survey'!E266&amp;")")</f>
        <v>Very Good (10)</v>
      </c>
      <c r="G268" s="32" t="str">
        <f>'web survey'!T266</f>
        <v/>
      </c>
      <c r="H268" s="30" t="str">
        <f>IF(B268="FU-ACInstall",VLOOKUP(VALUE('web survey'!F266),ref!$B$15:$C$17,2,0)&amp;" ("&amp;'web survey'!F266&amp;")",VLOOKUP(VALUE('web survey'!F266),ref!$E$20:$F$21,2,0)&amp;" ("&amp;'web survey'!F266&amp;")")</f>
        <v>Appropriate with SAP / in Warranty (10)</v>
      </c>
      <c r="I268" s="32" t="str">
        <f>'web survey'!U266</f>
        <v/>
      </c>
      <c r="J268" s="30" t="str">
        <f>IF(B268="FU-ACInstall","-",VLOOKUP(VALUE('web survey'!G266),ref!$E$24:$F$26,2,0)&amp;" ("&amp;'web survey'!G266&amp;")")</f>
        <v>Jelas (5)</v>
      </c>
      <c r="K268" s="28" t="str">
        <f>YEAR('web survey'!Z266)&amp;"-"&amp;IF(MONTH('web survey'!Z266)&lt;10,"0"&amp;MONTH('web survey'!Z266),MONTH('web survey'!Z266))&amp;"-"&amp;IF(DAY('web survey'!Z266)&lt;10,"0"&amp;DAY('web survey'!Z266),DAY('web survey'!Z266))&amp;" "&amp;IF(HOUR('web survey'!Z266)&lt;10,"0"&amp;HOUR('web survey'!Z266),HOUR('web survey'!Z266))&amp;":"&amp;IF(MINUTE('web survey'!Z266)&lt;10,"0"&amp;MINUTE('web survey'!Z266),MINUTE('web survey'!Z266))&amp;(":00'")</f>
        <v>2026-06-12 11:36:00'</v>
      </c>
      <c r="N268" s="22">
        <v>265</v>
      </c>
      <c r="O268" s="22" t="s">
        <v>27</v>
      </c>
      <c r="P268" s="22" t="s">
        <v>492</v>
      </c>
      <c r="Q268" s="22" t="s">
        <v>18</v>
      </c>
      <c r="R268" s="22" t="s">
        <v>17</v>
      </c>
      <c r="S268" s="22" t="s">
        <v>37</v>
      </c>
      <c r="T268" s="22" t="s">
        <v>17</v>
      </c>
      <c r="U268" s="22" t="s">
        <v>30</v>
      </c>
      <c r="V268" s="22" t="s">
        <v>17</v>
      </c>
      <c r="W268" s="22" t="s">
        <v>34</v>
      </c>
      <c r="X268" s="22" t="s">
        <v>493</v>
      </c>
    </row>
    <row r="269" spans="1:24">
      <c r="A269" s="28">
        <f>IF(B269="","",ROW()-COUNTBLANK($B$4:B269)-3)</f>
        <v>266</v>
      </c>
      <c r="B269" s="28" t="str">
        <f>'web survey'!C267</f>
        <v>FU-Z1-Eng</v>
      </c>
      <c r="C269" s="29" t="str">
        <f>'web survey'!AA267</f>
        <v>204458187</v>
      </c>
      <c r="D269" s="30" t="str">
        <f>IF(B269="FU-ACInstall",VLOOKUP(VALUE('web survey'!D267),ref!$B$6:$C$7,2,0)&amp;" ("&amp;'web survey'!D267&amp;")",VLOOKUP(VALUE('web survey'!D267),ref!$E$6:$F$10,2,0)&amp;" ("&amp;'web survey'!D267&amp;")")</f>
        <v>Good (10)</v>
      </c>
      <c r="E269" s="32" t="str">
        <f>'web survey'!S267</f>
        <v/>
      </c>
      <c r="F269" s="30" t="str">
        <f>IF(B269="FU-ACInstall",VLOOKUP(VALUE('web survey'!E267),ref!$B$10:$C$12,2,0)&amp;" ("&amp;'web survey'!E267&amp;")",VLOOKUP(VALUE('web survey'!E267),ref!$E$13:$F$17,2,0)&amp;" ("&amp;'web survey'!E267&amp;")")</f>
        <v>Very Good (10)</v>
      </c>
      <c r="G269" s="32" t="str">
        <f>'web survey'!T267</f>
        <v/>
      </c>
      <c r="H269" s="30" t="str">
        <f>IF(B269="FU-ACInstall",VLOOKUP(VALUE('web survey'!F267),ref!$B$15:$C$17,2,0)&amp;" ("&amp;'web survey'!F267&amp;")",VLOOKUP(VALUE('web survey'!F267),ref!$E$20:$F$21,2,0)&amp;" ("&amp;'web survey'!F267&amp;")")</f>
        <v>Appropriate with SAP / in Warranty (10)</v>
      </c>
      <c r="I269" s="32" t="str">
        <f>'web survey'!U267</f>
        <v/>
      </c>
      <c r="J269" s="30" t="str">
        <f>IF(B269="FU-ACInstall","-",VLOOKUP(VALUE('web survey'!G267),ref!$E$24:$F$26,2,0)&amp;" ("&amp;'web survey'!G267&amp;")")</f>
        <v>Jelas (5)</v>
      </c>
      <c r="K269" s="28" t="str">
        <f>YEAR('web survey'!Z267)&amp;"-"&amp;IF(MONTH('web survey'!Z267)&lt;10,"0"&amp;MONTH('web survey'!Z267),MONTH('web survey'!Z267))&amp;"-"&amp;IF(DAY('web survey'!Z267)&lt;10,"0"&amp;DAY('web survey'!Z267),DAY('web survey'!Z267))&amp;" "&amp;IF(HOUR('web survey'!Z267)&lt;10,"0"&amp;HOUR('web survey'!Z267),HOUR('web survey'!Z267))&amp;":"&amp;IF(MINUTE('web survey'!Z267)&lt;10,"0"&amp;MINUTE('web survey'!Z267),MINUTE('web survey'!Z267))&amp;(":00'")</f>
        <v>2026-06-12 11:00:00'</v>
      </c>
      <c r="N269" s="22">
        <v>266</v>
      </c>
      <c r="O269" s="22" t="s">
        <v>27</v>
      </c>
      <c r="P269" s="22" t="s">
        <v>494</v>
      </c>
      <c r="Q269" s="22" t="s">
        <v>18</v>
      </c>
      <c r="R269" s="22" t="s">
        <v>17</v>
      </c>
      <c r="S269" s="22" t="s">
        <v>37</v>
      </c>
      <c r="T269" s="22" t="s">
        <v>17</v>
      </c>
      <c r="U269" s="22" t="s">
        <v>30</v>
      </c>
      <c r="V269" s="22" t="s">
        <v>17</v>
      </c>
      <c r="W269" s="22" t="s">
        <v>34</v>
      </c>
      <c r="X269" s="22" t="s">
        <v>495</v>
      </c>
    </row>
    <row r="270" spans="1:24">
      <c r="A270" s="28">
        <f>IF(B270="","",ROW()-COUNTBLANK($B$4:B270)-3)</f>
        <v>267</v>
      </c>
      <c r="B270" s="28" t="str">
        <f>'web survey'!C268</f>
        <v>FU-Z1-Eng</v>
      </c>
      <c r="C270" s="29" t="str">
        <f>'web survey'!AA268</f>
        <v>204470445</v>
      </c>
      <c r="D270" s="30" t="str">
        <f>IF(B270="FU-ACInstall",VLOOKUP(VALUE('web survey'!D268),ref!$B$6:$C$7,2,0)&amp;" ("&amp;'web survey'!D268&amp;")",VLOOKUP(VALUE('web survey'!D268),ref!$E$6:$F$10,2,0)&amp;" ("&amp;'web survey'!D268&amp;")")</f>
        <v>Not Good (-10)</v>
      </c>
      <c r="E270" s="32" t="str">
        <f>'web survey'!S268</f>
        <v/>
      </c>
      <c r="F270" s="30" t="str">
        <f>IF(B270="FU-ACInstall",VLOOKUP(VALUE('web survey'!E268),ref!$B$10:$C$12,2,0)&amp;" ("&amp;'web survey'!E268&amp;")",VLOOKUP(VALUE('web survey'!E268),ref!$E$13:$F$17,2,0)&amp;" ("&amp;'web survey'!E268&amp;")")</f>
        <v>Average (3)</v>
      </c>
      <c r="G270" s="32" t="str">
        <f>'web survey'!T268</f>
        <v/>
      </c>
      <c r="H270" s="30" t="str">
        <f>IF(B270="FU-ACInstall",VLOOKUP(VALUE('web survey'!F268),ref!$B$15:$C$17,2,0)&amp;" ("&amp;'web survey'!F268&amp;")",VLOOKUP(VALUE('web survey'!F268),ref!$E$20:$F$21,2,0)&amp;" ("&amp;'web survey'!F268&amp;")")</f>
        <v>Appropriate with SAP / in Warranty (10)</v>
      </c>
      <c r="I270" s="32" t="str">
        <f>'web survey'!U268</f>
        <v/>
      </c>
      <c r="J270" s="30" t="str">
        <f>IF(B270="FU-ACInstall","-",VLOOKUP(VALUE('web survey'!G268),ref!$E$24:$F$26,2,0)&amp;" ("&amp;'web survey'!G268&amp;")")</f>
        <v>Jelas (5)</v>
      </c>
      <c r="K270" s="28" t="str">
        <f>YEAR('web survey'!Z268)&amp;"-"&amp;IF(MONTH('web survey'!Z268)&lt;10,"0"&amp;MONTH('web survey'!Z268),MONTH('web survey'!Z268))&amp;"-"&amp;IF(DAY('web survey'!Z268)&lt;10,"0"&amp;DAY('web survey'!Z268),DAY('web survey'!Z268))&amp;" "&amp;IF(HOUR('web survey'!Z268)&lt;10,"0"&amp;HOUR('web survey'!Z268),HOUR('web survey'!Z268))&amp;":"&amp;IF(MINUTE('web survey'!Z268)&lt;10,"0"&amp;MINUTE('web survey'!Z268),MINUTE('web survey'!Z268))&amp;(":00'")</f>
        <v>2026-06-12 10:13:00'</v>
      </c>
      <c r="N270" s="22">
        <v>267</v>
      </c>
      <c r="O270" s="22" t="s">
        <v>27</v>
      </c>
      <c r="P270" s="22" t="s">
        <v>496</v>
      </c>
      <c r="Q270" s="22" t="s">
        <v>33</v>
      </c>
      <c r="R270" s="22" t="s">
        <v>17</v>
      </c>
      <c r="S270" s="22" t="s">
        <v>204</v>
      </c>
      <c r="T270" s="22" t="s">
        <v>17</v>
      </c>
      <c r="U270" s="22" t="s">
        <v>30</v>
      </c>
      <c r="V270" s="22" t="s">
        <v>17</v>
      </c>
      <c r="W270" s="22" t="s">
        <v>34</v>
      </c>
      <c r="X270" s="22" t="s">
        <v>497</v>
      </c>
    </row>
    <row r="271" spans="1:24">
      <c r="A271" s="28">
        <f>IF(B271="","",ROW()-COUNTBLANK($B$4:B271)-3)</f>
        <v>268</v>
      </c>
      <c r="B271" s="28" t="str">
        <f>'web survey'!C269</f>
        <v>FU-Z1-Eng</v>
      </c>
      <c r="C271" s="29" t="str">
        <f>'web survey'!AA269</f>
        <v>204456887</v>
      </c>
      <c r="D271" s="30" t="str">
        <f>IF(B271="FU-ACInstall",VLOOKUP(VALUE('web survey'!D269),ref!$B$6:$C$7,2,0)&amp;" ("&amp;'web survey'!D269&amp;")",VLOOKUP(VALUE('web survey'!D269),ref!$E$6:$F$10,2,0)&amp;" ("&amp;'web survey'!D269&amp;")")</f>
        <v>Good (10)</v>
      </c>
      <c r="E271" s="32" t="str">
        <f>'web survey'!S269</f>
        <v/>
      </c>
      <c r="F271" s="30" t="str">
        <f>IF(B271="FU-ACInstall",VLOOKUP(VALUE('web survey'!E269),ref!$B$10:$C$12,2,0)&amp;" ("&amp;'web survey'!E269&amp;")",VLOOKUP(VALUE('web survey'!E269),ref!$E$13:$F$17,2,0)&amp;" ("&amp;'web survey'!E269&amp;")")</f>
        <v>Very Good (10)</v>
      </c>
      <c r="G271" s="32" t="str">
        <f>'web survey'!T269</f>
        <v/>
      </c>
      <c r="H271" s="30" t="str">
        <f>IF(B271="FU-ACInstall",VLOOKUP(VALUE('web survey'!F269),ref!$B$15:$C$17,2,0)&amp;" ("&amp;'web survey'!F269&amp;")",VLOOKUP(VALUE('web survey'!F269),ref!$E$20:$F$21,2,0)&amp;" ("&amp;'web survey'!F269&amp;")")</f>
        <v>Appropriate with SAP / in Warranty (10)</v>
      </c>
      <c r="I271" s="32" t="str">
        <f>'web survey'!U269</f>
        <v/>
      </c>
      <c r="J271" s="30" t="str">
        <f>IF(B271="FU-ACInstall","-",VLOOKUP(VALUE('web survey'!G269),ref!$E$24:$F$26,2,0)&amp;" ("&amp;'web survey'!G269&amp;")")</f>
        <v>Jelas (5)</v>
      </c>
      <c r="K271" s="28" t="str">
        <f>YEAR('web survey'!Z269)&amp;"-"&amp;IF(MONTH('web survey'!Z269)&lt;10,"0"&amp;MONTH('web survey'!Z269),MONTH('web survey'!Z269))&amp;"-"&amp;IF(DAY('web survey'!Z269)&lt;10,"0"&amp;DAY('web survey'!Z269),DAY('web survey'!Z269))&amp;" "&amp;IF(HOUR('web survey'!Z269)&lt;10,"0"&amp;HOUR('web survey'!Z269),HOUR('web survey'!Z269))&amp;":"&amp;IF(MINUTE('web survey'!Z269)&lt;10,"0"&amp;MINUTE('web survey'!Z269),MINUTE('web survey'!Z269))&amp;(":00'")</f>
        <v>2026-06-12 08:31:00'</v>
      </c>
      <c r="N271" s="22">
        <v>268</v>
      </c>
      <c r="O271" s="22" t="s">
        <v>27</v>
      </c>
      <c r="P271" s="22" t="s">
        <v>498</v>
      </c>
      <c r="Q271" s="22" t="s">
        <v>18</v>
      </c>
      <c r="R271" s="22" t="s">
        <v>17</v>
      </c>
      <c r="S271" s="22" t="s">
        <v>37</v>
      </c>
      <c r="T271" s="22" t="s">
        <v>17</v>
      </c>
      <c r="U271" s="22" t="s">
        <v>30</v>
      </c>
      <c r="V271" s="22" t="s">
        <v>17</v>
      </c>
      <c r="W271" s="22" t="s">
        <v>34</v>
      </c>
      <c r="X271" s="22" t="s">
        <v>499</v>
      </c>
    </row>
    <row r="272" spans="1:24">
      <c r="A272" s="28">
        <f>IF(B272="","",ROW()-COUNTBLANK($B$4:B272)-3)</f>
        <v>269</v>
      </c>
      <c r="B272" s="28" t="str">
        <f>'web survey'!C270</f>
        <v>FU-Z1-Eng</v>
      </c>
      <c r="C272" s="29" t="str">
        <f>'web survey'!AA270</f>
        <v>204471489</v>
      </c>
      <c r="D272" s="30" t="str">
        <f>IF(B272="FU-ACInstall",VLOOKUP(VALUE('web survey'!D270),ref!$B$6:$C$7,2,0)&amp;" ("&amp;'web survey'!D270&amp;")",VLOOKUP(VALUE('web survey'!D270),ref!$E$6:$F$10,2,0)&amp;" ("&amp;'web survey'!D270&amp;")")</f>
        <v>Good (10)</v>
      </c>
      <c r="E272" s="32" t="str">
        <f>'web survey'!S270</f>
        <v/>
      </c>
      <c r="F272" s="30" t="str">
        <f>IF(B272="FU-ACInstall",VLOOKUP(VALUE('web survey'!E270),ref!$B$10:$C$12,2,0)&amp;" ("&amp;'web survey'!E270&amp;")",VLOOKUP(VALUE('web survey'!E270),ref!$E$13:$F$17,2,0)&amp;" ("&amp;'web survey'!E270&amp;")")</f>
        <v>Very Good (10)</v>
      </c>
      <c r="G272" s="32" t="str">
        <f>'web survey'!T270</f>
        <v/>
      </c>
      <c r="H272" s="30" t="str">
        <f>IF(B272="FU-ACInstall",VLOOKUP(VALUE('web survey'!F270),ref!$B$15:$C$17,2,0)&amp;" ("&amp;'web survey'!F270&amp;")",VLOOKUP(VALUE('web survey'!F270),ref!$E$20:$F$21,2,0)&amp;" ("&amp;'web survey'!F270&amp;")")</f>
        <v>Appropriate with SAP / in Warranty (10)</v>
      </c>
      <c r="I272" s="32" t="str">
        <f>'web survey'!U270</f>
        <v/>
      </c>
      <c r="J272" s="30" t="str">
        <f>IF(B272="FU-ACInstall","-",VLOOKUP(VALUE('web survey'!G270),ref!$E$24:$F$26,2,0)&amp;" ("&amp;'web survey'!G270&amp;")")</f>
        <v>Jelas (5)</v>
      </c>
      <c r="K272" s="28" t="str">
        <f>YEAR('web survey'!Z270)&amp;"-"&amp;IF(MONTH('web survey'!Z270)&lt;10,"0"&amp;MONTH('web survey'!Z270),MONTH('web survey'!Z270))&amp;"-"&amp;IF(DAY('web survey'!Z270)&lt;10,"0"&amp;DAY('web survey'!Z270),DAY('web survey'!Z270))&amp;" "&amp;IF(HOUR('web survey'!Z270)&lt;10,"0"&amp;HOUR('web survey'!Z270),HOUR('web survey'!Z270))&amp;":"&amp;IF(MINUTE('web survey'!Z270)&lt;10,"0"&amp;MINUTE('web survey'!Z270),MINUTE('web survey'!Z270))&amp;(":00'")</f>
        <v>2026-06-12 08:11:00'</v>
      </c>
      <c r="N272" s="22">
        <v>269</v>
      </c>
      <c r="O272" s="22" t="s">
        <v>27</v>
      </c>
      <c r="P272" s="22" t="s">
        <v>500</v>
      </c>
      <c r="Q272" s="22" t="s">
        <v>18</v>
      </c>
      <c r="R272" s="22" t="s">
        <v>17</v>
      </c>
      <c r="S272" s="22" t="s">
        <v>37</v>
      </c>
      <c r="T272" s="22" t="s">
        <v>17</v>
      </c>
      <c r="U272" s="22" t="s">
        <v>30</v>
      </c>
      <c r="V272" s="22" t="s">
        <v>17</v>
      </c>
      <c r="W272" s="22" t="s">
        <v>34</v>
      </c>
      <c r="X272" s="22" t="s">
        <v>501</v>
      </c>
    </row>
    <row r="273" spans="1:24">
      <c r="A273" s="28">
        <f>IF(B273="","",ROW()-COUNTBLANK($B$4:B273)-3)</f>
        <v>270</v>
      </c>
      <c r="B273" s="28" t="str">
        <f>'web survey'!C271</f>
        <v>FU-Z1-Eng</v>
      </c>
      <c r="C273" s="29" t="str">
        <f>'web survey'!AA271</f>
        <v>204471636</v>
      </c>
      <c r="D273" s="30" t="str">
        <f>IF(B273="FU-ACInstall",VLOOKUP(VALUE('web survey'!D271),ref!$B$6:$C$7,2,0)&amp;" ("&amp;'web survey'!D271&amp;")",VLOOKUP(VALUE('web survey'!D271),ref!$E$6:$F$10,2,0)&amp;" ("&amp;'web survey'!D271&amp;")")</f>
        <v>Good (10)</v>
      </c>
      <c r="E273" s="32" t="str">
        <f>'web survey'!S271</f>
        <v/>
      </c>
      <c r="F273" s="30" t="str">
        <f>IF(B273="FU-ACInstall",VLOOKUP(VALUE('web survey'!E271),ref!$B$10:$C$12,2,0)&amp;" ("&amp;'web survey'!E271&amp;")",VLOOKUP(VALUE('web survey'!E271),ref!$E$13:$F$17,2,0)&amp;" ("&amp;'web survey'!E271&amp;")")</f>
        <v>Very Good (10)</v>
      </c>
      <c r="G273" s="32" t="str">
        <f>'web survey'!T271</f>
        <v/>
      </c>
      <c r="H273" s="30" t="str">
        <f>IF(B273="FU-ACInstall",VLOOKUP(VALUE('web survey'!F271),ref!$B$15:$C$17,2,0)&amp;" ("&amp;'web survey'!F271&amp;")",VLOOKUP(VALUE('web survey'!F271),ref!$E$20:$F$21,2,0)&amp;" ("&amp;'web survey'!F271&amp;")")</f>
        <v>Appropriate with SAP / in Warranty (10)</v>
      </c>
      <c r="I273" s="32" t="str">
        <f>'web survey'!U271</f>
        <v/>
      </c>
      <c r="J273" s="30" t="str">
        <f>IF(B273="FU-ACInstall","-",VLOOKUP(VALUE('web survey'!G271),ref!$E$24:$F$26,2,0)&amp;" ("&amp;'web survey'!G271&amp;")")</f>
        <v>Jelas (5)</v>
      </c>
      <c r="K273" s="28" t="str">
        <f>YEAR('web survey'!Z271)&amp;"-"&amp;IF(MONTH('web survey'!Z271)&lt;10,"0"&amp;MONTH('web survey'!Z271),MONTH('web survey'!Z271))&amp;"-"&amp;IF(DAY('web survey'!Z271)&lt;10,"0"&amp;DAY('web survey'!Z271),DAY('web survey'!Z271))&amp;" "&amp;IF(HOUR('web survey'!Z271)&lt;10,"0"&amp;HOUR('web survey'!Z271),HOUR('web survey'!Z271))&amp;":"&amp;IF(MINUTE('web survey'!Z271)&lt;10,"0"&amp;MINUTE('web survey'!Z271),MINUTE('web survey'!Z271))&amp;(":00'")</f>
        <v>2026-06-12 08:08:00'</v>
      </c>
      <c r="N273" s="22">
        <v>270</v>
      </c>
      <c r="O273" s="22" t="s">
        <v>27</v>
      </c>
      <c r="P273" s="22" t="s">
        <v>502</v>
      </c>
      <c r="Q273" s="22" t="s">
        <v>18</v>
      </c>
      <c r="R273" s="22" t="s">
        <v>17</v>
      </c>
      <c r="S273" s="22" t="s">
        <v>37</v>
      </c>
      <c r="T273" s="22" t="s">
        <v>17</v>
      </c>
      <c r="U273" s="22" t="s">
        <v>30</v>
      </c>
      <c r="V273" s="22" t="s">
        <v>17</v>
      </c>
      <c r="W273" s="22" t="s">
        <v>34</v>
      </c>
      <c r="X273" s="22" t="s">
        <v>503</v>
      </c>
    </row>
    <row r="274" spans="1:24">
      <c r="A274" s="28">
        <f>IF(B274="","",ROW()-COUNTBLANK($B$4:B274)-3)</f>
        <v>271</v>
      </c>
      <c r="B274" s="28" t="str">
        <f>'web survey'!C272</f>
        <v>FU-Z1-Eng</v>
      </c>
      <c r="C274" s="29" t="str">
        <f>'web survey'!AA272</f>
        <v>100980199</v>
      </c>
      <c r="D274" s="30" t="str">
        <f>IF(B274="FU-ACInstall",VLOOKUP(VALUE('web survey'!D272),ref!$B$6:$C$7,2,0)&amp;" ("&amp;'web survey'!D272&amp;")",VLOOKUP(VALUE('web survey'!D272),ref!$E$6:$F$10,2,0)&amp;" ("&amp;'web survey'!D272&amp;")")</f>
        <v>Good (10)</v>
      </c>
      <c r="E274" s="32" t="str">
        <f>'web survey'!S272</f>
        <v/>
      </c>
      <c r="F274" s="30" t="str">
        <f>IF(B274="FU-ACInstall",VLOOKUP(VALUE('web survey'!E272),ref!$B$10:$C$12,2,0)&amp;" ("&amp;'web survey'!E272&amp;")",VLOOKUP(VALUE('web survey'!E272),ref!$E$13:$F$17,2,0)&amp;" ("&amp;'web survey'!E272&amp;")")</f>
        <v>Very Good (10)</v>
      </c>
      <c r="G274" s="32" t="str">
        <f>'web survey'!T272</f>
        <v/>
      </c>
      <c r="H274" s="30" t="str">
        <f>IF(B274="FU-ACInstall",VLOOKUP(VALUE('web survey'!F272),ref!$B$15:$C$17,2,0)&amp;" ("&amp;'web survey'!F272&amp;")",VLOOKUP(VALUE('web survey'!F272),ref!$E$20:$F$21,2,0)&amp;" ("&amp;'web survey'!F272&amp;")")</f>
        <v>Appropriate with SAP / in Warranty (10)</v>
      </c>
      <c r="I274" s="32" t="str">
        <f>'web survey'!U272</f>
        <v/>
      </c>
      <c r="J274" s="30" t="str">
        <f>IF(B274="FU-ACInstall","-",VLOOKUP(VALUE('web survey'!G272),ref!$E$24:$F$26,2,0)&amp;" ("&amp;'web survey'!G272&amp;")")</f>
        <v>Jelas (5)</v>
      </c>
      <c r="K274" s="28" t="str">
        <f>YEAR('web survey'!Z272)&amp;"-"&amp;IF(MONTH('web survey'!Z272)&lt;10,"0"&amp;MONTH('web survey'!Z272),MONTH('web survey'!Z272))&amp;"-"&amp;IF(DAY('web survey'!Z272)&lt;10,"0"&amp;DAY('web survey'!Z272),DAY('web survey'!Z272))&amp;" "&amp;IF(HOUR('web survey'!Z272)&lt;10,"0"&amp;HOUR('web survey'!Z272),HOUR('web survey'!Z272))&amp;":"&amp;IF(MINUTE('web survey'!Z272)&lt;10,"0"&amp;MINUTE('web survey'!Z272),MINUTE('web survey'!Z272))&amp;(":00'")</f>
        <v>2026-06-12 07:56:00'</v>
      </c>
      <c r="N274" s="22">
        <v>271</v>
      </c>
      <c r="O274" s="22" t="s">
        <v>27</v>
      </c>
      <c r="P274" s="22" t="s">
        <v>504</v>
      </c>
      <c r="Q274" s="22" t="s">
        <v>18</v>
      </c>
      <c r="R274" s="22" t="s">
        <v>17</v>
      </c>
      <c r="S274" s="22" t="s">
        <v>37</v>
      </c>
      <c r="T274" s="22" t="s">
        <v>17</v>
      </c>
      <c r="U274" s="22" t="s">
        <v>30</v>
      </c>
      <c r="V274" s="22" t="s">
        <v>17</v>
      </c>
      <c r="W274" s="22" t="s">
        <v>34</v>
      </c>
      <c r="X274" s="22" t="s">
        <v>505</v>
      </c>
    </row>
    <row r="275" spans="1:24">
      <c r="A275" s="28">
        <f>IF(B275="","",ROW()-COUNTBLANK($B$4:B275)-3)</f>
        <v>272</v>
      </c>
      <c r="B275" s="28" t="str">
        <f>'web survey'!C273</f>
        <v>FU-Z1-Eng</v>
      </c>
      <c r="C275" s="29" t="str">
        <f>'web survey'!AA273</f>
        <v>204466216</v>
      </c>
      <c r="D275" s="30" t="str">
        <f>IF(B275="FU-ACInstall",VLOOKUP(VALUE('web survey'!D273),ref!$B$6:$C$7,2,0)&amp;" ("&amp;'web survey'!D273&amp;")",VLOOKUP(VALUE('web survey'!D273),ref!$E$6:$F$10,2,0)&amp;" ("&amp;'web survey'!D273&amp;")")</f>
        <v>Good (10)</v>
      </c>
      <c r="E275" s="32" t="str">
        <f>'web survey'!S273</f>
        <v/>
      </c>
      <c r="F275" s="30" t="str">
        <f>IF(B275="FU-ACInstall",VLOOKUP(VALUE('web survey'!E273),ref!$B$10:$C$12,2,0)&amp;" ("&amp;'web survey'!E273&amp;")",VLOOKUP(VALUE('web survey'!E273),ref!$E$13:$F$17,2,0)&amp;" ("&amp;'web survey'!E273&amp;")")</f>
        <v>Very Good (10)</v>
      </c>
      <c r="G275" s="32" t="str">
        <f>'web survey'!T273</f>
        <v/>
      </c>
      <c r="H275" s="30" t="str">
        <f>IF(B275="FU-ACInstall",VLOOKUP(VALUE('web survey'!F273),ref!$B$15:$C$17,2,0)&amp;" ("&amp;'web survey'!F273&amp;")",VLOOKUP(VALUE('web survey'!F273),ref!$E$20:$F$21,2,0)&amp;" ("&amp;'web survey'!F273&amp;")")</f>
        <v>Appropriate with SAP / in Warranty (10)</v>
      </c>
      <c r="I275" s="32" t="str">
        <f>'web survey'!U273</f>
        <v/>
      </c>
      <c r="J275" s="30" t="str">
        <f>IF(B275="FU-ACInstall","-",VLOOKUP(VALUE('web survey'!G273),ref!$E$24:$F$26,2,0)&amp;" ("&amp;'web survey'!G273&amp;")")</f>
        <v>Jelas (5)</v>
      </c>
      <c r="K275" s="28" t="str">
        <f>YEAR('web survey'!Z273)&amp;"-"&amp;IF(MONTH('web survey'!Z273)&lt;10,"0"&amp;MONTH('web survey'!Z273),MONTH('web survey'!Z273))&amp;"-"&amp;IF(DAY('web survey'!Z273)&lt;10,"0"&amp;DAY('web survey'!Z273),DAY('web survey'!Z273))&amp;" "&amp;IF(HOUR('web survey'!Z273)&lt;10,"0"&amp;HOUR('web survey'!Z273),HOUR('web survey'!Z273))&amp;":"&amp;IF(MINUTE('web survey'!Z273)&lt;10,"0"&amp;MINUTE('web survey'!Z273),MINUTE('web survey'!Z273))&amp;(":00'")</f>
        <v>2026-06-12 07:11:00'</v>
      </c>
      <c r="N275" s="22">
        <v>272</v>
      </c>
      <c r="O275" s="22" t="s">
        <v>27</v>
      </c>
      <c r="P275" s="22" t="s">
        <v>506</v>
      </c>
      <c r="Q275" s="22" t="s">
        <v>18</v>
      </c>
      <c r="R275" s="22" t="s">
        <v>17</v>
      </c>
      <c r="S275" s="22" t="s">
        <v>37</v>
      </c>
      <c r="T275" s="22" t="s">
        <v>17</v>
      </c>
      <c r="U275" s="22" t="s">
        <v>30</v>
      </c>
      <c r="V275" s="22" t="s">
        <v>17</v>
      </c>
      <c r="W275" s="22" t="s">
        <v>34</v>
      </c>
      <c r="X275" s="22" t="s">
        <v>507</v>
      </c>
    </row>
    <row r="276" spans="1:24">
      <c r="A276" s="28">
        <f>IF(B276="","",ROW()-COUNTBLANK($B$4:B276)-3)</f>
        <v>273</v>
      </c>
      <c r="B276" s="28" t="str">
        <f>'web survey'!C274</f>
        <v>FU-Z1-Eng</v>
      </c>
      <c r="C276" s="29" t="str">
        <f>'web survey'!AA274</f>
        <v>1100355206</v>
      </c>
      <c r="D276" s="30" t="str">
        <f>IF(B276="FU-ACInstall",VLOOKUP(VALUE('web survey'!D274),ref!$B$6:$C$7,2,0)&amp;" ("&amp;'web survey'!D274&amp;")",VLOOKUP(VALUE('web survey'!D274),ref!$E$6:$F$10,2,0)&amp;" ("&amp;'web survey'!D274&amp;")")</f>
        <v>Good (10)</v>
      </c>
      <c r="E276" s="32" t="str">
        <f>'web survey'!S274</f>
        <v/>
      </c>
      <c r="F276" s="30" t="str">
        <f>IF(B276="FU-ACInstall",VLOOKUP(VALUE('web survey'!E274),ref!$B$10:$C$12,2,0)&amp;" ("&amp;'web survey'!E274&amp;")",VLOOKUP(VALUE('web survey'!E274),ref!$E$13:$F$17,2,0)&amp;" ("&amp;'web survey'!E274&amp;")")</f>
        <v>Average (3)</v>
      </c>
      <c r="G276" s="32" t="str">
        <f>'web survey'!T274</f>
        <v/>
      </c>
      <c r="H276" s="30" t="str">
        <f>IF(B276="FU-ACInstall",VLOOKUP(VALUE('web survey'!F274),ref!$B$15:$C$17,2,0)&amp;" ("&amp;'web survey'!F274&amp;")",VLOOKUP(VALUE('web survey'!F274),ref!$E$20:$F$21,2,0)&amp;" ("&amp;'web survey'!F274&amp;")")</f>
        <v>Appropriate with SAP / in Warranty (10)</v>
      </c>
      <c r="I276" s="32" t="str">
        <f>'web survey'!U274</f>
        <v/>
      </c>
      <c r="J276" s="30" t="str">
        <f>IF(B276="FU-ACInstall","-",VLOOKUP(VALUE('web survey'!G274),ref!$E$24:$F$26,2,0)&amp;" ("&amp;'web survey'!G274&amp;")")</f>
        <v>Jelas (5)</v>
      </c>
      <c r="K276" s="28" t="str">
        <f>YEAR('web survey'!Z274)&amp;"-"&amp;IF(MONTH('web survey'!Z274)&lt;10,"0"&amp;MONTH('web survey'!Z274),MONTH('web survey'!Z274))&amp;"-"&amp;IF(DAY('web survey'!Z274)&lt;10,"0"&amp;DAY('web survey'!Z274),DAY('web survey'!Z274))&amp;" "&amp;IF(HOUR('web survey'!Z274)&lt;10,"0"&amp;HOUR('web survey'!Z274),HOUR('web survey'!Z274))&amp;":"&amp;IF(MINUTE('web survey'!Z274)&lt;10,"0"&amp;MINUTE('web survey'!Z274),MINUTE('web survey'!Z274))&amp;(":00'")</f>
        <v>2026-06-12 05:54:00'</v>
      </c>
      <c r="N276" s="22">
        <v>273</v>
      </c>
      <c r="O276" s="22" t="s">
        <v>27</v>
      </c>
      <c r="P276" s="22" t="s">
        <v>508</v>
      </c>
      <c r="Q276" s="22" t="s">
        <v>18</v>
      </c>
      <c r="R276" s="22" t="s">
        <v>17</v>
      </c>
      <c r="S276" s="22" t="s">
        <v>204</v>
      </c>
      <c r="T276" s="22" t="s">
        <v>17</v>
      </c>
      <c r="U276" s="22" t="s">
        <v>30</v>
      </c>
      <c r="V276" s="22" t="s">
        <v>17</v>
      </c>
      <c r="W276" s="22" t="s">
        <v>34</v>
      </c>
      <c r="X276" s="22" t="s">
        <v>509</v>
      </c>
    </row>
    <row r="277" spans="1:24">
      <c r="A277" s="28">
        <f>IF(B277="","",ROW()-COUNTBLANK($B$4:B277)-3)</f>
        <v>274</v>
      </c>
      <c r="B277" s="28" t="str">
        <f>'web survey'!C275</f>
        <v>FU-Z1-Eng</v>
      </c>
      <c r="C277" s="29" t="str">
        <f>'web survey'!AA275</f>
        <v>204468147</v>
      </c>
      <c r="D277" s="30" t="str">
        <f>IF(B277="FU-ACInstall",VLOOKUP(VALUE('web survey'!D275),ref!$B$6:$C$7,2,0)&amp;" ("&amp;'web survey'!D275&amp;")",VLOOKUP(VALUE('web survey'!D275),ref!$E$6:$F$10,2,0)&amp;" ("&amp;'web survey'!D275&amp;")")</f>
        <v>Good (10)</v>
      </c>
      <c r="E277" s="32" t="str">
        <f>'web survey'!S275</f>
        <v/>
      </c>
      <c r="F277" s="30" t="str">
        <f>IF(B277="FU-ACInstall",VLOOKUP(VALUE('web survey'!E275),ref!$B$10:$C$12,2,0)&amp;" ("&amp;'web survey'!E275&amp;")",VLOOKUP(VALUE('web survey'!E275),ref!$E$13:$F$17,2,0)&amp;" ("&amp;'web survey'!E275&amp;")")</f>
        <v>Very Good (10)</v>
      </c>
      <c r="G277" s="32" t="str">
        <f>'web survey'!T275</f>
        <v/>
      </c>
      <c r="H277" s="30" t="str">
        <f>IF(B277="FU-ACInstall",VLOOKUP(VALUE('web survey'!F275),ref!$B$15:$C$17,2,0)&amp;" ("&amp;'web survey'!F275&amp;")",VLOOKUP(VALUE('web survey'!F275),ref!$E$20:$F$21,2,0)&amp;" ("&amp;'web survey'!F275&amp;")")</f>
        <v>Appropriate with SAP / in Warranty (10)</v>
      </c>
      <c r="I277" s="32" t="str">
        <f>'web survey'!U275</f>
        <v/>
      </c>
      <c r="J277" s="30" t="str">
        <f>IF(B277="FU-ACInstall","-",VLOOKUP(VALUE('web survey'!G275),ref!$E$24:$F$26,2,0)&amp;" ("&amp;'web survey'!G275&amp;")")</f>
        <v>Jelas (5)</v>
      </c>
      <c r="K277" s="28" t="str">
        <f>YEAR('web survey'!Z275)&amp;"-"&amp;IF(MONTH('web survey'!Z275)&lt;10,"0"&amp;MONTH('web survey'!Z275),MONTH('web survey'!Z275))&amp;"-"&amp;IF(DAY('web survey'!Z275)&lt;10,"0"&amp;DAY('web survey'!Z275),DAY('web survey'!Z275))&amp;" "&amp;IF(HOUR('web survey'!Z275)&lt;10,"0"&amp;HOUR('web survey'!Z275),HOUR('web survey'!Z275))&amp;":"&amp;IF(MINUTE('web survey'!Z275)&lt;10,"0"&amp;MINUTE('web survey'!Z275),MINUTE('web survey'!Z275))&amp;(":00'")</f>
        <v>2026-06-12 05:26:00'</v>
      </c>
      <c r="N277" s="22">
        <v>274</v>
      </c>
      <c r="O277" s="22" t="s">
        <v>27</v>
      </c>
      <c r="P277" s="22" t="s">
        <v>510</v>
      </c>
      <c r="Q277" s="22" t="s">
        <v>18</v>
      </c>
      <c r="R277" s="22" t="s">
        <v>17</v>
      </c>
      <c r="S277" s="22" t="s">
        <v>37</v>
      </c>
      <c r="T277" s="22" t="s">
        <v>17</v>
      </c>
      <c r="U277" s="22" t="s">
        <v>30</v>
      </c>
      <c r="V277" s="22" t="s">
        <v>17</v>
      </c>
      <c r="W277" s="22" t="s">
        <v>34</v>
      </c>
      <c r="X277" s="22" t="s">
        <v>511</v>
      </c>
    </row>
    <row r="278" spans="1:24">
      <c r="A278" s="28">
        <f>IF(B278="","",ROW()-COUNTBLANK($B$4:B278)-3)</f>
        <v>275</v>
      </c>
      <c r="B278" s="28" t="str">
        <f>'web survey'!C276</f>
        <v>FU-Z1-Eng</v>
      </c>
      <c r="C278" s="29" t="str">
        <f>'web survey'!AA276</f>
        <v>1916A2600305</v>
      </c>
      <c r="D278" s="30" t="str">
        <f>IF(B278="FU-ACInstall",VLOOKUP(VALUE('web survey'!D276),ref!$B$6:$C$7,2,0)&amp;" ("&amp;'web survey'!D276&amp;")",VLOOKUP(VALUE('web survey'!D276),ref!$E$6:$F$10,2,0)&amp;" ("&amp;'web survey'!D276&amp;")")</f>
        <v>Good (10)</v>
      </c>
      <c r="E278" s="32" t="str">
        <f>'web survey'!S276</f>
        <v/>
      </c>
      <c r="F278" s="30" t="str">
        <f>IF(B278="FU-ACInstall",VLOOKUP(VALUE('web survey'!E276),ref!$B$10:$C$12,2,0)&amp;" ("&amp;'web survey'!E276&amp;")",VLOOKUP(VALUE('web survey'!E276),ref!$E$13:$F$17,2,0)&amp;" ("&amp;'web survey'!E276&amp;")")</f>
        <v>Very Good (10)</v>
      </c>
      <c r="G278" s="32" t="str">
        <f>'web survey'!T276</f>
        <v/>
      </c>
      <c r="H278" s="30" t="str">
        <f>IF(B278="FU-ACInstall",VLOOKUP(VALUE('web survey'!F276),ref!$B$15:$C$17,2,0)&amp;" ("&amp;'web survey'!F276&amp;")",VLOOKUP(VALUE('web survey'!F276),ref!$E$20:$F$21,2,0)&amp;" ("&amp;'web survey'!F276&amp;")")</f>
        <v>Appropriate with SAP / in Warranty (10)</v>
      </c>
      <c r="I278" s="32" t="str">
        <f>'web survey'!U276</f>
        <v/>
      </c>
      <c r="J278" s="30" t="str">
        <f>IF(B278="FU-ACInstall","-",VLOOKUP(VALUE('web survey'!G276),ref!$E$24:$F$26,2,0)&amp;" ("&amp;'web survey'!G276&amp;")")</f>
        <v>Jelas (5)</v>
      </c>
      <c r="K278" s="28" t="str">
        <f>YEAR('web survey'!Z276)&amp;"-"&amp;IF(MONTH('web survey'!Z276)&lt;10,"0"&amp;MONTH('web survey'!Z276),MONTH('web survey'!Z276))&amp;"-"&amp;IF(DAY('web survey'!Z276)&lt;10,"0"&amp;DAY('web survey'!Z276),DAY('web survey'!Z276))&amp;" "&amp;IF(HOUR('web survey'!Z276)&lt;10,"0"&amp;HOUR('web survey'!Z276),HOUR('web survey'!Z276))&amp;":"&amp;IF(MINUTE('web survey'!Z276)&lt;10,"0"&amp;MINUTE('web survey'!Z276),MINUTE('web survey'!Z276))&amp;(":00'")</f>
        <v>2026-06-12 02:22:00'</v>
      </c>
      <c r="N278" s="22">
        <v>275</v>
      </c>
      <c r="O278" s="22" t="s">
        <v>27</v>
      </c>
      <c r="P278" s="22" t="s">
        <v>323</v>
      </c>
      <c r="Q278" s="22" t="s">
        <v>18</v>
      </c>
      <c r="R278" s="22" t="s">
        <v>17</v>
      </c>
      <c r="S278" s="22" t="s">
        <v>37</v>
      </c>
      <c r="T278" s="22" t="s">
        <v>17</v>
      </c>
      <c r="U278" s="22" t="s">
        <v>30</v>
      </c>
      <c r="V278" s="22" t="s">
        <v>17</v>
      </c>
      <c r="W278" s="22" t="s">
        <v>34</v>
      </c>
      <c r="X278" s="22" t="s">
        <v>512</v>
      </c>
    </row>
    <row r="279" spans="1:24">
      <c r="A279" s="28">
        <f>IF(B279="","",ROW()-COUNTBLANK($B$4:B279)-3)</f>
        <v>276</v>
      </c>
      <c r="B279" s="28" t="str">
        <f>'web survey'!C277</f>
        <v>FU-Z1-Eng</v>
      </c>
      <c r="C279" s="29" t="str">
        <f>'web survey'!AA277</f>
        <v>204462366</v>
      </c>
      <c r="D279" s="30" t="str">
        <f>IF(B279="FU-ACInstall",VLOOKUP(VALUE('web survey'!D277),ref!$B$6:$C$7,2,0)&amp;" ("&amp;'web survey'!D277&amp;")",VLOOKUP(VALUE('web survey'!D277),ref!$E$6:$F$10,2,0)&amp;" ("&amp;'web survey'!D277&amp;")")</f>
        <v>Good (10)</v>
      </c>
      <c r="E279" s="32" t="str">
        <f>'web survey'!S277</f>
        <v/>
      </c>
      <c r="F279" s="30" t="str">
        <f>IF(B279="FU-ACInstall",VLOOKUP(VALUE('web survey'!E277),ref!$B$10:$C$12,2,0)&amp;" ("&amp;'web survey'!E277&amp;")",VLOOKUP(VALUE('web survey'!E277),ref!$E$13:$F$17,2,0)&amp;" ("&amp;'web survey'!E277&amp;")")</f>
        <v>Very Good (10)</v>
      </c>
      <c r="G279" s="32" t="str">
        <f>'web survey'!T277</f>
        <v/>
      </c>
      <c r="H279" s="30" t="str">
        <f>IF(B279="FU-ACInstall",VLOOKUP(VALUE('web survey'!F277),ref!$B$15:$C$17,2,0)&amp;" ("&amp;'web survey'!F277&amp;")",VLOOKUP(VALUE('web survey'!F277),ref!$E$20:$F$21,2,0)&amp;" ("&amp;'web survey'!F277&amp;")")</f>
        <v>Appropriate with SAP / in Warranty (10)</v>
      </c>
      <c r="I279" s="32" t="str">
        <f>'web survey'!U277</f>
        <v/>
      </c>
      <c r="J279" s="30" t="str">
        <f>IF(B279="FU-ACInstall","-",VLOOKUP(VALUE('web survey'!G277),ref!$E$24:$F$26,2,0)&amp;" ("&amp;'web survey'!G277&amp;")")</f>
        <v>Jelas (5)</v>
      </c>
      <c r="K279" s="28" t="str">
        <f>YEAR('web survey'!Z277)&amp;"-"&amp;IF(MONTH('web survey'!Z277)&lt;10,"0"&amp;MONTH('web survey'!Z277),MONTH('web survey'!Z277))&amp;"-"&amp;IF(DAY('web survey'!Z277)&lt;10,"0"&amp;DAY('web survey'!Z277),DAY('web survey'!Z277))&amp;" "&amp;IF(HOUR('web survey'!Z277)&lt;10,"0"&amp;HOUR('web survey'!Z277),HOUR('web survey'!Z277))&amp;":"&amp;IF(MINUTE('web survey'!Z277)&lt;10,"0"&amp;MINUTE('web survey'!Z277),MINUTE('web survey'!Z277))&amp;(":00'")</f>
        <v>2026-06-11 23:00:00'</v>
      </c>
      <c r="N279" s="22">
        <v>276</v>
      </c>
      <c r="O279" s="22" t="s">
        <v>27</v>
      </c>
      <c r="P279" s="22" t="s">
        <v>513</v>
      </c>
      <c r="Q279" s="22" t="s">
        <v>18</v>
      </c>
      <c r="R279" s="22" t="s">
        <v>17</v>
      </c>
      <c r="S279" s="22" t="s">
        <v>37</v>
      </c>
      <c r="T279" s="22" t="s">
        <v>17</v>
      </c>
      <c r="U279" s="22" t="s">
        <v>30</v>
      </c>
      <c r="V279" s="22" t="s">
        <v>17</v>
      </c>
      <c r="W279" s="22" t="s">
        <v>34</v>
      </c>
      <c r="X279" s="22" t="s">
        <v>514</v>
      </c>
    </row>
    <row r="280" spans="1:24">
      <c r="A280" s="28">
        <f>IF(B280="","",ROW()-COUNTBLANK($B$4:B280)-3)</f>
        <v>277</v>
      </c>
      <c r="B280" s="28" t="str">
        <f>'web survey'!C278</f>
        <v>FU-Z1-Eng</v>
      </c>
      <c r="C280" s="29" t="str">
        <f>'web survey'!AA278</f>
        <v>1100356891</v>
      </c>
      <c r="D280" s="30" t="str">
        <f>IF(B280="FU-ACInstall",VLOOKUP(VALUE('web survey'!D278),ref!$B$6:$C$7,2,0)&amp;" ("&amp;'web survey'!D278&amp;")",VLOOKUP(VALUE('web survey'!D278),ref!$E$6:$F$10,2,0)&amp;" ("&amp;'web survey'!D278&amp;")")</f>
        <v>Good (10)</v>
      </c>
      <c r="E280" s="32" t="str">
        <f>'web survey'!S278</f>
        <v/>
      </c>
      <c r="F280" s="30" t="str">
        <f>IF(B280="FU-ACInstall",VLOOKUP(VALUE('web survey'!E278),ref!$B$10:$C$12,2,0)&amp;" ("&amp;'web survey'!E278&amp;")",VLOOKUP(VALUE('web survey'!E278),ref!$E$13:$F$17,2,0)&amp;" ("&amp;'web survey'!E278&amp;")")</f>
        <v>Very Good (10)</v>
      </c>
      <c r="G280" s="32" t="str">
        <f>'web survey'!T278</f>
        <v/>
      </c>
      <c r="H280" s="30" t="str">
        <f>IF(B280="FU-ACInstall",VLOOKUP(VALUE('web survey'!F278),ref!$B$15:$C$17,2,0)&amp;" ("&amp;'web survey'!F278&amp;")",VLOOKUP(VALUE('web survey'!F278),ref!$E$20:$F$21,2,0)&amp;" ("&amp;'web survey'!F278&amp;")")</f>
        <v>Appropriate with SAP / in Warranty (10)</v>
      </c>
      <c r="I280" s="32" t="str">
        <f>'web survey'!U278</f>
        <v/>
      </c>
      <c r="J280" s="30" t="str">
        <f>IF(B280="FU-ACInstall","-",VLOOKUP(VALUE('web survey'!G278),ref!$E$24:$F$26,2,0)&amp;" ("&amp;'web survey'!G278&amp;")")</f>
        <v>Jelas (5)</v>
      </c>
      <c r="K280" s="28" t="str">
        <f>YEAR('web survey'!Z278)&amp;"-"&amp;IF(MONTH('web survey'!Z278)&lt;10,"0"&amp;MONTH('web survey'!Z278),MONTH('web survey'!Z278))&amp;"-"&amp;IF(DAY('web survey'!Z278)&lt;10,"0"&amp;DAY('web survey'!Z278),DAY('web survey'!Z278))&amp;" "&amp;IF(HOUR('web survey'!Z278)&lt;10,"0"&amp;HOUR('web survey'!Z278),HOUR('web survey'!Z278))&amp;":"&amp;IF(MINUTE('web survey'!Z278)&lt;10,"0"&amp;MINUTE('web survey'!Z278),MINUTE('web survey'!Z278))&amp;(":00'")</f>
        <v>2026-06-11 22:57:00'</v>
      </c>
      <c r="N280" s="22">
        <v>277</v>
      </c>
      <c r="O280" s="22" t="s">
        <v>27</v>
      </c>
      <c r="P280" s="22" t="s">
        <v>515</v>
      </c>
      <c r="Q280" s="22" t="s">
        <v>18</v>
      </c>
      <c r="R280" s="22" t="s">
        <v>17</v>
      </c>
      <c r="S280" s="22" t="s">
        <v>37</v>
      </c>
      <c r="T280" s="22" t="s">
        <v>17</v>
      </c>
      <c r="U280" s="22" t="s">
        <v>30</v>
      </c>
      <c r="V280" s="22" t="s">
        <v>17</v>
      </c>
      <c r="W280" s="22" t="s">
        <v>34</v>
      </c>
      <c r="X280" s="22" t="s">
        <v>516</v>
      </c>
    </row>
    <row r="281" spans="1:24">
      <c r="A281" s="28">
        <f>IF(B281="","",ROW()-COUNTBLANK($B$4:B281)-3)</f>
        <v>278</v>
      </c>
      <c r="B281" s="28" t="str">
        <f>'web survey'!C279</f>
        <v>FU-Z1-Eng</v>
      </c>
      <c r="C281" s="29" t="str">
        <f>'web survey'!AA279</f>
        <v>204473355</v>
      </c>
      <c r="D281" s="30" t="str">
        <f>IF(B281="FU-ACInstall",VLOOKUP(VALUE('web survey'!D279),ref!$B$6:$C$7,2,0)&amp;" ("&amp;'web survey'!D279&amp;")",VLOOKUP(VALUE('web survey'!D279),ref!$E$6:$F$10,2,0)&amp;" ("&amp;'web survey'!D279&amp;")")</f>
        <v>Good (10)</v>
      </c>
      <c r="E281" s="32" t="str">
        <f>'web survey'!S279</f>
        <v/>
      </c>
      <c r="F281" s="30" t="str">
        <f>IF(B281="FU-ACInstall",VLOOKUP(VALUE('web survey'!E279),ref!$B$10:$C$12,2,0)&amp;" ("&amp;'web survey'!E279&amp;")",VLOOKUP(VALUE('web survey'!E279),ref!$E$13:$F$17,2,0)&amp;" ("&amp;'web survey'!E279&amp;")")</f>
        <v>Very Good (10)</v>
      </c>
      <c r="G281" s="32" t="str">
        <f>'web survey'!T279</f>
        <v/>
      </c>
      <c r="H281" s="30" t="str">
        <f>IF(B281="FU-ACInstall",VLOOKUP(VALUE('web survey'!F279),ref!$B$15:$C$17,2,0)&amp;" ("&amp;'web survey'!F279&amp;")",VLOOKUP(VALUE('web survey'!F279),ref!$E$20:$F$21,2,0)&amp;" ("&amp;'web survey'!F279&amp;")")</f>
        <v>Appropriate with SAP / in Warranty (10)</v>
      </c>
      <c r="I281" s="32" t="str">
        <f>'web survey'!U279</f>
        <v/>
      </c>
      <c r="J281" s="30" t="str">
        <f>IF(B281="FU-ACInstall","-",VLOOKUP(VALUE('web survey'!G279),ref!$E$24:$F$26,2,0)&amp;" ("&amp;'web survey'!G279&amp;")")</f>
        <v>Jelas (5)</v>
      </c>
      <c r="K281" s="28" t="str">
        <f>YEAR('web survey'!Z279)&amp;"-"&amp;IF(MONTH('web survey'!Z279)&lt;10,"0"&amp;MONTH('web survey'!Z279),MONTH('web survey'!Z279))&amp;"-"&amp;IF(DAY('web survey'!Z279)&lt;10,"0"&amp;DAY('web survey'!Z279),DAY('web survey'!Z279))&amp;" "&amp;IF(HOUR('web survey'!Z279)&lt;10,"0"&amp;HOUR('web survey'!Z279),HOUR('web survey'!Z279))&amp;":"&amp;IF(MINUTE('web survey'!Z279)&lt;10,"0"&amp;MINUTE('web survey'!Z279),MINUTE('web survey'!Z279))&amp;(":00'")</f>
        <v>2026-06-11 22:49:00'</v>
      </c>
      <c r="N281" s="22">
        <v>278</v>
      </c>
      <c r="O281" s="22" t="s">
        <v>27</v>
      </c>
      <c r="P281" s="22" t="s">
        <v>517</v>
      </c>
      <c r="Q281" s="22" t="s">
        <v>18</v>
      </c>
      <c r="R281" s="22" t="s">
        <v>17</v>
      </c>
      <c r="S281" s="22" t="s">
        <v>37</v>
      </c>
      <c r="T281" s="22" t="s">
        <v>17</v>
      </c>
      <c r="U281" s="22" t="s">
        <v>30</v>
      </c>
      <c r="V281" s="22" t="s">
        <v>17</v>
      </c>
      <c r="W281" s="22" t="s">
        <v>34</v>
      </c>
      <c r="X281" s="22" t="s">
        <v>518</v>
      </c>
    </row>
    <row r="282" spans="1:24">
      <c r="A282" s="28">
        <f>IF(B282="","",ROW()-COUNTBLANK($B$4:B282)-3)</f>
        <v>279</v>
      </c>
      <c r="B282" s="28" t="str">
        <f>'web survey'!C280</f>
        <v>FU-Z1-Eng</v>
      </c>
      <c r="C282" s="29" t="str">
        <f>'web survey'!AA280</f>
        <v>204452007</v>
      </c>
      <c r="D282" s="30" t="str">
        <f>IF(B282="FU-ACInstall",VLOOKUP(VALUE('web survey'!D280),ref!$B$6:$C$7,2,0)&amp;" ("&amp;'web survey'!D280&amp;")",VLOOKUP(VALUE('web survey'!D280),ref!$E$6:$F$10,2,0)&amp;" ("&amp;'web survey'!D280&amp;")")</f>
        <v>Good (10)</v>
      </c>
      <c r="E282" s="32" t="str">
        <f>'web survey'!S280</f>
        <v/>
      </c>
      <c r="F282" s="30" t="str">
        <f>IF(B282="FU-ACInstall",VLOOKUP(VALUE('web survey'!E280),ref!$B$10:$C$12,2,0)&amp;" ("&amp;'web survey'!E280&amp;")",VLOOKUP(VALUE('web survey'!E280),ref!$E$13:$F$17,2,0)&amp;" ("&amp;'web survey'!E280&amp;")")</f>
        <v>Very Good (10)</v>
      </c>
      <c r="G282" s="32" t="str">
        <f>'web survey'!T280</f>
        <v/>
      </c>
      <c r="H282" s="30" t="str">
        <f>IF(B282="FU-ACInstall",VLOOKUP(VALUE('web survey'!F280),ref!$B$15:$C$17,2,0)&amp;" ("&amp;'web survey'!F280&amp;")",VLOOKUP(VALUE('web survey'!F280),ref!$E$20:$F$21,2,0)&amp;" ("&amp;'web survey'!F280&amp;")")</f>
        <v>Appropriate with SAP / in Warranty (10)</v>
      </c>
      <c r="I282" s="32" t="str">
        <f>'web survey'!U280</f>
        <v/>
      </c>
      <c r="J282" s="30" t="str">
        <f>IF(B282="FU-ACInstall","-",VLOOKUP(VALUE('web survey'!G280),ref!$E$24:$F$26,2,0)&amp;" ("&amp;'web survey'!G280&amp;")")</f>
        <v>Jelas (5)</v>
      </c>
      <c r="K282" s="28" t="str">
        <f>YEAR('web survey'!Z280)&amp;"-"&amp;IF(MONTH('web survey'!Z280)&lt;10,"0"&amp;MONTH('web survey'!Z280),MONTH('web survey'!Z280))&amp;"-"&amp;IF(DAY('web survey'!Z280)&lt;10,"0"&amp;DAY('web survey'!Z280),DAY('web survey'!Z280))&amp;" "&amp;IF(HOUR('web survey'!Z280)&lt;10,"0"&amp;HOUR('web survey'!Z280),HOUR('web survey'!Z280))&amp;":"&amp;IF(MINUTE('web survey'!Z280)&lt;10,"0"&amp;MINUTE('web survey'!Z280),MINUTE('web survey'!Z280))&amp;(":00'")</f>
        <v>2026-06-11 21:03:00'</v>
      </c>
      <c r="N282" s="22">
        <v>279</v>
      </c>
      <c r="O282" s="22" t="s">
        <v>27</v>
      </c>
      <c r="P282" s="22" t="s">
        <v>519</v>
      </c>
      <c r="Q282" s="22" t="s">
        <v>18</v>
      </c>
      <c r="R282" s="22" t="s">
        <v>17</v>
      </c>
      <c r="S282" s="22" t="s">
        <v>37</v>
      </c>
      <c r="T282" s="22" t="s">
        <v>17</v>
      </c>
      <c r="U282" s="22" t="s">
        <v>30</v>
      </c>
      <c r="V282" s="22" t="s">
        <v>17</v>
      </c>
      <c r="W282" s="22" t="s">
        <v>34</v>
      </c>
      <c r="X282" s="22" t="s">
        <v>520</v>
      </c>
    </row>
    <row r="283" spans="1:24">
      <c r="A283" s="28">
        <f>IF(B283="","",ROW()-COUNTBLANK($B$4:B283)-3)</f>
        <v>280</v>
      </c>
      <c r="B283" s="28" t="str">
        <f>'web survey'!C281</f>
        <v>FU-Z1-Eng</v>
      </c>
      <c r="C283" s="29" t="str">
        <f>'web survey'!AA281</f>
        <v>204466712</v>
      </c>
      <c r="D283" s="30" t="str">
        <f>IF(B283="FU-ACInstall",VLOOKUP(VALUE('web survey'!D281),ref!$B$6:$C$7,2,0)&amp;" ("&amp;'web survey'!D281&amp;")",VLOOKUP(VALUE('web survey'!D281),ref!$E$6:$F$10,2,0)&amp;" ("&amp;'web survey'!D281&amp;")")</f>
        <v>Good (10)</v>
      </c>
      <c r="E283" s="32" t="str">
        <f>'web survey'!S281</f>
        <v/>
      </c>
      <c r="F283" s="30" t="str">
        <f>IF(B283="FU-ACInstall",VLOOKUP(VALUE('web survey'!E281),ref!$B$10:$C$12,2,0)&amp;" ("&amp;'web survey'!E281&amp;")",VLOOKUP(VALUE('web survey'!E281),ref!$E$13:$F$17,2,0)&amp;" ("&amp;'web survey'!E281&amp;")")</f>
        <v>Very Good (10)</v>
      </c>
      <c r="G283" s="32" t="str">
        <f>'web survey'!T281</f>
        <v/>
      </c>
      <c r="H283" s="30" t="str">
        <f>IF(B283="FU-ACInstall",VLOOKUP(VALUE('web survey'!F281),ref!$B$15:$C$17,2,0)&amp;" ("&amp;'web survey'!F281&amp;")",VLOOKUP(VALUE('web survey'!F281),ref!$E$20:$F$21,2,0)&amp;" ("&amp;'web survey'!F281&amp;")")</f>
        <v>Appropriate with SAP / in Warranty (10)</v>
      </c>
      <c r="I283" s="32" t="str">
        <f>'web survey'!U281</f>
        <v/>
      </c>
      <c r="J283" s="30" t="str">
        <f>IF(B283="FU-ACInstall","-",VLOOKUP(VALUE('web survey'!G281),ref!$E$24:$F$26,2,0)&amp;" ("&amp;'web survey'!G281&amp;")")</f>
        <v>Jelas (5)</v>
      </c>
      <c r="K283" s="28" t="str">
        <f>YEAR('web survey'!Z281)&amp;"-"&amp;IF(MONTH('web survey'!Z281)&lt;10,"0"&amp;MONTH('web survey'!Z281),MONTH('web survey'!Z281))&amp;"-"&amp;IF(DAY('web survey'!Z281)&lt;10,"0"&amp;DAY('web survey'!Z281),DAY('web survey'!Z281))&amp;" "&amp;IF(HOUR('web survey'!Z281)&lt;10,"0"&amp;HOUR('web survey'!Z281),HOUR('web survey'!Z281))&amp;":"&amp;IF(MINUTE('web survey'!Z281)&lt;10,"0"&amp;MINUTE('web survey'!Z281),MINUTE('web survey'!Z281))&amp;(":00'")</f>
        <v>2026-06-11 20:51:00'</v>
      </c>
      <c r="N283" s="22">
        <v>280</v>
      </c>
      <c r="O283" s="22" t="s">
        <v>27</v>
      </c>
      <c r="P283" s="22" t="s">
        <v>521</v>
      </c>
      <c r="Q283" s="22" t="s">
        <v>18</v>
      </c>
      <c r="R283" s="22" t="s">
        <v>17</v>
      </c>
      <c r="S283" s="22" t="s">
        <v>37</v>
      </c>
      <c r="T283" s="22" t="s">
        <v>17</v>
      </c>
      <c r="U283" s="22" t="s">
        <v>30</v>
      </c>
      <c r="V283" s="22" t="s">
        <v>17</v>
      </c>
      <c r="W283" s="22" t="s">
        <v>34</v>
      </c>
      <c r="X283" s="22" t="s">
        <v>522</v>
      </c>
    </row>
    <row r="284" spans="1:24">
      <c r="A284" s="28">
        <f>IF(B284="","",ROW()-COUNTBLANK($B$4:B284)-3)</f>
        <v>281</v>
      </c>
      <c r="B284" s="28" t="str">
        <f>'web survey'!C282</f>
        <v>FU-Z1-Eng</v>
      </c>
      <c r="C284" s="29" t="str">
        <f>'web survey'!AA282</f>
        <v>204469693</v>
      </c>
      <c r="D284" s="30" t="str">
        <f>IF(B284="FU-ACInstall",VLOOKUP(VALUE('web survey'!D282),ref!$B$6:$C$7,2,0)&amp;" ("&amp;'web survey'!D282&amp;")",VLOOKUP(VALUE('web survey'!D282),ref!$E$6:$F$10,2,0)&amp;" ("&amp;'web survey'!D282&amp;")")</f>
        <v>Good (10)</v>
      </c>
      <c r="E284" s="32" t="str">
        <f>'web survey'!S282</f>
        <v/>
      </c>
      <c r="F284" s="30" t="str">
        <f>IF(B284="FU-ACInstall",VLOOKUP(VALUE('web survey'!E282),ref!$B$10:$C$12,2,0)&amp;" ("&amp;'web survey'!E282&amp;")",VLOOKUP(VALUE('web survey'!E282),ref!$E$13:$F$17,2,0)&amp;" ("&amp;'web survey'!E282&amp;")")</f>
        <v>Very Good (10)</v>
      </c>
      <c r="G284" s="32" t="str">
        <f>'web survey'!T282</f>
        <v/>
      </c>
      <c r="H284" s="30" t="str">
        <f>IF(B284="FU-ACInstall",VLOOKUP(VALUE('web survey'!F282),ref!$B$15:$C$17,2,0)&amp;" ("&amp;'web survey'!F282&amp;")",VLOOKUP(VALUE('web survey'!F282),ref!$E$20:$F$21,2,0)&amp;" ("&amp;'web survey'!F282&amp;")")</f>
        <v>Appropriate with SAP / in Warranty (10)</v>
      </c>
      <c r="I284" s="32" t="str">
        <f>'web survey'!U282</f>
        <v/>
      </c>
      <c r="J284" s="30" t="str">
        <f>IF(B284="FU-ACInstall","-",VLOOKUP(VALUE('web survey'!G282),ref!$E$24:$F$26,2,0)&amp;" ("&amp;'web survey'!G282&amp;")")</f>
        <v>Jelas (5)</v>
      </c>
      <c r="K284" s="28" t="str">
        <f>YEAR('web survey'!Z282)&amp;"-"&amp;IF(MONTH('web survey'!Z282)&lt;10,"0"&amp;MONTH('web survey'!Z282),MONTH('web survey'!Z282))&amp;"-"&amp;IF(DAY('web survey'!Z282)&lt;10,"0"&amp;DAY('web survey'!Z282),DAY('web survey'!Z282))&amp;" "&amp;IF(HOUR('web survey'!Z282)&lt;10,"0"&amp;HOUR('web survey'!Z282),HOUR('web survey'!Z282))&amp;":"&amp;IF(MINUTE('web survey'!Z282)&lt;10,"0"&amp;MINUTE('web survey'!Z282),MINUTE('web survey'!Z282))&amp;(":00'")</f>
        <v>2026-06-11 20:29:00'</v>
      </c>
      <c r="N284" s="22">
        <v>281</v>
      </c>
      <c r="O284" s="22" t="s">
        <v>27</v>
      </c>
      <c r="P284" s="22" t="s">
        <v>523</v>
      </c>
      <c r="Q284" s="22" t="s">
        <v>18</v>
      </c>
      <c r="R284" s="22" t="s">
        <v>17</v>
      </c>
      <c r="S284" s="22" t="s">
        <v>37</v>
      </c>
      <c r="T284" s="22" t="s">
        <v>17</v>
      </c>
      <c r="U284" s="22" t="s">
        <v>30</v>
      </c>
      <c r="V284" s="22" t="s">
        <v>17</v>
      </c>
      <c r="W284" s="22" t="s">
        <v>34</v>
      </c>
      <c r="X284" s="22" t="s">
        <v>524</v>
      </c>
    </row>
    <row r="285" spans="1:24">
      <c r="A285" s="28">
        <f>IF(B285="","",ROW()-COUNTBLANK($B$4:B285)-3)</f>
        <v>282</v>
      </c>
      <c r="B285" s="28" t="str">
        <f>'web survey'!C283</f>
        <v>FU-Z1-Eng</v>
      </c>
      <c r="C285" s="29" t="str">
        <f>'web survey'!AA283</f>
        <v>204448706</v>
      </c>
      <c r="D285" s="30" t="str">
        <f>IF(B285="FU-ACInstall",VLOOKUP(VALUE('web survey'!D283),ref!$B$6:$C$7,2,0)&amp;" ("&amp;'web survey'!D283&amp;")",VLOOKUP(VALUE('web survey'!D283),ref!$E$6:$F$10,2,0)&amp;" ("&amp;'web survey'!D283&amp;")")</f>
        <v>Good (10)</v>
      </c>
      <c r="E285" s="32" t="str">
        <f>'web survey'!S283</f>
        <v/>
      </c>
      <c r="F285" s="30" t="str">
        <f>IF(B285="FU-ACInstall",VLOOKUP(VALUE('web survey'!E283),ref!$B$10:$C$12,2,0)&amp;" ("&amp;'web survey'!E283&amp;")",VLOOKUP(VALUE('web survey'!E283),ref!$E$13:$F$17,2,0)&amp;" ("&amp;'web survey'!E283&amp;")")</f>
        <v>Good (5)</v>
      </c>
      <c r="G285" s="32" t="str">
        <f>'web survey'!T283</f>
        <v/>
      </c>
      <c r="H285" s="30" t="str">
        <f>IF(B285="FU-ACInstall",VLOOKUP(VALUE('web survey'!F283),ref!$B$15:$C$17,2,0)&amp;" ("&amp;'web survey'!F283&amp;")",VLOOKUP(VALUE('web survey'!F283),ref!$E$20:$F$21,2,0)&amp;" ("&amp;'web survey'!F283&amp;")")</f>
        <v>Appropriate with SAP / in Warranty (10)</v>
      </c>
      <c r="I285" s="32" t="str">
        <f>'web survey'!U283</f>
        <v/>
      </c>
      <c r="J285" s="30" t="str">
        <f>IF(B285="FU-ACInstall","-",VLOOKUP(VALUE('web survey'!G283),ref!$E$24:$F$26,2,0)&amp;" ("&amp;'web survey'!G283&amp;")")</f>
        <v>Jelas (5)</v>
      </c>
      <c r="K285" s="28" t="str">
        <f>YEAR('web survey'!Z283)&amp;"-"&amp;IF(MONTH('web survey'!Z283)&lt;10,"0"&amp;MONTH('web survey'!Z283),MONTH('web survey'!Z283))&amp;"-"&amp;IF(DAY('web survey'!Z283)&lt;10,"0"&amp;DAY('web survey'!Z283),DAY('web survey'!Z283))&amp;" "&amp;IF(HOUR('web survey'!Z283)&lt;10,"0"&amp;HOUR('web survey'!Z283),HOUR('web survey'!Z283))&amp;":"&amp;IF(MINUTE('web survey'!Z283)&lt;10,"0"&amp;MINUTE('web survey'!Z283),MINUTE('web survey'!Z283))&amp;(":00'")</f>
        <v>2026-06-11 19:50:00'</v>
      </c>
      <c r="N285" s="22">
        <v>282</v>
      </c>
      <c r="O285" s="22" t="s">
        <v>27</v>
      </c>
      <c r="P285" s="22" t="s">
        <v>525</v>
      </c>
      <c r="Q285" s="22" t="s">
        <v>18</v>
      </c>
      <c r="R285" s="22" t="s">
        <v>17</v>
      </c>
      <c r="S285" s="22" t="s">
        <v>29</v>
      </c>
      <c r="T285" s="22" t="s">
        <v>17</v>
      </c>
      <c r="U285" s="22" t="s">
        <v>30</v>
      </c>
      <c r="V285" s="22" t="s">
        <v>17</v>
      </c>
      <c r="W285" s="22" t="s">
        <v>34</v>
      </c>
      <c r="X285" s="22" t="s">
        <v>526</v>
      </c>
    </row>
    <row r="286" spans="1:24">
      <c r="A286" s="28">
        <f>IF(B286="","",ROW()-COUNTBLANK($B$4:B286)-3)</f>
        <v>283</v>
      </c>
      <c r="B286" s="28" t="str">
        <f>'web survey'!C284</f>
        <v>FU-Z1-Eng</v>
      </c>
      <c r="C286" s="29" t="str">
        <f>'web survey'!AA284</f>
        <v>204470342</v>
      </c>
      <c r="D286" s="30" t="str">
        <f>IF(B286="FU-ACInstall",VLOOKUP(VALUE('web survey'!D284),ref!$B$6:$C$7,2,0)&amp;" ("&amp;'web survey'!D284&amp;")",VLOOKUP(VALUE('web survey'!D284),ref!$E$6:$F$10,2,0)&amp;" ("&amp;'web survey'!D284&amp;")")</f>
        <v>Good (10)</v>
      </c>
      <c r="E286" s="32" t="str">
        <f>'web survey'!S284</f>
        <v/>
      </c>
      <c r="F286" s="30" t="str">
        <f>IF(B286="FU-ACInstall",VLOOKUP(VALUE('web survey'!E284),ref!$B$10:$C$12,2,0)&amp;" ("&amp;'web survey'!E284&amp;")",VLOOKUP(VALUE('web survey'!E284),ref!$E$13:$F$17,2,0)&amp;" ("&amp;'web survey'!E284&amp;")")</f>
        <v>Good (5)</v>
      </c>
      <c r="G286" s="32" t="str">
        <f>'web survey'!T284</f>
        <v/>
      </c>
      <c r="H286" s="30" t="str">
        <f>IF(B286="FU-ACInstall",VLOOKUP(VALUE('web survey'!F284),ref!$B$15:$C$17,2,0)&amp;" ("&amp;'web survey'!F284&amp;")",VLOOKUP(VALUE('web survey'!F284),ref!$E$20:$F$21,2,0)&amp;" ("&amp;'web survey'!F284&amp;")")</f>
        <v>Appropriate with SAP / in Warranty (10)</v>
      </c>
      <c r="I286" s="32" t="str">
        <f>'web survey'!U284</f>
        <v/>
      </c>
      <c r="J286" s="30" t="str">
        <f>IF(B286="FU-ACInstall","-",VLOOKUP(VALUE('web survey'!G284),ref!$E$24:$F$26,2,0)&amp;" ("&amp;'web survey'!G284&amp;")")</f>
        <v>Jelas (5)</v>
      </c>
      <c r="K286" s="28" t="str">
        <f>YEAR('web survey'!Z284)&amp;"-"&amp;IF(MONTH('web survey'!Z284)&lt;10,"0"&amp;MONTH('web survey'!Z284),MONTH('web survey'!Z284))&amp;"-"&amp;IF(DAY('web survey'!Z284)&lt;10,"0"&amp;DAY('web survey'!Z284),DAY('web survey'!Z284))&amp;" "&amp;IF(HOUR('web survey'!Z284)&lt;10,"0"&amp;HOUR('web survey'!Z284),HOUR('web survey'!Z284))&amp;":"&amp;IF(MINUTE('web survey'!Z284)&lt;10,"0"&amp;MINUTE('web survey'!Z284),MINUTE('web survey'!Z284))&amp;(":00'")</f>
        <v>2026-06-11 19:29:00'</v>
      </c>
      <c r="N286" s="22">
        <v>283</v>
      </c>
      <c r="O286" s="22" t="s">
        <v>27</v>
      </c>
      <c r="P286" s="22" t="s">
        <v>527</v>
      </c>
      <c r="Q286" s="22" t="s">
        <v>18</v>
      </c>
      <c r="R286" s="22" t="s">
        <v>17</v>
      </c>
      <c r="S286" s="22" t="s">
        <v>29</v>
      </c>
      <c r="T286" s="22" t="s">
        <v>17</v>
      </c>
      <c r="U286" s="22" t="s">
        <v>30</v>
      </c>
      <c r="V286" s="22" t="s">
        <v>17</v>
      </c>
      <c r="W286" s="22" t="s">
        <v>34</v>
      </c>
      <c r="X286" s="22" t="s">
        <v>528</v>
      </c>
    </row>
    <row r="287" spans="1:24">
      <c r="A287" s="28">
        <f>IF(B287="","",ROW()-COUNTBLANK($B$4:B287)-3)</f>
        <v>284</v>
      </c>
      <c r="B287" s="28" t="str">
        <f>'web survey'!C285</f>
        <v>FU-Z1-Eng</v>
      </c>
      <c r="C287" s="29" t="str">
        <f>'web survey'!AA285</f>
        <v>1014A2601926</v>
      </c>
      <c r="D287" s="30" t="str">
        <f>IF(B287="FU-ACInstall",VLOOKUP(VALUE('web survey'!D285),ref!$B$6:$C$7,2,0)&amp;" ("&amp;'web survey'!D285&amp;")",VLOOKUP(VALUE('web survey'!D285),ref!$E$6:$F$10,2,0)&amp;" ("&amp;'web survey'!D285&amp;")")</f>
        <v>Good (10)</v>
      </c>
      <c r="E287" s="32" t="str">
        <f>'web survey'!S285</f>
        <v/>
      </c>
      <c r="F287" s="30" t="str">
        <f>IF(B287="FU-ACInstall",VLOOKUP(VALUE('web survey'!E285),ref!$B$10:$C$12,2,0)&amp;" ("&amp;'web survey'!E285&amp;")",VLOOKUP(VALUE('web survey'!E285),ref!$E$13:$F$17,2,0)&amp;" ("&amp;'web survey'!E285&amp;")")</f>
        <v>Very Good (10)</v>
      </c>
      <c r="G287" s="32" t="str">
        <f>'web survey'!T285</f>
        <v/>
      </c>
      <c r="H287" s="30" t="str">
        <f>IF(B287="FU-ACInstall",VLOOKUP(VALUE('web survey'!F285),ref!$B$15:$C$17,2,0)&amp;" ("&amp;'web survey'!F285&amp;")",VLOOKUP(VALUE('web survey'!F285),ref!$E$20:$F$21,2,0)&amp;" ("&amp;'web survey'!F285&amp;")")</f>
        <v>Appropriate with SAP / in Warranty (10)</v>
      </c>
      <c r="I287" s="32" t="str">
        <f>'web survey'!U285</f>
        <v/>
      </c>
      <c r="J287" s="30" t="str">
        <f>IF(B287="FU-ACInstall","-",VLOOKUP(VALUE('web survey'!G285),ref!$E$24:$F$26,2,0)&amp;" ("&amp;'web survey'!G285&amp;")")</f>
        <v>Jelas (5)</v>
      </c>
      <c r="K287" s="28" t="str">
        <f>YEAR('web survey'!Z285)&amp;"-"&amp;IF(MONTH('web survey'!Z285)&lt;10,"0"&amp;MONTH('web survey'!Z285),MONTH('web survey'!Z285))&amp;"-"&amp;IF(DAY('web survey'!Z285)&lt;10,"0"&amp;DAY('web survey'!Z285),DAY('web survey'!Z285))&amp;" "&amp;IF(HOUR('web survey'!Z285)&lt;10,"0"&amp;HOUR('web survey'!Z285),HOUR('web survey'!Z285))&amp;":"&amp;IF(MINUTE('web survey'!Z285)&lt;10,"0"&amp;MINUTE('web survey'!Z285),MINUTE('web survey'!Z285))&amp;(":00'")</f>
        <v>2026-06-11 19:20:00'</v>
      </c>
      <c r="N287" s="22">
        <v>284</v>
      </c>
      <c r="O287" s="22" t="s">
        <v>27</v>
      </c>
      <c r="P287" s="22" t="s">
        <v>529</v>
      </c>
      <c r="Q287" s="22" t="s">
        <v>18</v>
      </c>
      <c r="R287" s="22" t="s">
        <v>17</v>
      </c>
      <c r="S287" s="22" t="s">
        <v>37</v>
      </c>
      <c r="T287" s="22" t="s">
        <v>17</v>
      </c>
      <c r="U287" s="22" t="s">
        <v>30</v>
      </c>
      <c r="V287" s="22" t="s">
        <v>17</v>
      </c>
      <c r="W287" s="22" t="s">
        <v>34</v>
      </c>
      <c r="X287" s="22" t="s">
        <v>530</v>
      </c>
    </row>
    <row r="288" spans="1:24">
      <c r="A288" s="28">
        <f>IF(B288="","",ROW()-COUNTBLANK($B$4:B288)-3)</f>
        <v>285</v>
      </c>
      <c r="B288" s="28" t="str">
        <f>'web survey'!C286</f>
        <v>FU-Z1-Eng</v>
      </c>
      <c r="C288" s="29" t="str">
        <f>'web survey'!AA286</f>
        <v>204458782</v>
      </c>
      <c r="D288" s="30" t="str">
        <f>IF(B288="FU-ACInstall",VLOOKUP(VALUE('web survey'!D286),ref!$B$6:$C$7,2,0)&amp;" ("&amp;'web survey'!D286&amp;")",VLOOKUP(VALUE('web survey'!D286),ref!$E$6:$F$10,2,0)&amp;" ("&amp;'web survey'!D286&amp;")")</f>
        <v>Good (10)</v>
      </c>
      <c r="E288" s="32" t="str">
        <f>'web survey'!S286</f>
        <v/>
      </c>
      <c r="F288" s="30" t="str">
        <f>IF(B288="FU-ACInstall",VLOOKUP(VALUE('web survey'!E286),ref!$B$10:$C$12,2,0)&amp;" ("&amp;'web survey'!E286&amp;")",VLOOKUP(VALUE('web survey'!E286),ref!$E$13:$F$17,2,0)&amp;" ("&amp;'web survey'!E286&amp;")")</f>
        <v>Very Good (10)</v>
      </c>
      <c r="G288" s="32" t="str">
        <f>'web survey'!T286</f>
        <v/>
      </c>
      <c r="H288" s="30" t="str">
        <f>IF(B288="FU-ACInstall",VLOOKUP(VALUE('web survey'!F286),ref!$B$15:$C$17,2,0)&amp;" ("&amp;'web survey'!F286&amp;")",VLOOKUP(VALUE('web survey'!F286),ref!$E$20:$F$21,2,0)&amp;" ("&amp;'web survey'!F286&amp;")")</f>
        <v>Appropriate with SAP / in Warranty (10)</v>
      </c>
      <c r="I288" s="32" t="str">
        <f>'web survey'!U286</f>
        <v/>
      </c>
      <c r="J288" s="30" t="str">
        <f>IF(B288="FU-ACInstall","-",VLOOKUP(VALUE('web survey'!G286),ref!$E$24:$F$26,2,0)&amp;" ("&amp;'web survey'!G286&amp;")")</f>
        <v>Jelas (5)</v>
      </c>
      <c r="K288" s="28" t="str">
        <f>YEAR('web survey'!Z286)&amp;"-"&amp;IF(MONTH('web survey'!Z286)&lt;10,"0"&amp;MONTH('web survey'!Z286),MONTH('web survey'!Z286))&amp;"-"&amp;IF(DAY('web survey'!Z286)&lt;10,"0"&amp;DAY('web survey'!Z286),DAY('web survey'!Z286))&amp;" "&amp;IF(HOUR('web survey'!Z286)&lt;10,"0"&amp;HOUR('web survey'!Z286),HOUR('web survey'!Z286))&amp;":"&amp;IF(MINUTE('web survey'!Z286)&lt;10,"0"&amp;MINUTE('web survey'!Z286),MINUTE('web survey'!Z286))&amp;(":00'")</f>
        <v>2026-06-11 18:49:00'</v>
      </c>
      <c r="N288" s="22">
        <v>285</v>
      </c>
      <c r="O288" s="22" t="s">
        <v>27</v>
      </c>
      <c r="P288" s="22" t="s">
        <v>531</v>
      </c>
      <c r="Q288" s="22" t="s">
        <v>18</v>
      </c>
      <c r="R288" s="22" t="s">
        <v>17</v>
      </c>
      <c r="S288" s="22" t="s">
        <v>37</v>
      </c>
      <c r="T288" s="22" t="s">
        <v>17</v>
      </c>
      <c r="U288" s="22" t="s">
        <v>30</v>
      </c>
      <c r="V288" s="22" t="s">
        <v>17</v>
      </c>
      <c r="W288" s="22" t="s">
        <v>34</v>
      </c>
      <c r="X288" s="22" t="s">
        <v>532</v>
      </c>
    </row>
    <row r="289" spans="1:24">
      <c r="A289" s="28">
        <f>IF(B289="","",ROW()-COUNTBLANK($B$4:B289)-3)</f>
        <v>286</v>
      </c>
      <c r="B289" s="28" t="str">
        <f>'web survey'!C287</f>
        <v>FU-Z1-Eng</v>
      </c>
      <c r="C289" s="29" t="str">
        <f>'web survey'!AA287</f>
        <v>204467315</v>
      </c>
      <c r="D289" s="30" t="str">
        <f>IF(B289="FU-ACInstall",VLOOKUP(VALUE('web survey'!D287),ref!$B$6:$C$7,2,0)&amp;" ("&amp;'web survey'!D287&amp;")",VLOOKUP(VALUE('web survey'!D287),ref!$E$6:$F$10,2,0)&amp;" ("&amp;'web survey'!D287&amp;")")</f>
        <v>Good (10)</v>
      </c>
      <c r="E289" s="32" t="str">
        <f>'web survey'!S287</f>
        <v/>
      </c>
      <c r="F289" s="30" t="str">
        <f>IF(B289="FU-ACInstall",VLOOKUP(VALUE('web survey'!E287),ref!$B$10:$C$12,2,0)&amp;" ("&amp;'web survey'!E287&amp;")",VLOOKUP(VALUE('web survey'!E287),ref!$E$13:$F$17,2,0)&amp;" ("&amp;'web survey'!E287&amp;")")</f>
        <v>Very Good (10)</v>
      </c>
      <c r="G289" s="32" t="str">
        <f>'web survey'!T287</f>
        <v/>
      </c>
      <c r="H289" s="30" t="str">
        <f>IF(B289="FU-ACInstall",VLOOKUP(VALUE('web survey'!F287),ref!$B$15:$C$17,2,0)&amp;" ("&amp;'web survey'!F287&amp;")",VLOOKUP(VALUE('web survey'!F287),ref!$E$20:$F$21,2,0)&amp;" ("&amp;'web survey'!F287&amp;")")</f>
        <v>Appropriate with SAP / in Warranty (10)</v>
      </c>
      <c r="I289" s="32" t="str">
        <f>'web survey'!U287</f>
        <v/>
      </c>
      <c r="J289" s="30" t="str">
        <f>IF(B289="FU-ACInstall","-",VLOOKUP(VALUE('web survey'!G287),ref!$E$24:$F$26,2,0)&amp;" ("&amp;'web survey'!G287&amp;")")</f>
        <v>Jelas (5)</v>
      </c>
      <c r="K289" s="28" t="str">
        <f>YEAR('web survey'!Z287)&amp;"-"&amp;IF(MONTH('web survey'!Z287)&lt;10,"0"&amp;MONTH('web survey'!Z287),MONTH('web survey'!Z287))&amp;"-"&amp;IF(DAY('web survey'!Z287)&lt;10,"0"&amp;DAY('web survey'!Z287),DAY('web survey'!Z287))&amp;" "&amp;IF(HOUR('web survey'!Z287)&lt;10,"0"&amp;HOUR('web survey'!Z287),HOUR('web survey'!Z287))&amp;":"&amp;IF(MINUTE('web survey'!Z287)&lt;10,"0"&amp;MINUTE('web survey'!Z287),MINUTE('web survey'!Z287))&amp;(":00'")</f>
        <v>2026-06-11 18:47:00'</v>
      </c>
      <c r="N289" s="22">
        <v>286</v>
      </c>
      <c r="O289" s="22" t="s">
        <v>27</v>
      </c>
      <c r="P289" s="22" t="s">
        <v>533</v>
      </c>
      <c r="Q289" s="22" t="s">
        <v>18</v>
      </c>
      <c r="R289" s="22" t="s">
        <v>17</v>
      </c>
      <c r="S289" s="22" t="s">
        <v>37</v>
      </c>
      <c r="T289" s="22" t="s">
        <v>17</v>
      </c>
      <c r="U289" s="22" t="s">
        <v>30</v>
      </c>
      <c r="V289" s="22" t="s">
        <v>17</v>
      </c>
      <c r="W289" s="22" t="s">
        <v>34</v>
      </c>
      <c r="X289" s="22" t="s">
        <v>534</v>
      </c>
    </row>
    <row r="290" spans="1:24">
      <c r="A290" s="28">
        <f>IF(B290="","",ROW()-COUNTBLANK($B$4:B290)-3)</f>
        <v>287</v>
      </c>
      <c r="B290" s="28" t="str">
        <f>'web survey'!C288</f>
        <v>FU-Z1-Eng</v>
      </c>
      <c r="C290" s="29" t="str">
        <f>'web survey'!AA288</f>
        <v>204461164</v>
      </c>
      <c r="D290" s="30" t="str">
        <f>IF(B290="FU-ACInstall",VLOOKUP(VALUE('web survey'!D288),ref!$B$6:$C$7,2,0)&amp;" ("&amp;'web survey'!D288&amp;")",VLOOKUP(VALUE('web survey'!D288),ref!$E$6:$F$10,2,0)&amp;" ("&amp;'web survey'!D288&amp;")")</f>
        <v>Good (10)</v>
      </c>
      <c r="E290" s="32" t="str">
        <f>'web survey'!S288</f>
        <v/>
      </c>
      <c r="F290" s="30" t="str">
        <f>IF(B290="FU-ACInstall",VLOOKUP(VALUE('web survey'!E288),ref!$B$10:$C$12,2,0)&amp;" ("&amp;'web survey'!E288&amp;")",VLOOKUP(VALUE('web survey'!E288),ref!$E$13:$F$17,2,0)&amp;" ("&amp;'web survey'!E288&amp;")")</f>
        <v>Very Good (10)</v>
      </c>
      <c r="G290" s="32" t="str">
        <f>'web survey'!T288</f>
        <v/>
      </c>
      <c r="H290" s="30" t="str">
        <f>IF(B290="FU-ACInstall",VLOOKUP(VALUE('web survey'!F288),ref!$B$15:$C$17,2,0)&amp;" ("&amp;'web survey'!F288&amp;")",VLOOKUP(VALUE('web survey'!F288),ref!$E$20:$F$21,2,0)&amp;" ("&amp;'web survey'!F288&amp;")")</f>
        <v>Appropriate with SAP / in Warranty (10)</v>
      </c>
      <c r="I290" s="32" t="str">
        <f>'web survey'!U288</f>
        <v/>
      </c>
      <c r="J290" s="30" t="str">
        <f>IF(B290="FU-ACInstall","-",VLOOKUP(VALUE('web survey'!G288),ref!$E$24:$F$26,2,0)&amp;" ("&amp;'web survey'!G288&amp;")")</f>
        <v>Jelas (5)</v>
      </c>
      <c r="K290" s="28" t="str">
        <f>YEAR('web survey'!Z288)&amp;"-"&amp;IF(MONTH('web survey'!Z288)&lt;10,"0"&amp;MONTH('web survey'!Z288),MONTH('web survey'!Z288))&amp;"-"&amp;IF(DAY('web survey'!Z288)&lt;10,"0"&amp;DAY('web survey'!Z288),DAY('web survey'!Z288))&amp;" "&amp;IF(HOUR('web survey'!Z288)&lt;10,"0"&amp;HOUR('web survey'!Z288),HOUR('web survey'!Z288))&amp;":"&amp;IF(MINUTE('web survey'!Z288)&lt;10,"0"&amp;MINUTE('web survey'!Z288),MINUTE('web survey'!Z288))&amp;(":00'")</f>
        <v>2026-06-11 18:38:00'</v>
      </c>
      <c r="N290" s="22">
        <v>287</v>
      </c>
      <c r="O290" s="22" t="s">
        <v>27</v>
      </c>
      <c r="P290" s="22" t="s">
        <v>535</v>
      </c>
      <c r="Q290" s="22" t="s">
        <v>18</v>
      </c>
      <c r="R290" s="22" t="s">
        <v>17</v>
      </c>
      <c r="S290" s="22" t="s">
        <v>37</v>
      </c>
      <c r="T290" s="22" t="s">
        <v>17</v>
      </c>
      <c r="U290" s="22" t="s">
        <v>30</v>
      </c>
      <c r="V290" s="22" t="s">
        <v>17</v>
      </c>
      <c r="W290" s="22" t="s">
        <v>34</v>
      </c>
      <c r="X290" s="22" t="s">
        <v>536</v>
      </c>
    </row>
    <row r="291" spans="1:24">
      <c r="A291" s="28">
        <f>IF(B291="","",ROW()-COUNTBLANK($B$4:B291)-3)</f>
        <v>288</v>
      </c>
      <c r="B291" s="28" t="str">
        <f>'web survey'!C289</f>
        <v>FU-Z1-Eng</v>
      </c>
      <c r="C291" s="29" t="str">
        <f>'web survey'!AA289</f>
        <v>1214A2603470</v>
      </c>
      <c r="D291" s="30" t="str">
        <f>IF(B291="FU-ACInstall",VLOOKUP(VALUE('web survey'!D289),ref!$B$6:$C$7,2,0)&amp;" ("&amp;'web survey'!D289&amp;")",VLOOKUP(VALUE('web survey'!D289),ref!$E$6:$F$10,2,0)&amp;" ("&amp;'web survey'!D289&amp;")")</f>
        <v>Good (10)</v>
      </c>
      <c r="E291" s="32" t="str">
        <f>'web survey'!S289</f>
        <v/>
      </c>
      <c r="F291" s="30" t="str">
        <f>IF(B291="FU-ACInstall",VLOOKUP(VALUE('web survey'!E289),ref!$B$10:$C$12,2,0)&amp;" ("&amp;'web survey'!E289&amp;")",VLOOKUP(VALUE('web survey'!E289),ref!$E$13:$F$17,2,0)&amp;" ("&amp;'web survey'!E289&amp;")")</f>
        <v>Very Good (10)</v>
      </c>
      <c r="G291" s="32" t="str">
        <f>'web survey'!T289</f>
        <v/>
      </c>
      <c r="H291" s="30" t="str">
        <f>IF(B291="FU-ACInstall",VLOOKUP(VALUE('web survey'!F289),ref!$B$15:$C$17,2,0)&amp;" ("&amp;'web survey'!F289&amp;")",VLOOKUP(VALUE('web survey'!F289),ref!$E$20:$F$21,2,0)&amp;" ("&amp;'web survey'!F289&amp;")")</f>
        <v>Appropriate with SAP / in Warranty (10)</v>
      </c>
      <c r="I291" s="32" t="str">
        <f>'web survey'!U289</f>
        <v/>
      </c>
      <c r="J291" s="30" t="str">
        <f>IF(B291="FU-ACInstall","-",VLOOKUP(VALUE('web survey'!G289),ref!$E$24:$F$26,2,0)&amp;" ("&amp;'web survey'!G289&amp;")")</f>
        <v>Jelas (5)</v>
      </c>
      <c r="K291" s="28" t="str">
        <f>YEAR('web survey'!Z289)&amp;"-"&amp;IF(MONTH('web survey'!Z289)&lt;10,"0"&amp;MONTH('web survey'!Z289),MONTH('web survey'!Z289))&amp;"-"&amp;IF(DAY('web survey'!Z289)&lt;10,"0"&amp;DAY('web survey'!Z289),DAY('web survey'!Z289))&amp;" "&amp;IF(HOUR('web survey'!Z289)&lt;10,"0"&amp;HOUR('web survey'!Z289),HOUR('web survey'!Z289))&amp;":"&amp;IF(MINUTE('web survey'!Z289)&lt;10,"0"&amp;MINUTE('web survey'!Z289),MINUTE('web survey'!Z289))&amp;(":00'")</f>
        <v>2026-06-11 18:34:00'</v>
      </c>
      <c r="N291" s="22">
        <v>288</v>
      </c>
      <c r="O291" s="22" t="s">
        <v>27</v>
      </c>
      <c r="P291" s="22" t="s">
        <v>537</v>
      </c>
      <c r="Q291" s="22" t="s">
        <v>18</v>
      </c>
      <c r="R291" s="22" t="s">
        <v>17</v>
      </c>
      <c r="S291" s="22" t="s">
        <v>37</v>
      </c>
      <c r="T291" s="22" t="s">
        <v>17</v>
      </c>
      <c r="U291" s="22" t="s">
        <v>30</v>
      </c>
      <c r="V291" s="22" t="s">
        <v>17</v>
      </c>
      <c r="W291" s="22" t="s">
        <v>34</v>
      </c>
      <c r="X291" s="22" t="s">
        <v>538</v>
      </c>
    </row>
    <row r="292" spans="1:24">
      <c r="A292" s="28">
        <f>IF(B292="","",ROW()-COUNTBLANK($B$4:B292)-3)</f>
        <v>289</v>
      </c>
      <c r="B292" s="28" t="str">
        <f>'web survey'!C290</f>
        <v>FU-Z1-Eng</v>
      </c>
      <c r="C292" s="29" t="str">
        <f>'web survey'!AA290</f>
        <v>204470737</v>
      </c>
      <c r="D292" s="30" t="str">
        <f>IF(B292="FU-ACInstall",VLOOKUP(VALUE('web survey'!D290),ref!$B$6:$C$7,2,0)&amp;" ("&amp;'web survey'!D290&amp;")",VLOOKUP(VALUE('web survey'!D290),ref!$E$6:$F$10,2,0)&amp;" ("&amp;'web survey'!D290&amp;")")</f>
        <v>Good (10)</v>
      </c>
      <c r="E292" s="32" t="str">
        <f>'web survey'!S290</f>
        <v/>
      </c>
      <c r="F292" s="30" t="str">
        <f>IF(B292="FU-ACInstall",VLOOKUP(VALUE('web survey'!E290),ref!$B$10:$C$12,2,0)&amp;" ("&amp;'web survey'!E290&amp;")",VLOOKUP(VALUE('web survey'!E290),ref!$E$13:$F$17,2,0)&amp;" ("&amp;'web survey'!E290&amp;")")</f>
        <v>Very Good (10)</v>
      </c>
      <c r="G292" s="32" t="str">
        <f>'web survey'!T290</f>
        <v/>
      </c>
      <c r="H292" s="30" t="str">
        <f>IF(B292="FU-ACInstall",VLOOKUP(VALUE('web survey'!F290),ref!$B$15:$C$17,2,0)&amp;" ("&amp;'web survey'!F290&amp;")",VLOOKUP(VALUE('web survey'!F290),ref!$E$20:$F$21,2,0)&amp;" ("&amp;'web survey'!F290&amp;")")</f>
        <v>Appropriate with SAP / in Warranty (10)</v>
      </c>
      <c r="I292" s="32" t="str">
        <f>'web survey'!U290</f>
        <v/>
      </c>
      <c r="J292" s="30" t="str">
        <f>IF(B292="FU-ACInstall","-",VLOOKUP(VALUE('web survey'!G290),ref!$E$24:$F$26,2,0)&amp;" ("&amp;'web survey'!G290&amp;")")</f>
        <v>Jelas (5)</v>
      </c>
      <c r="K292" s="28" t="str">
        <f>YEAR('web survey'!Z290)&amp;"-"&amp;IF(MONTH('web survey'!Z290)&lt;10,"0"&amp;MONTH('web survey'!Z290),MONTH('web survey'!Z290))&amp;"-"&amp;IF(DAY('web survey'!Z290)&lt;10,"0"&amp;DAY('web survey'!Z290),DAY('web survey'!Z290))&amp;" "&amp;IF(HOUR('web survey'!Z290)&lt;10,"0"&amp;HOUR('web survey'!Z290),HOUR('web survey'!Z290))&amp;":"&amp;IF(MINUTE('web survey'!Z290)&lt;10,"0"&amp;MINUTE('web survey'!Z290),MINUTE('web survey'!Z290))&amp;(":00'")</f>
        <v>2026-06-11 18:32:00'</v>
      </c>
      <c r="N292" s="22">
        <v>289</v>
      </c>
      <c r="O292" s="22" t="s">
        <v>27</v>
      </c>
      <c r="P292" s="22" t="s">
        <v>539</v>
      </c>
      <c r="Q292" s="22" t="s">
        <v>18</v>
      </c>
      <c r="R292" s="22" t="s">
        <v>17</v>
      </c>
      <c r="S292" s="22" t="s">
        <v>37</v>
      </c>
      <c r="T292" s="22" t="s">
        <v>17</v>
      </c>
      <c r="U292" s="22" t="s">
        <v>30</v>
      </c>
      <c r="V292" s="22" t="s">
        <v>17</v>
      </c>
      <c r="W292" s="22" t="s">
        <v>34</v>
      </c>
      <c r="X292" s="22" t="s">
        <v>540</v>
      </c>
    </row>
    <row r="293" spans="1:24">
      <c r="A293" s="28">
        <f>IF(B293="","",ROW()-COUNTBLANK($B$4:B293)-3)</f>
        <v>290</v>
      </c>
      <c r="B293" s="28" t="str">
        <f>'web survey'!C291</f>
        <v>FU-Z1-Eng</v>
      </c>
      <c r="C293" s="29" t="str">
        <f>'web survey'!AA291</f>
        <v>204458332</v>
      </c>
      <c r="D293" s="30" t="str">
        <f>IF(B293="FU-ACInstall",VLOOKUP(VALUE('web survey'!D291),ref!$B$6:$C$7,2,0)&amp;" ("&amp;'web survey'!D291&amp;")",VLOOKUP(VALUE('web survey'!D291),ref!$E$6:$F$10,2,0)&amp;" ("&amp;'web survey'!D291&amp;")")</f>
        <v>Good (10)</v>
      </c>
      <c r="E293" s="32" t="str">
        <f>'web survey'!S291</f>
        <v/>
      </c>
      <c r="F293" s="30" t="str">
        <f>IF(B293="FU-ACInstall",VLOOKUP(VALUE('web survey'!E291),ref!$B$10:$C$12,2,0)&amp;" ("&amp;'web survey'!E291&amp;")",VLOOKUP(VALUE('web survey'!E291),ref!$E$13:$F$17,2,0)&amp;" ("&amp;'web survey'!E291&amp;")")</f>
        <v>Very Good (10)</v>
      </c>
      <c r="G293" s="32" t="str">
        <f>'web survey'!T291</f>
        <v/>
      </c>
      <c r="H293" s="30" t="str">
        <f>IF(B293="FU-ACInstall",VLOOKUP(VALUE('web survey'!F291),ref!$B$15:$C$17,2,0)&amp;" ("&amp;'web survey'!F291&amp;")",VLOOKUP(VALUE('web survey'!F291),ref!$E$20:$F$21,2,0)&amp;" ("&amp;'web survey'!F291&amp;")")</f>
        <v>Appropriate with SAP / in Warranty (10)</v>
      </c>
      <c r="I293" s="32" t="str">
        <f>'web survey'!U291</f>
        <v/>
      </c>
      <c r="J293" s="30" t="str">
        <f>IF(B293="FU-ACInstall","-",VLOOKUP(VALUE('web survey'!G291),ref!$E$24:$F$26,2,0)&amp;" ("&amp;'web survey'!G291&amp;")")</f>
        <v>Jelas (5)</v>
      </c>
      <c r="K293" s="28" t="str">
        <f>YEAR('web survey'!Z291)&amp;"-"&amp;IF(MONTH('web survey'!Z291)&lt;10,"0"&amp;MONTH('web survey'!Z291),MONTH('web survey'!Z291))&amp;"-"&amp;IF(DAY('web survey'!Z291)&lt;10,"0"&amp;DAY('web survey'!Z291),DAY('web survey'!Z291))&amp;" "&amp;IF(HOUR('web survey'!Z291)&lt;10,"0"&amp;HOUR('web survey'!Z291),HOUR('web survey'!Z291))&amp;":"&amp;IF(MINUTE('web survey'!Z291)&lt;10,"0"&amp;MINUTE('web survey'!Z291),MINUTE('web survey'!Z291))&amp;(":00'")</f>
        <v>2026-06-11 18:06:00'</v>
      </c>
      <c r="N293" s="22">
        <v>290</v>
      </c>
      <c r="O293" s="22" t="s">
        <v>27</v>
      </c>
      <c r="P293" s="22" t="s">
        <v>541</v>
      </c>
      <c r="Q293" s="22" t="s">
        <v>18</v>
      </c>
      <c r="R293" s="22" t="s">
        <v>17</v>
      </c>
      <c r="S293" s="22" t="s">
        <v>37</v>
      </c>
      <c r="T293" s="22" t="s">
        <v>17</v>
      </c>
      <c r="U293" s="22" t="s">
        <v>30</v>
      </c>
      <c r="V293" s="22" t="s">
        <v>17</v>
      </c>
      <c r="W293" s="22" t="s">
        <v>34</v>
      </c>
      <c r="X293" s="22" t="s">
        <v>542</v>
      </c>
    </row>
    <row r="294" spans="1:24">
      <c r="A294" s="28">
        <f>IF(B294="","",ROW()-COUNTBLANK($B$4:B294)-3)</f>
        <v>291</v>
      </c>
      <c r="B294" s="28" t="str">
        <f>'web survey'!C292</f>
        <v>FU-Z1-Eng</v>
      </c>
      <c r="C294" s="29" t="str">
        <f>'web survey'!AA292</f>
        <v>204470949</v>
      </c>
      <c r="D294" s="30" t="str">
        <f>IF(B294="FU-ACInstall",VLOOKUP(VALUE('web survey'!D292),ref!$B$6:$C$7,2,0)&amp;" ("&amp;'web survey'!D292&amp;")",VLOOKUP(VALUE('web survey'!D292),ref!$E$6:$F$10,2,0)&amp;" ("&amp;'web survey'!D292&amp;")")</f>
        <v>Good (10)</v>
      </c>
      <c r="E294" s="32" t="str">
        <f>'web survey'!S292</f>
        <v/>
      </c>
      <c r="F294" s="30" t="str">
        <f>IF(B294="FU-ACInstall",VLOOKUP(VALUE('web survey'!E292),ref!$B$10:$C$12,2,0)&amp;" ("&amp;'web survey'!E292&amp;")",VLOOKUP(VALUE('web survey'!E292),ref!$E$13:$F$17,2,0)&amp;" ("&amp;'web survey'!E292&amp;")")</f>
        <v>Very Good (10)</v>
      </c>
      <c r="G294" s="32" t="str">
        <f>'web survey'!T292</f>
        <v/>
      </c>
      <c r="H294" s="30" t="str">
        <f>IF(B294="FU-ACInstall",VLOOKUP(VALUE('web survey'!F292),ref!$B$15:$C$17,2,0)&amp;" ("&amp;'web survey'!F292&amp;")",VLOOKUP(VALUE('web survey'!F292),ref!$E$20:$F$21,2,0)&amp;" ("&amp;'web survey'!F292&amp;")")</f>
        <v>Appropriate with SAP / in Warranty (10)</v>
      </c>
      <c r="I294" s="32" t="str">
        <f>'web survey'!U292</f>
        <v/>
      </c>
      <c r="J294" s="30" t="str">
        <f>IF(B294="FU-ACInstall","-",VLOOKUP(VALUE('web survey'!G292),ref!$E$24:$F$26,2,0)&amp;" ("&amp;'web survey'!G292&amp;")")</f>
        <v>Jelas (5)</v>
      </c>
      <c r="K294" s="28" t="str">
        <f>YEAR('web survey'!Z292)&amp;"-"&amp;IF(MONTH('web survey'!Z292)&lt;10,"0"&amp;MONTH('web survey'!Z292),MONTH('web survey'!Z292))&amp;"-"&amp;IF(DAY('web survey'!Z292)&lt;10,"0"&amp;DAY('web survey'!Z292),DAY('web survey'!Z292))&amp;" "&amp;IF(HOUR('web survey'!Z292)&lt;10,"0"&amp;HOUR('web survey'!Z292),HOUR('web survey'!Z292))&amp;":"&amp;IF(MINUTE('web survey'!Z292)&lt;10,"0"&amp;MINUTE('web survey'!Z292),MINUTE('web survey'!Z292))&amp;(":00'")</f>
        <v>2026-06-11 17:59:00'</v>
      </c>
      <c r="N294" s="22">
        <v>291</v>
      </c>
      <c r="O294" s="22" t="s">
        <v>27</v>
      </c>
      <c r="P294" s="22" t="s">
        <v>543</v>
      </c>
      <c r="Q294" s="22" t="s">
        <v>18</v>
      </c>
      <c r="R294" s="22" t="s">
        <v>17</v>
      </c>
      <c r="S294" s="22" t="s">
        <v>37</v>
      </c>
      <c r="T294" s="22" t="s">
        <v>17</v>
      </c>
      <c r="U294" s="22" t="s">
        <v>30</v>
      </c>
      <c r="V294" s="22" t="s">
        <v>17</v>
      </c>
      <c r="W294" s="22" t="s">
        <v>34</v>
      </c>
      <c r="X294" s="22" t="s">
        <v>544</v>
      </c>
    </row>
    <row r="295" spans="1:24">
      <c r="A295" s="28">
        <f>IF(B295="","",ROW()-COUNTBLANK($B$4:B295)-3)</f>
        <v>292</v>
      </c>
      <c r="B295" s="28" t="str">
        <f>'web survey'!C293</f>
        <v>FU-Z1-Eng</v>
      </c>
      <c r="C295" s="29" t="str">
        <f>'web survey'!AA293</f>
        <v>204469736</v>
      </c>
      <c r="D295" s="30" t="str">
        <f>IF(B295="FU-ACInstall",VLOOKUP(VALUE('web survey'!D293),ref!$B$6:$C$7,2,0)&amp;" ("&amp;'web survey'!D293&amp;")",VLOOKUP(VALUE('web survey'!D293),ref!$E$6:$F$10,2,0)&amp;" ("&amp;'web survey'!D293&amp;")")</f>
        <v>Good (10)</v>
      </c>
      <c r="E295" s="32" t="str">
        <f>'web survey'!S293</f>
        <v/>
      </c>
      <c r="F295" s="30" t="str">
        <f>IF(B295="FU-ACInstall",VLOOKUP(VALUE('web survey'!E293),ref!$B$10:$C$12,2,0)&amp;" ("&amp;'web survey'!E293&amp;")",VLOOKUP(VALUE('web survey'!E293),ref!$E$13:$F$17,2,0)&amp;" ("&amp;'web survey'!E293&amp;")")</f>
        <v>Good (5)</v>
      </c>
      <c r="G295" s="32" t="str">
        <f>'web survey'!T293</f>
        <v/>
      </c>
      <c r="H295" s="30" t="str">
        <f>IF(B295="FU-ACInstall",VLOOKUP(VALUE('web survey'!F293),ref!$B$15:$C$17,2,0)&amp;" ("&amp;'web survey'!F293&amp;")",VLOOKUP(VALUE('web survey'!F293),ref!$E$20:$F$21,2,0)&amp;" ("&amp;'web survey'!F293&amp;")")</f>
        <v>Appropriate with SAP / in Warranty (10)</v>
      </c>
      <c r="I295" s="32" t="str">
        <f>'web survey'!U293</f>
        <v/>
      </c>
      <c r="J295" s="30" t="str">
        <f>IF(B295="FU-ACInstall","-",VLOOKUP(VALUE('web survey'!G293),ref!$E$24:$F$26,2,0)&amp;" ("&amp;'web survey'!G293&amp;")")</f>
        <v>Jelas (5)</v>
      </c>
      <c r="K295" s="28" t="str">
        <f>YEAR('web survey'!Z293)&amp;"-"&amp;IF(MONTH('web survey'!Z293)&lt;10,"0"&amp;MONTH('web survey'!Z293),MONTH('web survey'!Z293))&amp;"-"&amp;IF(DAY('web survey'!Z293)&lt;10,"0"&amp;DAY('web survey'!Z293),DAY('web survey'!Z293))&amp;" "&amp;IF(HOUR('web survey'!Z293)&lt;10,"0"&amp;HOUR('web survey'!Z293),HOUR('web survey'!Z293))&amp;":"&amp;IF(MINUTE('web survey'!Z293)&lt;10,"0"&amp;MINUTE('web survey'!Z293),MINUTE('web survey'!Z293))&amp;(":00'")</f>
        <v>2026-06-11 17:45:00'</v>
      </c>
      <c r="N295" s="22">
        <v>292</v>
      </c>
      <c r="O295" s="22" t="s">
        <v>27</v>
      </c>
      <c r="P295" s="22" t="s">
        <v>545</v>
      </c>
      <c r="Q295" s="22" t="s">
        <v>18</v>
      </c>
      <c r="R295" s="22" t="s">
        <v>17</v>
      </c>
      <c r="S295" s="22" t="s">
        <v>29</v>
      </c>
      <c r="T295" s="22" t="s">
        <v>17</v>
      </c>
      <c r="U295" s="22" t="s">
        <v>30</v>
      </c>
      <c r="V295" s="22" t="s">
        <v>17</v>
      </c>
      <c r="W295" s="22" t="s">
        <v>34</v>
      </c>
      <c r="X295" s="22" t="s">
        <v>546</v>
      </c>
    </row>
    <row r="296" spans="1:24">
      <c r="A296" s="28">
        <f>IF(B296="","",ROW()-COUNTBLANK($B$4:B296)-3)</f>
        <v>293</v>
      </c>
      <c r="B296" s="28" t="str">
        <f>'web survey'!C294</f>
        <v>FU-Z1-Eng</v>
      </c>
      <c r="C296" s="29" t="str">
        <f>'web survey'!AA294</f>
        <v>204465534</v>
      </c>
      <c r="D296" s="30" t="str">
        <f>IF(B296="FU-ACInstall",VLOOKUP(VALUE('web survey'!D294),ref!$B$6:$C$7,2,0)&amp;" ("&amp;'web survey'!D294&amp;")",VLOOKUP(VALUE('web survey'!D294),ref!$E$6:$F$10,2,0)&amp;" ("&amp;'web survey'!D294&amp;")")</f>
        <v>Good (10)</v>
      </c>
      <c r="E296" s="32" t="str">
        <f>'web survey'!S294</f>
        <v/>
      </c>
      <c r="F296" s="30" t="str">
        <f>IF(B296="FU-ACInstall",VLOOKUP(VALUE('web survey'!E294),ref!$B$10:$C$12,2,0)&amp;" ("&amp;'web survey'!E294&amp;")",VLOOKUP(VALUE('web survey'!E294),ref!$E$13:$F$17,2,0)&amp;" ("&amp;'web survey'!E294&amp;")")</f>
        <v>Very Good (10)</v>
      </c>
      <c r="G296" s="32" t="str">
        <f>'web survey'!T294</f>
        <v/>
      </c>
      <c r="H296" s="30" t="str">
        <f>IF(B296="FU-ACInstall",VLOOKUP(VALUE('web survey'!F294),ref!$B$15:$C$17,2,0)&amp;" ("&amp;'web survey'!F294&amp;")",VLOOKUP(VALUE('web survey'!F294),ref!$E$20:$F$21,2,0)&amp;" ("&amp;'web survey'!F294&amp;")")</f>
        <v>Appropriate with SAP / in Warranty (10)</v>
      </c>
      <c r="I296" s="32" t="str">
        <f>'web survey'!U294</f>
        <v/>
      </c>
      <c r="J296" s="30" t="str">
        <f>IF(B296="FU-ACInstall","-",VLOOKUP(VALUE('web survey'!G294),ref!$E$24:$F$26,2,0)&amp;" ("&amp;'web survey'!G294&amp;")")</f>
        <v>Jelas (5)</v>
      </c>
      <c r="K296" s="28" t="str">
        <f>YEAR('web survey'!Z294)&amp;"-"&amp;IF(MONTH('web survey'!Z294)&lt;10,"0"&amp;MONTH('web survey'!Z294),MONTH('web survey'!Z294))&amp;"-"&amp;IF(DAY('web survey'!Z294)&lt;10,"0"&amp;DAY('web survey'!Z294),DAY('web survey'!Z294))&amp;" "&amp;IF(HOUR('web survey'!Z294)&lt;10,"0"&amp;HOUR('web survey'!Z294),HOUR('web survey'!Z294))&amp;":"&amp;IF(MINUTE('web survey'!Z294)&lt;10,"0"&amp;MINUTE('web survey'!Z294),MINUTE('web survey'!Z294))&amp;(":00'")</f>
        <v>2026-06-11 17:43:00'</v>
      </c>
      <c r="N296" s="22">
        <v>293</v>
      </c>
      <c r="O296" s="22" t="s">
        <v>27</v>
      </c>
      <c r="P296" s="22" t="s">
        <v>547</v>
      </c>
      <c r="Q296" s="22" t="s">
        <v>18</v>
      </c>
      <c r="R296" s="22" t="s">
        <v>17</v>
      </c>
      <c r="S296" s="22" t="s">
        <v>37</v>
      </c>
      <c r="T296" s="22" t="s">
        <v>17</v>
      </c>
      <c r="U296" s="22" t="s">
        <v>30</v>
      </c>
      <c r="V296" s="22" t="s">
        <v>17</v>
      </c>
      <c r="W296" s="22" t="s">
        <v>34</v>
      </c>
      <c r="X296" s="22" t="s">
        <v>548</v>
      </c>
    </row>
    <row r="297" spans="1:24">
      <c r="A297" s="28">
        <f>IF(B297="","",ROW()-COUNTBLANK($B$4:B297)-3)</f>
        <v>294</v>
      </c>
      <c r="B297" s="28" t="str">
        <f>'web survey'!C295</f>
        <v>FU-Z1-Eng</v>
      </c>
      <c r="C297" s="29" t="str">
        <f>'web survey'!AA295</f>
        <v>204472700</v>
      </c>
      <c r="D297" s="30" t="str">
        <f>IF(B297="FU-ACInstall",VLOOKUP(VALUE('web survey'!D295),ref!$B$6:$C$7,2,0)&amp;" ("&amp;'web survey'!D295&amp;")",VLOOKUP(VALUE('web survey'!D295),ref!$E$6:$F$10,2,0)&amp;" ("&amp;'web survey'!D295&amp;")")</f>
        <v>Good (10)</v>
      </c>
      <c r="E297" s="32" t="str">
        <f>'web survey'!S295</f>
        <v/>
      </c>
      <c r="F297" s="30" t="str">
        <f>IF(B297="FU-ACInstall",VLOOKUP(VALUE('web survey'!E295),ref!$B$10:$C$12,2,0)&amp;" ("&amp;'web survey'!E295&amp;")",VLOOKUP(VALUE('web survey'!E295),ref!$E$13:$F$17,2,0)&amp;" ("&amp;'web survey'!E295&amp;")")</f>
        <v>Very Good (10)</v>
      </c>
      <c r="G297" s="32" t="str">
        <f>'web survey'!T295</f>
        <v/>
      </c>
      <c r="H297" s="30" t="str">
        <f>IF(B297="FU-ACInstall",VLOOKUP(VALUE('web survey'!F295),ref!$B$15:$C$17,2,0)&amp;" ("&amp;'web survey'!F295&amp;")",VLOOKUP(VALUE('web survey'!F295),ref!$E$20:$F$21,2,0)&amp;" ("&amp;'web survey'!F295&amp;")")</f>
        <v>Appropriate with SAP / in Warranty (10)</v>
      </c>
      <c r="I297" s="32" t="str">
        <f>'web survey'!U295</f>
        <v/>
      </c>
      <c r="J297" s="30" t="str">
        <f>IF(B297="FU-ACInstall","-",VLOOKUP(VALUE('web survey'!G295),ref!$E$24:$F$26,2,0)&amp;" ("&amp;'web survey'!G295&amp;")")</f>
        <v>Jelas (5)</v>
      </c>
      <c r="K297" s="28" t="str">
        <f>YEAR('web survey'!Z295)&amp;"-"&amp;IF(MONTH('web survey'!Z295)&lt;10,"0"&amp;MONTH('web survey'!Z295),MONTH('web survey'!Z295))&amp;"-"&amp;IF(DAY('web survey'!Z295)&lt;10,"0"&amp;DAY('web survey'!Z295),DAY('web survey'!Z295))&amp;" "&amp;IF(HOUR('web survey'!Z295)&lt;10,"0"&amp;HOUR('web survey'!Z295),HOUR('web survey'!Z295))&amp;":"&amp;IF(MINUTE('web survey'!Z295)&lt;10,"0"&amp;MINUTE('web survey'!Z295),MINUTE('web survey'!Z295))&amp;(":00'")</f>
        <v>2026-06-11 17:34:00'</v>
      </c>
      <c r="N297" s="22">
        <v>294</v>
      </c>
      <c r="O297" s="22" t="s">
        <v>27</v>
      </c>
      <c r="P297" s="22" t="s">
        <v>549</v>
      </c>
      <c r="Q297" s="22" t="s">
        <v>18</v>
      </c>
      <c r="R297" s="22" t="s">
        <v>17</v>
      </c>
      <c r="S297" s="22" t="s">
        <v>37</v>
      </c>
      <c r="T297" s="22" t="s">
        <v>17</v>
      </c>
      <c r="U297" s="22" t="s">
        <v>30</v>
      </c>
      <c r="V297" s="22" t="s">
        <v>17</v>
      </c>
      <c r="W297" s="22" t="s">
        <v>34</v>
      </c>
      <c r="X297" s="22" t="s">
        <v>550</v>
      </c>
    </row>
    <row r="298" spans="1:24">
      <c r="A298" s="28">
        <f>IF(B298="","",ROW()-COUNTBLANK($B$4:B298)-3)</f>
        <v>295</v>
      </c>
      <c r="B298" s="28" t="str">
        <f>'web survey'!C296</f>
        <v>FU-Z1-Eng</v>
      </c>
      <c r="C298" s="29" t="str">
        <f>'web survey'!AA296</f>
        <v>204470721</v>
      </c>
      <c r="D298" s="30" t="str">
        <f>IF(B298="FU-ACInstall",VLOOKUP(VALUE('web survey'!D296),ref!$B$6:$C$7,2,0)&amp;" ("&amp;'web survey'!D296&amp;")",VLOOKUP(VALUE('web survey'!D296),ref!$E$6:$F$10,2,0)&amp;" ("&amp;'web survey'!D296&amp;")")</f>
        <v>Good (10)</v>
      </c>
      <c r="E298" s="32" t="str">
        <f>'web survey'!S296</f>
        <v/>
      </c>
      <c r="F298" s="30" t="str">
        <f>IF(B298="FU-ACInstall",VLOOKUP(VALUE('web survey'!E296),ref!$B$10:$C$12,2,0)&amp;" ("&amp;'web survey'!E296&amp;")",VLOOKUP(VALUE('web survey'!E296),ref!$E$13:$F$17,2,0)&amp;" ("&amp;'web survey'!E296&amp;")")</f>
        <v>Very Good (10)</v>
      </c>
      <c r="G298" s="32" t="str">
        <f>'web survey'!T296</f>
        <v/>
      </c>
      <c r="H298" s="30" t="str">
        <f>IF(B298="FU-ACInstall",VLOOKUP(VALUE('web survey'!F296),ref!$B$15:$C$17,2,0)&amp;" ("&amp;'web survey'!F296&amp;")",VLOOKUP(VALUE('web survey'!F296),ref!$E$20:$F$21,2,0)&amp;" ("&amp;'web survey'!F296&amp;")")</f>
        <v>Appropriate with SAP / in Warranty (10)</v>
      </c>
      <c r="I298" s="32" t="str">
        <f>'web survey'!U296</f>
        <v/>
      </c>
      <c r="J298" s="30" t="str">
        <f>IF(B298="FU-ACInstall","-",VLOOKUP(VALUE('web survey'!G296),ref!$E$24:$F$26,2,0)&amp;" ("&amp;'web survey'!G296&amp;")")</f>
        <v>Jelas (5)</v>
      </c>
      <c r="K298" s="28" t="str">
        <f>YEAR('web survey'!Z296)&amp;"-"&amp;IF(MONTH('web survey'!Z296)&lt;10,"0"&amp;MONTH('web survey'!Z296),MONTH('web survey'!Z296))&amp;"-"&amp;IF(DAY('web survey'!Z296)&lt;10,"0"&amp;DAY('web survey'!Z296),DAY('web survey'!Z296))&amp;" "&amp;IF(HOUR('web survey'!Z296)&lt;10,"0"&amp;HOUR('web survey'!Z296),HOUR('web survey'!Z296))&amp;":"&amp;IF(MINUTE('web survey'!Z296)&lt;10,"0"&amp;MINUTE('web survey'!Z296),MINUTE('web survey'!Z296))&amp;(":00'")</f>
        <v>2026-06-11 17:25:00'</v>
      </c>
      <c r="N298" s="22">
        <v>295</v>
      </c>
      <c r="O298" s="22" t="s">
        <v>27</v>
      </c>
      <c r="P298" s="22" t="s">
        <v>551</v>
      </c>
      <c r="Q298" s="22" t="s">
        <v>18</v>
      </c>
      <c r="R298" s="22" t="s">
        <v>17</v>
      </c>
      <c r="S298" s="22" t="s">
        <v>37</v>
      </c>
      <c r="T298" s="22" t="s">
        <v>17</v>
      </c>
      <c r="U298" s="22" t="s">
        <v>30</v>
      </c>
      <c r="V298" s="22" t="s">
        <v>17</v>
      </c>
      <c r="W298" s="22" t="s">
        <v>34</v>
      </c>
      <c r="X298" s="22" t="s">
        <v>552</v>
      </c>
    </row>
    <row r="299" ht="45" spans="1:24">
      <c r="A299" s="28">
        <f>IF(B299="","",ROW()-COUNTBLANK($B$4:B299)-3)</f>
        <v>296</v>
      </c>
      <c r="B299" s="28" t="str">
        <f>'web survey'!C297</f>
        <v>FU-Z1-Eng</v>
      </c>
      <c r="C299" s="29" t="str">
        <f>'web survey'!AA297</f>
        <v>100984098</v>
      </c>
      <c r="D299" s="30" t="str">
        <f>IF(B299="FU-ACInstall",VLOOKUP(VALUE('web survey'!D297),ref!$B$6:$C$7,2,0)&amp;" ("&amp;'web survey'!D297&amp;")",VLOOKUP(VALUE('web survey'!D297),ref!$E$6:$F$10,2,0)&amp;" ("&amp;'web survey'!D297&amp;")")</f>
        <v>Not Good (-10)</v>
      </c>
      <c r="E299" s="32" t="str">
        <f>'web survey'!S297</f>
        <v>Modol wifi nya belum datang/ sedang dipesan.,jadi masih sabungan kabel ke wifi.</v>
      </c>
      <c r="F299" s="30" t="str">
        <f>IF(B299="FU-ACInstall",VLOOKUP(VALUE('web survey'!E297),ref!$B$10:$C$12,2,0)&amp;" ("&amp;'web survey'!E297&amp;")",VLOOKUP(VALUE('web survey'!E297),ref!$E$13:$F$17,2,0)&amp;" ("&amp;'web survey'!E297&amp;")")</f>
        <v>Very Good (10)</v>
      </c>
      <c r="G299" s="32" t="str">
        <f>'web survey'!T297</f>
        <v/>
      </c>
      <c r="H299" s="30" t="str">
        <f>IF(B299="FU-ACInstall",VLOOKUP(VALUE('web survey'!F297),ref!$B$15:$C$17,2,0)&amp;" ("&amp;'web survey'!F297&amp;")",VLOOKUP(VALUE('web survey'!F297),ref!$E$20:$F$21,2,0)&amp;" ("&amp;'web survey'!F297&amp;")")</f>
        <v>Appropriate with SAP / in Warranty (10)</v>
      </c>
      <c r="I299" s="32" t="str">
        <f>'web survey'!U297</f>
        <v/>
      </c>
      <c r="J299" s="30" t="str">
        <f>IF(B299="FU-ACInstall","-",VLOOKUP(VALUE('web survey'!G297),ref!$E$24:$F$26,2,0)&amp;" ("&amp;'web survey'!G297&amp;")")</f>
        <v>Jelas (5)</v>
      </c>
      <c r="K299" s="28" t="str">
        <f>YEAR('web survey'!Z297)&amp;"-"&amp;IF(MONTH('web survey'!Z297)&lt;10,"0"&amp;MONTH('web survey'!Z297),MONTH('web survey'!Z297))&amp;"-"&amp;IF(DAY('web survey'!Z297)&lt;10,"0"&amp;DAY('web survey'!Z297),DAY('web survey'!Z297))&amp;" "&amp;IF(HOUR('web survey'!Z297)&lt;10,"0"&amp;HOUR('web survey'!Z297),HOUR('web survey'!Z297))&amp;":"&amp;IF(MINUTE('web survey'!Z297)&lt;10,"0"&amp;MINUTE('web survey'!Z297),MINUTE('web survey'!Z297))&amp;(":00'")</f>
        <v>2026-06-11 17:10:00'</v>
      </c>
      <c r="N299" s="22">
        <v>296</v>
      </c>
      <c r="O299" s="22" t="s">
        <v>27</v>
      </c>
      <c r="P299" s="22" t="s">
        <v>553</v>
      </c>
      <c r="Q299" s="22" t="s">
        <v>33</v>
      </c>
      <c r="R299" s="22" t="s">
        <v>554</v>
      </c>
      <c r="S299" s="22" t="s">
        <v>37</v>
      </c>
      <c r="T299" s="22" t="s">
        <v>17</v>
      </c>
      <c r="U299" s="22" t="s">
        <v>30</v>
      </c>
      <c r="V299" s="22" t="s">
        <v>17</v>
      </c>
      <c r="W299" s="22" t="s">
        <v>34</v>
      </c>
      <c r="X299" s="22" t="s">
        <v>555</v>
      </c>
    </row>
    <row r="300" spans="1:24">
      <c r="A300" s="28">
        <f>IF(B300="","",ROW()-COUNTBLANK($B$4:B300)-3)</f>
        <v>297</v>
      </c>
      <c r="B300" s="28" t="str">
        <f>'web survey'!C298</f>
        <v>FU-Z1-Eng</v>
      </c>
      <c r="C300" s="29" t="str">
        <f>'web survey'!AA298</f>
        <v>204470722</v>
      </c>
      <c r="D300" s="30" t="str">
        <f>IF(B300="FU-ACInstall",VLOOKUP(VALUE('web survey'!D298),ref!$B$6:$C$7,2,0)&amp;" ("&amp;'web survey'!D298&amp;")",VLOOKUP(VALUE('web survey'!D298),ref!$E$6:$F$10,2,0)&amp;" ("&amp;'web survey'!D298&amp;")")</f>
        <v>Good (10)</v>
      </c>
      <c r="E300" s="32" t="str">
        <f>'web survey'!S298</f>
        <v/>
      </c>
      <c r="F300" s="30" t="str">
        <f>IF(B300="FU-ACInstall",VLOOKUP(VALUE('web survey'!E298),ref!$B$10:$C$12,2,0)&amp;" ("&amp;'web survey'!E298&amp;")",VLOOKUP(VALUE('web survey'!E298),ref!$E$13:$F$17,2,0)&amp;" ("&amp;'web survey'!E298&amp;")")</f>
        <v>Very Good (10)</v>
      </c>
      <c r="G300" s="32" t="str">
        <f>'web survey'!T298</f>
        <v/>
      </c>
      <c r="H300" s="30" t="str">
        <f>IF(B300="FU-ACInstall",VLOOKUP(VALUE('web survey'!F298),ref!$B$15:$C$17,2,0)&amp;" ("&amp;'web survey'!F298&amp;")",VLOOKUP(VALUE('web survey'!F298),ref!$E$20:$F$21,2,0)&amp;" ("&amp;'web survey'!F298&amp;")")</f>
        <v>Appropriate with SAP / in Warranty (10)</v>
      </c>
      <c r="I300" s="32" t="str">
        <f>'web survey'!U298</f>
        <v/>
      </c>
      <c r="J300" s="30" t="str">
        <f>IF(B300="FU-ACInstall","-",VLOOKUP(VALUE('web survey'!G298),ref!$E$24:$F$26,2,0)&amp;" ("&amp;'web survey'!G298&amp;")")</f>
        <v>Jelas (5)</v>
      </c>
      <c r="K300" s="28" t="str">
        <f>YEAR('web survey'!Z298)&amp;"-"&amp;IF(MONTH('web survey'!Z298)&lt;10,"0"&amp;MONTH('web survey'!Z298),MONTH('web survey'!Z298))&amp;"-"&amp;IF(DAY('web survey'!Z298)&lt;10,"0"&amp;DAY('web survey'!Z298),DAY('web survey'!Z298))&amp;" "&amp;IF(HOUR('web survey'!Z298)&lt;10,"0"&amp;HOUR('web survey'!Z298),HOUR('web survey'!Z298))&amp;":"&amp;IF(MINUTE('web survey'!Z298)&lt;10,"0"&amp;MINUTE('web survey'!Z298),MINUTE('web survey'!Z298))&amp;(":00'")</f>
        <v>2026-06-11 17:04:00'</v>
      </c>
      <c r="N300" s="22">
        <v>297</v>
      </c>
      <c r="O300" s="22" t="s">
        <v>27</v>
      </c>
      <c r="P300" s="22" t="s">
        <v>556</v>
      </c>
      <c r="Q300" s="22" t="s">
        <v>18</v>
      </c>
      <c r="R300" s="22" t="s">
        <v>17</v>
      </c>
      <c r="S300" s="22" t="s">
        <v>37</v>
      </c>
      <c r="T300" s="22" t="s">
        <v>17</v>
      </c>
      <c r="U300" s="22" t="s">
        <v>30</v>
      </c>
      <c r="V300" s="22" t="s">
        <v>17</v>
      </c>
      <c r="W300" s="22" t="s">
        <v>34</v>
      </c>
      <c r="X300" s="22" t="s">
        <v>557</v>
      </c>
    </row>
    <row r="301" spans="1:24">
      <c r="A301" s="28">
        <f>IF(B301="","",ROW()-COUNTBLANK($B$4:B301)-3)</f>
        <v>298</v>
      </c>
      <c r="B301" s="28" t="str">
        <f>'web survey'!C299</f>
        <v>FU-Z1-Eng</v>
      </c>
      <c r="C301" s="29" t="str">
        <f>'web survey'!AA299</f>
        <v>204469122</v>
      </c>
      <c r="D301" s="30" t="str">
        <f>IF(B301="FU-ACInstall",VLOOKUP(VALUE('web survey'!D299),ref!$B$6:$C$7,2,0)&amp;" ("&amp;'web survey'!D299&amp;")",VLOOKUP(VALUE('web survey'!D299),ref!$E$6:$F$10,2,0)&amp;" ("&amp;'web survey'!D299&amp;")")</f>
        <v>Good (10)</v>
      </c>
      <c r="E301" s="32" t="str">
        <f>'web survey'!S299</f>
        <v/>
      </c>
      <c r="F301" s="30" t="str">
        <f>IF(B301="FU-ACInstall",VLOOKUP(VALUE('web survey'!E299),ref!$B$10:$C$12,2,0)&amp;" ("&amp;'web survey'!E299&amp;")",VLOOKUP(VALUE('web survey'!E299),ref!$E$13:$F$17,2,0)&amp;" ("&amp;'web survey'!E299&amp;")")</f>
        <v>Very Good (10)</v>
      </c>
      <c r="G301" s="32" t="str">
        <f>'web survey'!T299</f>
        <v/>
      </c>
      <c r="H301" s="30" t="str">
        <f>IF(B301="FU-ACInstall",VLOOKUP(VALUE('web survey'!F299),ref!$B$15:$C$17,2,0)&amp;" ("&amp;'web survey'!F299&amp;")",VLOOKUP(VALUE('web survey'!F299),ref!$E$20:$F$21,2,0)&amp;" ("&amp;'web survey'!F299&amp;")")</f>
        <v>Appropriate with SAP / in Warranty (10)</v>
      </c>
      <c r="I301" s="32" t="str">
        <f>'web survey'!U299</f>
        <v/>
      </c>
      <c r="J301" s="30" t="str">
        <f>IF(B301="FU-ACInstall","-",VLOOKUP(VALUE('web survey'!G299),ref!$E$24:$F$26,2,0)&amp;" ("&amp;'web survey'!G299&amp;")")</f>
        <v>Jelas (5)</v>
      </c>
      <c r="K301" s="28" t="str">
        <f>YEAR('web survey'!Z299)&amp;"-"&amp;IF(MONTH('web survey'!Z299)&lt;10,"0"&amp;MONTH('web survey'!Z299),MONTH('web survey'!Z299))&amp;"-"&amp;IF(DAY('web survey'!Z299)&lt;10,"0"&amp;DAY('web survey'!Z299),DAY('web survey'!Z299))&amp;" "&amp;IF(HOUR('web survey'!Z299)&lt;10,"0"&amp;HOUR('web survey'!Z299),HOUR('web survey'!Z299))&amp;":"&amp;IF(MINUTE('web survey'!Z299)&lt;10,"0"&amp;MINUTE('web survey'!Z299),MINUTE('web survey'!Z299))&amp;(":00'")</f>
        <v>2026-06-11 17:04:00'</v>
      </c>
      <c r="N301" s="22">
        <v>298</v>
      </c>
      <c r="O301" s="22" t="s">
        <v>27</v>
      </c>
      <c r="P301" s="22" t="s">
        <v>558</v>
      </c>
      <c r="Q301" s="22" t="s">
        <v>18</v>
      </c>
      <c r="R301" s="22" t="s">
        <v>17</v>
      </c>
      <c r="S301" s="22" t="s">
        <v>37</v>
      </c>
      <c r="T301" s="22" t="s">
        <v>17</v>
      </c>
      <c r="U301" s="22" t="s">
        <v>30</v>
      </c>
      <c r="V301" s="22" t="s">
        <v>17</v>
      </c>
      <c r="W301" s="22" t="s">
        <v>34</v>
      </c>
      <c r="X301" s="22" t="s">
        <v>557</v>
      </c>
    </row>
    <row r="302" spans="1:24">
      <c r="A302" s="28">
        <f>IF(B302="","",ROW()-COUNTBLANK($B$4:B302)-3)</f>
        <v>299</v>
      </c>
      <c r="B302" s="28" t="str">
        <f>'web survey'!C300</f>
        <v>FU-Z1-Eng</v>
      </c>
      <c r="C302" s="29" t="str">
        <f>'web survey'!AA300</f>
        <v>100984012</v>
      </c>
      <c r="D302" s="30" t="str">
        <f>IF(B302="FU-ACInstall",VLOOKUP(VALUE('web survey'!D300),ref!$B$6:$C$7,2,0)&amp;" ("&amp;'web survey'!D300&amp;")",VLOOKUP(VALUE('web survey'!D300),ref!$E$6:$F$10,2,0)&amp;" ("&amp;'web survey'!D300&amp;")")</f>
        <v>Good (10)</v>
      </c>
      <c r="E302" s="32" t="str">
        <f>'web survey'!S300</f>
        <v/>
      </c>
      <c r="F302" s="30" t="str">
        <f>IF(B302="FU-ACInstall",VLOOKUP(VALUE('web survey'!E300),ref!$B$10:$C$12,2,0)&amp;" ("&amp;'web survey'!E300&amp;")",VLOOKUP(VALUE('web survey'!E300),ref!$E$13:$F$17,2,0)&amp;" ("&amp;'web survey'!E300&amp;")")</f>
        <v>Good (5)</v>
      </c>
      <c r="G302" s="32" t="str">
        <f>'web survey'!T300</f>
        <v/>
      </c>
      <c r="H302" s="30" t="str">
        <f>IF(B302="FU-ACInstall",VLOOKUP(VALUE('web survey'!F300),ref!$B$15:$C$17,2,0)&amp;" ("&amp;'web survey'!F300&amp;")",VLOOKUP(VALUE('web survey'!F300),ref!$E$20:$F$21,2,0)&amp;" ("&amp;'web survey'!F300&amp;")")</f>
        <v>Appropriate with SAP / in Warranty (10)</v>
      </c>
      <c r="I302" s="32" t="str">
        <f>'web survey'!U300</f>
        <v/>
      </c>
      <c r="J302" s="30" t="str">
        <f>IF(B302="FU-ACInstall","-",VLOOKUP(VALUE('web survey'!G300),ref!$E$24:$F$26,2,0)&amp;" ("&amp;'web survey'!G300&amp;")")</f>
        <v>Jelas (5)</v>
      </c>
      <c r="K302" s="28" t="str">
        <f>YEAR('web survey'!Z300)&amp;"-"&amp;IF(MONTH('web survey'!Z300)&lt;10,"0"&amp;MONTH('web survey'!Z300),MONTH('web survey'!Z300))&amp;"-"&amp;IF(DAY('web survey'!Z300)&lt;10,"0"&amp;DAY('web survey'!Z300),DAY('web survey'!Z300))&amp;" "&amp;IF(HOUR('web survey'!Z300)&lt;10,"0"&amp;HOUR('web survey'!Z300),HOUR('web survey'!Z300))&amp;":"&amp;IF(MINUTE('web survey'!Z300)&lt;10,"0"&amp;MINUTE('web survey'!Z300),MINUTE('web survey'!Z300))&amp;(":00'")</f>
        <v>2026-06-11 17:01:00'</v>
      </c>
      <c r="N302" s="22">
        <v>299</v>
      </c>
      <c r="O302" s="22" t="s">
        <v>27</v>
      </c>
      <c r="P302" s="22" t="s">
        <v>559</v>
      </c>
      <c r="Q302" s="22" t="s">
        <v>18</v>
      </c>
      <c r="R302" s="22" t="s">
        <v>17</v>
      </c>
      <c r="S302" s="22" t="s">
        <v>29</v>
      </c>
      <c r="T302" s="22" t="s">
        <v>17</v>
      </c>
      <c r="U302" s="22" t="s">
        <v>30</v>
      </c>
      <c r="V302" s="22" t="s">
        <v>17</v>
      </c>
      <c r="W302" s="22" t="s">
        <v>34</v>
      </c>
      <c r="X302" s="22" t="s">
        <v>560</v>
      </c>
    </row>
    <row r="303" spans="1:24">
      <c r="A303" s="28">
        <f>IF(B303="","",ROW()-COUNTBLANK($B$4:B303)-3)</f>
        <v>300</v>
      </c>
      <c r="B303" s="28" t="str">
        <f>'web survey'!C301</f>
        <v>FU-Z1-Eng</v>
      </c>
      <c r="C303" s="29" t="str">
        <f>'web survey'!AA301</f>
        <v>204470403</v>
      </c>
      <c r="D303" s="30" t="str">
        <f>IF(B303="FU-ACInstall",VLOOKUP(VALUE('web survey'!D301),ref!$B$6:$C$7,2,0)&amp;" ("&amp;'web survey'!D301&amp;")",VLOOKUP(VALUE('web survey'!D301),ref!$E$6:$F$10,2,0)&amp;" ("&amp;'web survey'!D301&amp;")")</f>
        <v>Good (10)</v>
      </c>
      <c r="E303" s="32" t="str">
        <f>'web survey'!S301</f>
        <v/>
      </c>
      <c r="F303" s="30" t="str">
        <f>IF(B303="FU-ACInstall",VLOOKUP(VALUE('web survey'!E301),ref!$B$10:$C$12,2,0)&amp;" ("&amp;'web survey'!E301&amp;")",VLOOKUP(VALUE('web survey'!E301),ref!$E$13:$F$17,2,0)&amp;" ("&amp;'web survey'!E301&amp;")")</f>
        <v>Very Good (10)</v>
      </c>
      <c r="G303" s="32" t="str">
        <f>'web survey'!T301</f>
        <v/>
      </c>
      <c r="H303" s="30" t="str">
        <f>IF(B303="FU-ACInstall",VLOOKUP(VALUE('web survey'!F301),ref!$B$15:$C$17,2,0)&amp;" ("&amp;'web survey'!F301&amp;")",VLOOKUP(VALUE('web survey'!F301),ref!$E$20:$F$21,2,0)&amp;" ("&amp;'web survey'!F301&amp;")")</f>
        <v>Appropriate with SAP / in Warranty (10)</v>
      </c>
      <c r="I303" s="32" t="str">
        <f>'web survey'!U301</f>
        <v/>
      </c>
      <c r="J303" s="30" t="str">
        <f>IF(B303="FU-ACInstall","-",VLOOKUP(VALUE('web survey'!G301),ref!$E$24:$F$26,2,0)&amp;" ("&amp;'web survey'!G301&amp;")")</f>
        <v>Jelas (5)</v>
      </c>
      <c r="K303" s="28" t="str">
        <f>YEAR('web survey'!Z301)&amp;"-"&amp;IF(MONTH('web survey'!Z301)&lt;10,"0"&amp;MONTH('web survey'!Z301),MONTH('web survey'!Z301))&amp;"-"&amp;IF(DAY('web survey'!Z301)&lt;10,"0"&amp;DAY('web survey'!Z301),DAY('web survey'!Z301))&amp;" "&amp;IF(HOUR('web survey'!Z301)&lt;10,"0"&amp;HOUR('web survey'!Z301),HOUR('web survey'!Z301))&amp;":"&amp;IF(MINUTE('web survey'!Z301)&lt;10,"0"&amp;MINUTE('web survey'!Z301),MINUTE('web survey'!Z301))&amp;(":00'")</f>
        <v>2026-06-11 16:58:00'</v>
      </c>
      <c r="N303" s="22">
        <v>300</v>
      </c>
      <c r="O303" s="22" t="s">
        <v>27</v>
      </c>
      <c r="P303" s="22" t="s">
        <v>561</v>
      </c>
      <c r="Q303" s="22" t="s">
        <v>18</v>
      </c>
      <c r="R303" s="22" t="s">
        <v>17</v>
      </c>
      <c r="S303" s="22" t="s">
        <v>37</v>
      </c>
      <c r="T303" s="22" t="s">
        <v>17</v>
      </c>
      <c r="U303" s="22" t="s">
        <v>30</v>
      </c>
      <c r="V303" s="22" t="s">
        <v>17</v>
      </c>
      <c r="W303" s="22" t="s">
        <v>34</v>
      </c>
      <c r="X303" s="22" t="s">
        <v>562</v>
      </c>
    </row>
    <row r="304" spans="1:24">
      <c r="A304" s="28">
        <f>IF(B304="","",ROW()-COUNTBLANK($B$4:B304)-3)</f>
        <v>301</v>
      </c>
      <c r="B304" s="28" t="str">
        <f>'web survey'!C302</f>
        <v>FU-Z1-Eng</v>
      </c>
      <c r="C304" s="29" t="str">
        <f>'web survey'!AA302</f>
        <v>100986620</v>
      </c>
      <c r="D304" s="30" t="str">
        <f>IF(B304="FU-ACInstall",VLOOKUP(VALUE('web survey'!D302),ref!$B$6:$C$7,2,0)&amp;" ("&amp;'web survey'!D302&amp;")",VLOOKUP(VALUE('web survey'!D302),ref!$E$6:$F$10,2,0)&amp;" ("&amp;'web survey'!D302&amp;")")</f>
        <v>Not Good (-10)</v>
      </c>
      <c r="E304" s="32" t="str">
        <f>'web survey'!S302</f>
        <v/>
      </c>
      <c r="F304" s="30" t="str">
        <f>IF(B304="FU-ACInstall",VLOOKUP(VALUE('web survey'!E302),ref!$B$10:$C$12,2,0)&amp;" ("&amp;'web survey'!E302&amp;")",VLOOKUP(VALUE('web survey'!E302),ref!$E$13:$F$17,2,0)&amp;" ("&amp;'web survey'!E302&amp;")")</f>
        <v>Very Good (10)</v>
      </c>
      <c r="G304" s="32" t="str">
        <f>'web survey'!T302</f>
        <v/>
      </c>
      <c r="H304" s="30" t="str">
        <f>IF(B304="FU-ACInstall",VLOOKUP(VALUE('web survey'!F302),ref!$B$15:$C$17,2,0)&amp;" ("&amp;'web survey'!F302&amp;")",VLOOKUP(VALUE('web survey'!F302),ref!$E$20:$F$21,2,0)&amp;" ("&amp;'web survey'!F302&amp;")")</f>
        <v>Appropriate with SAP / in Warranty (10)</v>
      </c>
      <c r="I304" s="32" t="str">
        <f>'web survey'!U302</f>
        <v/>
      </c>
      <c r="J304" s="30" t="str">
        <f>IF(B304="FU-ACInstall","-",VLOOKUP(VALUE('web survey'!G302),ref!$E$24:$F$26,2,0)&amp;" ("&amp;'web survey'!G302&amp;")")</f>
        <v>Jelas (5)</v>
      </c>
      <c r="K304" s="28" t="str">
        <f>YEAR('web survey'!Z302)&amp;"-"&amp;IF(MONTH('web survey'!Z302)&lt;10,"0"&amp;MONTH('web survey'!Z302),MONTH('web survey'!Z302))&amp;"-"&amp;IF(DAY('web survey'!Z302)&lt;10,"0"&amp;DAY('web survey'!Z302),DAY('web survey'!Z302))&amp;" "&amp;IF(HOUR('web survey'!Z302)&lt;10,"0"&amp;HOUR('web survey'!Z302),HOUR('web survey'!Z302))&amp;":"&amp;IF(MINUTE('web survey'!Z302)&lt;10,"0"&amp;MINUTE('web survey'!Z302),MINUTE('web survey'!Z302))&amp;(":00'")</f>
        <v>2026-06-11 16:51:00'</v>
      </c>
      <c r="N304" s="22">
        <v>301</v>
      </c>
      <c r="O304" s="22" t="s">
        <v>27</v>
      </c>
      <c r="P304" s="22" t="s">
        <v>563</v>
      </c>
      <c r="Q304" s="22" t="s">
        <v>33</v>
      </c>
      <c r="R304" s="22" t="s">
        <v>17</v>
      </c>
      <c r="S304" s="22" t="s">
        <v>37</v>
      </c>
      <c r="T304" s="22" t="s">
        <v>17</v>
      </c>
      <c r="U304" s="22" t="s">
        <v>30</v>
      </c>
      <c r="V304" s="22" t="s">
        <v>17</v>
      </c>
      <c r="W304" s="22" t="s">
        <v>34</v>
      </c>
      <c r="X304" s="22" t="s">
        <v>564</v>
      </c>
    </row>
    <row r="305" spans="1:24">
      <c r="A305" s="28">
        <f>IF(B305="","",ROW()-COUNTBLANK($B$4:B305)-3)</f>
        <v>302</v>
      </c>
      <c r="B305" s="28" t="str">
        <f>'web survey'!C303</f>
        <v>FU-Z1-Eng</v>
      </c>
      <c r="C305" s="29" t="str">
        <f>'web survey'!AA303</f>
        <v>100986950</v>
      </c>
      <c r="D305" s="30" t="str">
        <f>IF(B305="FU-ACInstall",VLOOKUP(VALUE('web survey'!D303),ref!$B$6:$C$7,2,0)&amp;" ("&amp;'web survey'!D303&amp;")",VLOOKUP(VALUE('web survey'!D303),ref!$E$6:$F$10,2,0)&amp;" ("&amp;'web survey'!D303&amp;")")</f>
        <v>Good (10)</v>
      </c>
      <c r="E305" s="32" t="str">
        <f>'web survey'!S303</f>
        <v/>
      </c>
      <c r="F305" s="30" t="str">
        <f>IF(B305="FU-ACInstall",VLOOKUP(VALUE('web survey'!E303),ref!$B$10:$C$12,2,0)&amp;" ("&amp;'web survey'!E303&amp;")",VLOOKUP(VALUE('web survey'!E303),ref!$E$13:$F$17,2,0)&amp;" ("&amp;'web survey'!E303&amp;")")</f>
        <v>Good (5)</v>
      </c>
      <c r="G305" s="32" t="str">
        <f>'web survey'!T303</f>
        <v/>
      </c>
      <c r="H305" s="30" t="str">
        <f>IF(B305="FU-ACInstall",VLOOKUP(VALUE('web survey'!F303),ref!$B$15:$C$17,2,0)&amp;" ("&amp;'web survey'!F303&amp;")",VLOOKUP(VALUE('web survey'!F303),ref!$E$20:$F$21,2,0)&amp;" ("&amp;'web survey'!F303&amp;")")</f>
        <v>Appropriate with SAP / in Warranty (10)</v>
      </c>
      <c r="I305" s="32" t="str">
        <f>'web survey'!U303</f>
        <v/>
      </c>
      <c r="J305" s="30" t="str">
        <f>IF(B305="FU-ACInstall","-",VLOOKUP(VALUE('web survey'!G303),ref!$E$24:$F$26,2,0)&amp;" ("&amp;'web survey'!G303&amp;")")</f>
        <v>Jelas (5)</v>
      </c>
      <c r="K305" s="28" t="str">
        <f>YEAR('web survey'!Z303)&amp;"-"&amp;IF(MONTH('web survey'!Z303)&lt;10,"0"&amp;MONTH('web survey'!Z303),MONTH('web survey'!Z303))&amp;"-"&amp;IF(DAY('web survey'!Z303)&lt;10,"0"&amp;DAY('web survey'!Z303),DAY('web survey'!Z303))&amp;" "&amp;IF(HOUR('web survey'!Z303)&lt;10,"0"&amp;HOUR('web survey'!Z303),HOUR('web survey'!Z303))&amp;":"&amp;IF(MINUTE('web survey'!Z303)&lt;10,"0"&amp;MINUTE('web survey'!Z303),MINUTE('web survey'!Z303))&amp;(":00'")</f>
        <v>2026-06-11 16:43:00'</v>
      </c>
      <c r="N305" s="22">
        <v>302</v>
      </c>
      <c r="O305" s="22" t="s">
        <v>27</v>
      </c>
      <c r="P305" s="22" t="s">
        <v>565</v>
      </c>
      <c r="Q305" s="22" t="s">
        <v>18</v>
      </c>
      <c r="R305" s="22" t="s">
        <v>17</v>
      </c>
      <c r="S305" s="22" t="s">
        <v>29</v>
      </c>
      <c r="T305" s="22" t="s">
        <v>17</v>
      </c>
      <c r="U305" s="22" t="s">
        <v>30</v>
      </c>
      <c r="V305" s="22" t="s">
        <v>17</v>
      </c>
      <c r="W305" s="22" t="s">
        <v>34</v>
      </c>
      <c r="X305" s="22" t="s">
        <v>566</v>
      </c>
    </row>
    <row r="306" spans="1:24">
      <c r="A306" s="28">
        <f>IF(B306="","",ROW()-COUNTBLANK($B$4:B306)-3)</f>
        <v>303</v>
      </c>
      <c r="B306" s="28" t="str">
        <f>'web survey'!C304</f>
        <v>FU-Z1-Eng</v>
      </c>
      <c r="C306" s="29" t="str">
        <f>'web survey'!AA304</f>
        <v>204472584</v>
      </c>
      <c r="D306" s="30" t="str">
        <f>IF(B306="FU-ACInstall",VLOOKUP(VALUE('web survey'!D304),ref!$B$6:$C$7,2,0)&amp;" ("&amp;'web survey'!D304&amp;")",VLOOKUP(VALUE('web survey'!D304),ref!$E$6:$F$10,2,0)&amp;" ("&amp;'web survey'!D304&amp;")")</f>
        <v>Good (10)</v>
      </c>
      <c r="E306" s="32" t="str">
        <f>'web survey'!S304</f>
        <v/>
      </c>
      <c r="F306" s="30" t="str">
        <f>IF(B306="FU-ACInstall",VLOOKUP(VALUE('web survey'!E304),ref!$B$10:$C$12,2,0)&amp;" ("&amp;'web survey'!E304&amp;")",VLOOKUP(VALUE('web survey'!E304),ref!$E$13:$F$17,2,0)&amp;" ("&amp;'web survey'!E304&amp;")")</f>
        <v>Very Good (10)</v>
      </c>
      <c r="G306" s="32" t="str">
        <f>'web survey'!T304</f>
        <v/>
      </c>
      <c r="H306" s="30" t="str">
        <f>IF(B306="FU-ACInstall",VLOOKUP(VALUE('web survey'!F304),ref!$B$15:$C$17,2,0)&amp;" ("&amp;'web survey'!F304&amp;")",VLOOKUP(VALUE('web survey'!F304),ref!$E$20:$F$21,2,0)&amp;" ("&amp;'web survey'!F304&amp;")")</f>
        <v>Appropriate with SAP / in Warranty (10)</v>
      </c>
      <c r="I306" s="32" t="str">
        <f>'web survey'!U304</f>
        <v/>
      </c>
      <c r="J306" s="30" t="str">
        <f>IF(B306="FU-ACInstall","-",VLOOKUP(VALUE('web survey'!G304),ref!$E$24:$F$26,2,0)&amp;" ("&amp;'web survey'!G304&amp;")")</f>
        <v>Jelas (5)</v>
      </c>
      <c r="K306" s="28" t="str">
        <f>YEAR('web survey'!Z304)&amp;"-"&amp;IF(MONTH('web survey'!Z304)&lt;10,"0"&amp;MONTH('web survey'!Z304),MONTH('web survey'!Z304))&amp;"-"&amp;IF(DAY('web survey'!Z304)&lt;10,"0"&amp;DAY('web survey'!Z304),DAY('web survey'!Z304))&amp;" "&amp;IF(HOUR('web survey'!Z304)&lt;10,"0"&amp;HOUR('web survey'!Z304),HOUR('web survey'!Z304))&amp;":"&amp;IF(MINUTE('web survey'!Z304)&lt;10,"0"&amp;MINUTE('web survey'!Z304),MINUTE('web survey'!Z304))&amp;(":00'")</f>
        <v>2026-06-11 16:40:00'</v>
      </c>
      <c r="N306" s="22">
        <v>303</v>
      </c>
      <c r="O306" s="22" t="s">
        <v>27</v>
      </c>
      <c r="P306" s="22" t="s">
        <v>567</v>
      </c>
      <c r="Q306" s="22" t="s">
        <v>18</v>
      </c>
      <c r="R306" s="22" t="s">
        <v>17</v>
      </c>
      <c r="S306" s="22" t="s">
        <v>37</v>
      </c>
      <c r="T306" s="22" t="s">
        <v>17</v>
      </c>
      <c r="U306" s="22" t="s">
        <v>30</v>
      </c>
      <c r="V306" s="22" t="s">
        <v>17</v>
      </c>
      <c r="W306" s="22" t="s">
        <v>34</v>
      </c>
      <c r="X306" s="22" t="s">
        <v>568</v>
      </c>
    </row>
    <row r="307" spans="1:24">
      <c r="A307" s="28">
        <f>IF(B307="","",ROW()-COUNTBLANK($B$4:B307)-3)</f>
        <v>304</v>
      </c>
      <c r="B307" s="28" t="str">
        <f>'web survey'!C305</f>
        <v>FU-Z1-Eng</v>
      </c>
      <c r="C307" s="29" t="str">
        <f>'web survey'!AA305</f>
        <v>204469056</v>
      </c>
      <c r="D307" s="30" t="str">
        <f>IF(B307="FU-ACInstall",VLOOKUP(VALUE('web survey'!D305),ref!$B$6:$C$7,2,0)&amp;" ("&amp;'web survey'!D305&amp;")",VLOOKUP(VALUE('web survey'!D305),ref!$E$6:$F$10,2,0)&amp;" ("&amp;'web survey'!D305&amp;")")</f>
        <v>Good (10)</v>
      </c>
      <c r="E307" s="32" t="str">
        <f>'web survey'!S305</f>
        <v/>
      </c>
      <c r="F307" s="30" t="str">
        <f>IF(B307="FU-ACInstall",VLOOKUP(VALUE('web survey'!E305),ref!$B$10:$C$12,2,0)&amp;" ("&amp;'web survey'!E305&amp;")",VLOOKUP(VALUE('web survey'!E305),ref!$E$13:$F$17,2,0)&amp;" ("&amp;'web survey'!E305&amp;")")</f>
        <v>Good (5)</v>
      </c>
      <c r="G307" s="32" t="str">
        <f>'web survey'!T305</f>
        <v/>
      </c>
      <c r="H307" s="30" t="str">
        <f>IF(B307="FU-ACInstall",VLOOKUP(VALUE('web survey'!F305),ref!$B$15:$C$17,2,0)&amp;" ("&amp;'web survey'!F305&amp;")",VLOOKUP(VALUE('web survey'!F305),ref!$E$20:$F$21,2,0)&amp;" ("&amp;'web survey'!F305&amp;")")</f>
        <v>Appropriate with SAP / in Warranty (10)</v>
      </c>
      <c r="I307" s="32" t="str">
        <f>'web survey'!U305</f>
        <v/>
      </c>
      <c r="J307" s="30" t="str">
        <f>IF(B307="FU-ACInstall","-",VLOOKUP(VALUE('web survey'!G305),ref!$E$24:$F$26,2,0)&amp;" ("&amp;'web survey'!G305&amp;")")</f>
        <v>Tidak ada penjelasan (-5)</v>
      </c>
      <c r="K307" s="28" t="str">
        <f>YEAR('web survey'!Z305)&amp;"-"&amp;IF(MONTH('web survey'!Z305)&lt;10,"0"&amp;MONTH('web survey'!Z305),MONTH('web survey'!Z305))&amp;"-"&amp;IF(DAY('web survey'!Z305)&lt;10,"0"&amp;DAY('web survey'!Z305),DAY('web survey'!Z305))&amp;" "&amp;IF(HOUR('web survey'!Z305)&lt;10,"0"&amp;HOUR('web survey'!Z305),HOUR('web survey'!Z305))&amp;":"&amp;IF(MINUTE('web survey'!Z305)&lt;10,"0"&amp;MINUTE('web survey'!Z305),MINUTE('web survey'!Z305))&amp;(":00'")</f>
        <v>2026-06-11 16:23:00'</v>
      </c>
      <c r="N307" s="22">
        <v>304</v>
      </c>
      <c r="O307" s="22" t="s">
        <v>27</v>
      </c>
      <c r="P307" s="22" t="s">
        <v>569</v>
      </c>
      <c r="Q307" s="22" t="s">
        <v>18</v>
      </c>
      <c r="R307" s="22" t="s">
        <v>17</v>
      </c>
      <c r="S307" s="22" t="s">
        <v>29</v>
      </c>
      <c r="T307" s="22" t="s">
        <v>17</v>
      </c>
      <c r="U307" s="22" t="s">
        <v>30</v>
      </c>
      <c r="V307" s="22" t="s">
        <v>17</v>
      </c>
      <c r="W307" s="22" t="s">
        <v>50</v>
      </c>
      <c r="X307" s="22" t="s">
        <v>570</v>
      </c>
    </row>
    <row r="308" ht="45" spans="1:24">
      <c r="A308" s="28">
        <f>IF(B308="","",ROW()-COUNTBLANK($B$4:B308)-3)</f>
        <v>305</v>
      </c>
      <c r="B308" s="28" t="str">
        <f>'web survey'!C306</f>
        <v>FU-Z1-Eng</v>
      </c>
      <c r="C308" s="29" t="str">
        <f>'web survey'!AA306</f>
        <v>204466541</v>
      </c>
      <c r="D308" s="30" t="str">
        <f>IF(B308="FU-ACInstall",VLOOKUP(VALUE('web survey'!D306),ref!$B$6:$C$7,2,0)&amp;" ("&amp;'web survey'!D306&amp;")",VLOOKUP(VALUE('web survey'!D306),ref!$E$6:$F$10,2,0)&amp;" ("&amp;'web survey'!D306&amp;")")</f>
        <v>Not Good (-10)</v>
      </c>
      <c r="E308" s="32" t="str">
        <f>'web survey'!S306</f>
        <v>Masih rusak tambah parah tidak dingin dan  tidak  beku sama sekali</v>
      </c>
      <c r="F308" s="30" t="str">
        <f>IF(B308="FU-ACInstall",VLOOKUP(VALUE('web survey'!E306),ref!$B$10:$C$12,2,0)&amp;" ("&amp;'web survey'!E306&amp;")",VLOOKUP(VALUE('web survey'!E306),ref!$E$13:$F$17,2,0)&amp;" ("&amp;'web survey'!E306&amp;")")</f>
        <v>Good (5)</v>
      </c>
      <c r="G308" s="32" t="str">
        <f>'web survey'!T306</f>
        <v/>
      </c>
      <c r="H308" s="30" t="str">
        <f>IF(B308="FU-ACInstall",VLOOKUP(VALUE('web survey'!F306),ref!$B$15:$C$17,2,0)&amp;" ("&amp;'web survey'!F306&amp;")",VLOOKUP(VALUE('web survey'!F306),ref!$E$20:$F$21,2,0)&amp;" ("&amp;'web survey'!F306&amp;")")</f>
        <v>Appropriate with SAP / in Warranty (10)</v>
      </c>
      <c r="I308" s="32" t="str">
        <f>'web survey'!U306</f>
        <v/>
      </c>
      <c r="J308" s="30" t="str">
        <f>IF(B308="FU-ACInstall","-",VLOOKUP(VALUE('web survey'!G306),ref!$E$24:$F$26,2,0)&amp;" ("&amp;'web survey'!G306&amp;")")</f>
        <v>Jelas (5)</v>
      </c>
      <c r="K308" s="28" t="str">
        <f>YEAR('web survey'!Z306)&amp;"-"&amp;IF(MONTH('web survey'!Z306)&lt;10,"0"&amp;MONTH('web survey'!Z306),MONTH('web survey'!Z306))&amp;"-"&amp;IF(DAY('web survey'!Z306)&lt;10,"0"&amp;DAY('web survey'!Z306),DAY('web survey'!Z306))&amp;" "&amp;IF(HOUR('web survey'!Z306)&lt;10,"0"&amp;HOUR('web survey'!Z306),HOUR('web survey'!Z306))&amp;":"&amp;IF(MINUTE('web survey'!Z306)&lt;10,"0"&amp;MINUTE('web survey'!Z306),MINUTE('web survey'!Z306))&amp;(":00'")</f>
        <v>2026-06-11 16:16:00'</v>
      </c>
      <c r="N308" s="22">
        <v>305</v>
      </c>
      <c r="O308" s="22" t="s">
        <v>27</v>
      </c>
      <c r="P308" s="22" t="s">
        <v>571</v>
      </c>
      <c r="Q308" s="22" t="s">
        <v>33</v>
      </c>
      <c r="R308" s="22" t="s">
        <v>572</v>
      </c>
      <c r="S308" s="22" t="s">
        <v>29</v>
      </c>
      <c r="T308" s="22" t="s">
        <v>17</v>
      </c>
      <c r="U308" s="22" t="s">
        <v>30</v>
      </c>
      <c r="V308" s="22" t="s">
        <v>17</v>
      </c>
      <c r="W308" s="22" t="s">
        <v>34</v>
      </c>
      <c r="X308" s="22" t="s">
        <v>573</v>
      </c>
    </row>
    <row r="309" spans="1:24">
      <c r="A309" s="28">
        <f>IF(B309="","",ROW()-COUNTBLANK($B$4:B309)-3)</f>
        <v>306</v>
      </c>
      <c r="B309" s="28" t="str">
        <f>'web survey'!C307</f>
        <v>FU-Z1-Eng</v>
      </c>
      <c r="C309" s="29" t="str">
        <f>'web survey'!AA307</f>
        <v>1014A2602374</v>
      </c>
      <c r="D309" s="30" t="str">
        <f>IF(B309="FU-ACInstall",VLOOKUP(VALUE('web survey'!D307),ref!$B$6:$C$7,2,0)&amp;" ("&amp;'web survey'!D307&amp;")",VLOOKUP(VALUE('web survey'!D307),ref!$E$6:$F$10,2,0)&amp;" ("&amp;'web survey'!D307&amp;")")</f>
        <v>Good (10)</v>
      </c>
      <c r="E309" s="32" t="str">
        <f>'web survey'!S307</f>
        <v/>
      </c>
      <c r="F309" s="30" t="str">
        <f>IF(B309="FU-ACInstall",VLOOKUP(VALUE('web survey'!E307),ref!$B$10:$C$12,2,0)&amp;" ("&amp;'web survey'!E307&amp;")",VLOOKUP(VALUE('web survey'!E307),ref!$E$13:$F$17,2,0)&amp;" ("&amp;'web survey'!E307&amp;")")</f>
        <v>Good (5)</v>
      </c>
      <c r="G309" s="32" t="str">
        <f>'web survey'!T307</f>
        <v/>
      </c>
      <c r="H309" s="30" t="str">
        <f>IF(B309="FU-ACInstall",VLOOKUP(VALUE('web survey'!F307),ref!$B$15:$C$17,2,0)&amp;" ("&amp;'web survey'!F307&amp;")",VLOOKUP(VALUE('web survey'!F307),ref!$E$20:$F$21,2,0)&amp;" ("&amp;'web survey'!F307&amp;")")</f>
        <v>Appropriate with SAP / in Warranty (10)</v>
      </c>
      <c r="I309" s="32" t="str">
        <f>'web survey'!U307</f>
        <v/>
      </c>
      <c r="J309" s="30" t="str">
        <f>IF(B309="FU-ACInstall","-",VLOOKUP(VALUE('web survey'!G307),ref!$E$24:$F$26,2,0)&amp;" ("&amp;'web survey'!G307&amp;")")</f>
        <v>Jelas (5)</v>
      </c>
      <c r="K309" s="28" t="str">
        <f>YEAR('web survey'!Z307)&amp;"-"&amp;IF(MONTH('web survey'!Z307)&lt;10,"0"&amp;MONTH('web survey'!Z307),MONTH('web survey'!Z307))&amp;"-"&amp;IF(DAY('web survey'!Z307)&lt;10,"0"&amp;DAY('web survey'!Z307),DAY('web survey'!Z307))&amp;" "&amp;IF(HOUR('web survey'!Z307)&lt;10,"0"&amp;HOUR('web survey'!Z307),HOUR('web survey'!Z307))&amp;":"&amp;IF(MINUTE('web survey'!Z307)&lt;10,"0"&amp;MINUTE('web survey'!Z307),MINUTE('web survey'!Z307))&amp;(":00'")</f>
        <v>2026-06-11 16:09:00'</v>
      </c>
      <c r="N309" s="22">
        <v>306</v>
      </c>
      <c r="O309" s="22" t="s">
        <v>27</v>
      </c>
      <c r="P309" s="22" t="s">
        <v>574</v>
      </c>
      <c r="Q309" s="22" t="s">
        <v>18</v>
      </c>
      <c r="R309" s="22" t="s">
        <v>17</v>
      </c>
      <c r="S309" s="22" t="s">
        <v>29</v>
      </c>
      <c r="T309" s="22" t="s">
        <v>17</v>
      </c>
      <c r="U309" s="22" t="s">
        <v>30</v>
      </c>
      <c r="V309" s="22" t="s">
        <v>17</v>
      </c>
      <c r="W309" s="22" t="s">
        <v>34</v>
      </c>
      <c r="X309" s="22" t="s">
        <v>575</v>
      </c>
    </row>
    <row r="310" spans="1:24">
      <c r="A310" s="28">
        <f>IF(B310="","",ROW()-COUNTBLANK($B$4:B310)-3)</f>
        <v>307</v>
      </c>
      <c r="B310" s="28" t="str">
        <f>'web survey'!C308</f>
        <v>FU-Z1-Eng</v>
      </c>
      <c r="C310" s="29" t="str">
        <f>'web survey'!AA308</f>
        <v>204469598</v>
      </c>
      <c r="D310" s="30" t="str">
        <f>IF(B310="FU-ACInstall",VLOOKUP(VALUE('web survey'!D308),ref!$B$6:$C$7,2,0)&amp;" ("&amp;'web survey'!D308&amp;")",VLOOKUP(VALUE('web survey'!D308),ref!$E$6:$F$10,2,0)&amp;" ("&amp;'web survey'!D308&amp;")")</f>
        <v>Good (10)</v>
      </c>
      <c r="E310" s="32" t="str">
        <f>'web survey'!S308</f>
        <v/>
      </c>
      <c r="F310" s="30" t="str">
        <f>IF(B310="FU-ACInstall",VLOOKUP(VALUE('web survey'!E308),ref!$B$10:$C$12,2,0)&amp;" ("&amp;'web survey'!E308&amp;")",VLOOKUP(VALUE('web survey'!E308),ref!$E$13:$F$17,2,0)&amp;" ("&amp;'web survey'!E308&amp;")")</f>
        <v>Very Good (10)</v>
      </c>
      <c r="G310" s="32" t="str">
        <f>'web survey'!T308</f>
        <v/>
      </c>
      <c r="H310" s="30" t="str">
        <f>IF(B310="FU-ACInstall",VLOOKUP(VALUE('web survey'!F308),ref!$B$15:$C$17,2,0)&amp;" ("&amp;'web survey'!F308&amp;")",VLOOKUP(VALUE('web survey'!F308),ref!$E$20:$F$21,2,0)&amp;" ("&amp;'web survey'!F308&amp;")")</f>
        <v>Appropriate with SAP / in Warranty (10)</v>
      </c>
      <c r="I310" s="32" t="str">
        <f>'web survey'!U308</f>
        <v/>
      </c>
      <c r="J310" s="30" t="str">
        <f>IF(B310="FU-ACInstall","-",VLOOKUP(VALUE('web survey'!G308),ref!$E$24:$F$26,2,0)&amp;" ("&amp;'web survey'!G308&amp;")")</f>
        <v>Jelas (5)</v>
      </c>
      <c r="K310" s="28" t="str">
        <f>YEAR('web survey'!Z308)&amp;"-"&amp;IF(MONTH('web survey'!Z308)&lt;10,"0"&amp;MONTH('web survey'!Z308),MONTH('web survey'!Z308))&amp;"-"&amp;IF(DAY('web survey'!Z308)&lt;10,"0"&amp;DAY('web survey'!Z308),DAY('web survey'!Z308))&amp;" "&amp;IF(HOUR('web survey'!Z308)&lt;10,"0"&amp;HOUR('web survey'!Z308),HOUR('web survey'!Z308))&amp;":"&amp;IF(MINUTE('web survey'!Z308)&lt;10,"0"&amp;MINUTE('web survey'!Z308),MINUTE('web survey'!Z308))&amp;(":00'")</f>
        <v>2026-06-11 16:08:00'</v>
      </c>
      <c r="N310" s="22">
        <v>307</v>
      </c>
      <c r="O310" s="22" t="s">
        <v>27</v>
      </c>
      <c r="P310" s="22" t="s">
        <v>576</v>
      </c>
      <c r="Q310" s="22" t="s">
        <v>18</v>
      </c>
      <c r="R310" s="22" t="s">
        <v>17</v>
      </c>
      <c r="S310" s="22" t="s">
        <v>37</v>
      </c>
      <c r="T310" s="22" t="s">
        <v>17</v>
      </c>
      <c r="U310" s="22" t="s">
        <v>30</v>
      </c>
      <c r="V310" s="22" t="s">
        <v>17</v>
      </c>
      <c r="W310" s="22" t="s">
        <v>34</v>
      </c>
      <c r="X310" s="22" t="s">
        <v>577</v>
      </c>
    </row>
    <row r="311" spans="1:24">
      <c r="A311" s="28">
        <f>IF(B311="","",ROW()-COUNTBLANK($B$4:B311)-3)</f>
        <v>308</v>
      </c>
      <c r="B311" s="28" t="str">
        <f>'web survey'!C309</f>
        <v>FU-Z1-Eng</v>
      </c>
      <c r="C311" s="29" t="str">
        <f>'web survey'!AA309</f>
        <v>100981045</v>
      </c>
      <c r="D311" s="30" t="str">
        <f>IF(B311="FU-ACInstall",VLOOKUP(VALUE('web survey'!D309),ref!$B$6:$C$7,2,0)&amp;" ("&amp;'web survey'!D309&amp;")",VLOOKUP(VALUE('web survey'!D309),ref!$E$6:$F$10,2,0)&amp;" ("&amp;'web survey'!D309&amp;")")</f>
        <v>Good (10)</v>
      </c>
      <c r="E311" s="32" t="str">
        <f>'web survey'!S309</f>
        <v/>
      </c>
      <c r="F311" s="30" t="str">
        <f>IF(B311="FU-ACInstall",VLOOKUP(VALUE('web survey'!E309),ref!$B$10:$C$12,2,0)&amp;" ("&amp;'web survey'!E309&amp;")",VLOOKUP(VALUE('web survey'!E309),ref!$E$13:$F$17,2,0)&amp;" ("&amp;'web survey'!E309&amp;")")</f>
        <v>Very Good (10)</v>
      </c>
      <c r="G311" s="32" t="str">
        <f>'web survey'!T309</f>
        <v/>
      </c>
      <c r="H311" s="30" t="str">
        <f>IF(B311="FU-ACInstall",VLOOKUP(VALUE('web survey'!F309),ref!$B$15:$C$17,2,0)&amp;" ("&amp;'web survey'!F309&amp;")",VLOOKUP(VALUE('web survey'!F309),ref!$E$20:$F$21,2,0)&amp;" ("&amp;'web survey'!F309&amp;")")</f>
        <v>Appropriate with SAP / in Warranty (10)</v>
      </c>
      <c r="I311" s="32" t="str">
        <f>'web survey'!U309</f>
        <v/>
      </c>
      <c r="J311" s="30" t="str">
        <f>IF(B311="FU-ACInstall","-",VLOOKUP(VALUE('web survey'!G309),ref!$E$24:$F$26,2,0)&amp;" ("&amp;'web survey'!G309&amp;")")</f>
        <v>Jelas (5)</v>
      </c>
      <c r="K311" s="28" t="str">
        <f>YEAR('web survey'!Z309)&amp;"-"&amp;IF(MONTH('web survey'!Z309)&lt;10,"0"&amp;MONTH('web survey'!Z309),MONTH('web survey'!Z309))&amp;"-"&amp;IF(DAY('web survey'!Z309)&lt;10,"0"&amp;DAY('web survey'!Z309),DAY('web survey'!Z309))&amp;" "&amp;IF(HOUR('web survey'!Z309)&lt;10,"0"&amp;HOUR('web survey'!Z309),HOUR('web survey'!Z309))&amp;":"&amp;IF(MINUTE('web survey'!Z309)&lt;10,"0"&amp;MINUTE('web survey'!Z309),MINUTE('web survey'!Z309))&amp;(":00'")</f>
        <v>2026-06-11 15:59:00'</v>
      </c>
      <c r="N311" s="22">
        <v>308</v>
      </c>
      <c r="O311" s="22" t="s">
        <v>27</v>
      </c>
      <c r="P311" s="22" t="s">
        <v>578</v>
      </c>
      <c r="Q311" s="22" t="s">
        <v>18</v>
      </c>
      <c r="R311" s="22" t="s">
        <v>17</v>
      </c>
      <c r="S311" s="22" t="s">
        <v>37</v>
      </c>
      <c r="T311" s="22" t="s">
        <v>17</v>
      </c>
      <c r="U311" s="22" t="s">
        <v>30</v>
      </c>
      <c r="V311" s="22" t="s">
        <v>17</v>
      </c>
      <c r="W311" s="22" t="s">
        <v>34</v>
      </c>
      <c r="X311" s="22" t="s">
        <v>579</v>
      </c>
    </row>
    <row r="312" spans="1:24">
      <c r="A312" s="28">
        <f>IF(B312="","",ROW()-COUNTBLANK($B$4:B312)-3)</f>
        <v>309</v>
      </c>
      <c r="B312" s="28" t="str">
        <f>'web survey'!C310</f>
        <v>FU-Z1-Eng</v>
      </c>
      <c r="C312" s="29" t="str">
        <f>'web survey'!AA310</f>
        <v>204471682</v>
      </c>
      <c r="D312" s="30" t="str">
        <f>IF(B312="FU-ACInstall",VLOOKUP(VALUE('web survey'!D310),ref!$B$6:$C$7,2,0)&amp;" ("&amp;'web survey'!D310&amp;")",VLOOKUP(VALUE('web survey'!D310),ref!$E$6:$F$10,2,0)&amp;" ("&amp;'web survey'!D310&amp;")")</f>
        <v>Good (10)</v>
      </c>
      <c r="E312" s="32" t="str">
        <f>'web survey'!S310</f>
        <v/>
      </c>
      <c r="F312" s="30" t="str">
        <f>IF(B312="FU-ACInstall",VLOOKUP(VALUE('web survey'!E310),ref!$B$10:$C$12,2,0)&amp;" ("&amp;'web survey'!E310&amp;")",VLOOKUP(VALUE('web survey'!E310),ref!$E$13:$F$17,2,0)&amp;" ("&amp;'web survey'!E310&amp;")")</f>
        <v>Very Good (10)</v>
      </c>
      <c r="G312" s="32" t="str">
        <f>'web survey'!T310</f>
        <v/>
      </c>
      <c r="H312" s="30" t="str">
        <f>IF(B312="FU-ACInstall",VLOOKUP(VALUE('web survey'!F310),ref!$B$15:$C$17,2,0)&amp;" ("&amp;'web survey'!F310&amp;")",VLOOKUP(VALUE('web survey'!F310),ref!$E$20:$F$21,2,0)&amp;" ("&amp;'web survey'!F310&amp;")")</f>
        <v>Appropriate with SAP / in Warranty (10)</v>
      </c>
      <c r="I312" s="32" t="str">
        <f>'web survey'!U310</f>
        <v/>
      </c>
      <c r="J312" s="30" t="str">
        <f>IF(B312="FU-ACInstall","-",VLOOKUP(VALUE('web survey'!G310),ref!$E$24:$F$26,2,0)&amp;" ("&amp;'web survey'!G310&amp;")")</f>
        <v>Jelas (5)</v>
      </c>
      <c r="K312" s="28" t="str">
        <f>YEAR('web survey'!Z310)&amp;"-"&amp;IF(MONTH('web survey'!Z310)&lt;10,"0"&amp;MONTH('web survey'!Z310),MONTH('web survey'!Z310))&amp;"-"&amp;IF(DAY('web survey'!Z310)&lt;10,"0"&amp;DAY('web survey'!Z310),DAY('web survey'!Z310))&amp;" "&amp;IF(HOUR('web survey'!Z310)&lt;10,"0"&amp;HOUR('web survey'!Z310),HOUR('web survey'!Z310))&amp;":"&amp;IF(MINUTE('web survey'!Z310)&lt;10,"0"&amp;MINUTE('web survey'!Z310),MINUTE('web survey'!Z310))&amp;(":00'")</f>
        <v>2026-06-11 15:53:00'</v>
      </c>
      <c r="N312" s="22">
        <v>309</v>
      </c>
      <c r="O312" s="22" t="s">
        <v>27</v>
      </c>
      <c r="P312" s="22" t="s">
        <v>580</v>
      </c>
      <c r="Q312" s="22" t="s">
        <v>18</v>
      </c>
      <c r="R312" s="22" t="s">
        <v>17</v>
      </c>
      <c r="S312" s="22" t="s">
        <v>37</v>
      </c>
      <c r="T312" s="22" t="s">
        <v>17</v>
      </c>
      <c r="U312" s="22" t="s">
        <v>30</v>
      </c>
      <c r="V312" s="22" t="s">
        <v>17</v>
      </c>
      <c r="W312" s="22" t="s">
        <v>34</v>
      </c>
      <c r="X312" s="22" t="s">
        <v>581</v>
      </c>
    </row>
    <row r="313" spans="1:24">
      <c r="A313" s="28">
        <f>IF(B313="","",ROW()-COUNTBLANK($B$4:B313)-3)</f>
        <v>310</v>
      </c>
      <c r="B313" s="28" t="str">
        <f>'web survey'!C311</f>
        <v>FU-Z1-Eng</v>
      </c>
      <c r="C313" s="29" t="str">
        <f>'web survey'!AA311</f>
        <v>100983772</v>
      </c>
      <c r="D313" s="30" t="str">
        <f>IF(B313="FU-ACInstall",VLOOKUP(VALUE('web survey'!D311),ref!$B$6:$C$7,2,0)&amp;" ("&amp;'web survey'!D311&amp;")",VLOOKUP(VALUE('web survey'!D311),ref!$E$6:$F$10,2,0)&amp;" ("&amp;'web survey'!D311&amp;")")</f>
        <v>Good (10)</v>
      </c>
      <c r="E313" s="32" t="str">
        <f>'web survey'!S311</f>
        <v/>
      </c>
      <c r="F313" s="30" t="str">
        <f>IF(B313="FU-ACInstall",VLOOKUP(VALUE('web survey'!E311),ref!$B$10:$C$12,2,0)&amp;" ("&amp;'web survey'!E311&amp;")",VLOOKUP(VALUE('web survey'!E311),ref!$E$13:$F$17,2,0)&amp;" ("&amp;'web survey'!E311&amp;")")</f>
        <v>Good (5)</v>
      </c>
      <c r="G313" s="32" t="str">
        <f>'web survey'!T311</f>
        <v/>
      </c>
      <c r="H313" s="30" t="str">
        <f>IF(B313="FU-ACInstall",VLOOKUP(VALUE('web survey'!F311),ref!$B$15:$C$17,2,0)&amp;" ("&amp;'web survey'!F311&amp;")",VLOOKUP(VALUE('web survey'!F311),ref!$E$20:$F$21,2,0)&amp;" ("&amp;'web survey'!F311&amp;")")</f>
        <v>Appropriate with SAP / in Warranty (10)</v>
      </c>
      <c r="I313" s="32" t="str">
        <f>'web survey'!U311</f>
        <v/>
      </c>
      <c r="J313" s="30" t="str">
        <f>IF(B313="FU-ACInstall","-",VLOOKUP(VALUE('web survey'!G311),ref!$E$24:$F$26,2,0)&amp;" ("&amp;'web survey'!G311&amp;")")</f>
        <v>Jelas (5)</v>
      </c>
      <c r="K313" s="28" t="str">
        <f>YEAR('web survey'!Z311)&amp;"-"&amp;IF(MONTH('web survey'!Z311)&lt;10,"0"&amp;MONTH('web survey'!Z311),MONTH('web survey'!Z311))&amp;"-"&amp;IF(DAY('web survey'!Z311)&lt;10,"0"&amp;DAY('web survey'!Z311),DAY('web survey'!Z311))&amp;" "&amp;IF(HOUR('web survey'!Z311)&lt;10,"0"&amp;HOUR('web survey'!Z311),HOUR('web survey'!Z311))&amp;":"&amp;IF(MINUTE('web survey'!Z311)&lt;10,"0"&amp;MINUTE('web survey'!Z311),MINUTE('web survey'!Z311))&amp;(":00'")</f>
        <v>2026-06-11 15:50:00'</v>
      </c>
      <c r="N313" s="22">
        <v>310</v>
      </c>
      <c r="O313" s="22" t="s">
        <v>27</v>
      </c>
      <c r="P313" s="22" t="s">
        <v>582</v>
      </c>
      <c r="Q313" s="22" t="s">
        <v>18</v>
      </c>
      <c r="R313" s="22" t="s">
        <v>17</v>
      </c>
      <c r="S313" s="22" t="s">
        <v>29</v>
      </c>
      <c r="T313" s="22" t="s">
        <v>17</v>
      </c>
      <c r="U313" s="22" t="s">
        <v>30</v>
      </c>
      <c r="V313" s="22" t="s">
        <v>17</v>
      </c>
      <c r="W313" s="22" t="s">
        <v>34</v>
      </c>
      <c r="X313" s="22" t="s">
        <v>583</v>
      </c>
    </row>
    <row r="314" spans="1:24">
      <c r="A314" s="28">
        <f>IF(B314="","",ROW()-COUNTBLANK($B$4:B314)-3)</f>
        <v>311</v>
      </c>
      <c r="B314" s="28" t="str">
        <f>'web survey'!C312</f>
        <v>FU-Z1-Eng</v>
      </c>
      <c r="C314" s="29" t="str">
        <f>'web survey'!AA312</f>
        <v>100987504</v>
      </c>
      <c r="D314" s="30" t="str">
        <f>IF(B314="FU-ACInstall",VLOOKUP(VALUE('web survey'!D312),ref!$B$6:$C$7,2,0)&amp;" ("&amp;'web survey'!D312&amp;")",VLOOKUP(VALUE('web survey'!D312),ref!$E$6:$F$10,2,0)&amp;" ("&amp;'web survey'!D312&amp;")")</f>
        <v>Good (10)</v>
      </c>
      <c r="E314" s="32" t="str">
        <f>'web survey'!S312</f>
        <v/>
      </c>
      <c r="F314" s="30" t="str">
        <f>IF(B314="FU-ACInstall",VLOOKUP(VALUE('web survey'!E312),ref!$B$10:$C$12,2,0)&amp;" ("&amp;'web survey'!E312&amp;")",VLOOKUP(VALUE('web survey'!E312),ref!$E$13:$F$17,2,0)&amp;" ("&amp;'web survey'!E312&amp;")")</f>
        <v>Very Good (10)</v>
      </c>
      <c r="G314" s="32" t="str">
        <f>'web survey'!T312</f>
        <v/>
      </c>
      <c r="H314" s="30" t="str">
        <f>IF(B314="FU-ACInstall",VLOOKUP(VALUE('web survey'!F312),ref!$B$15:$C$17,2,0)&amp;" ("&amp;'web survey'!F312&amp;")",VLOOKUP(VALUE('web survey'!F312),ref!$E$20:$F$21,2,0)&amp;" ("&amp;'web survey'!F312&amp;")")</f>
        <v>Appropriate with SAP / in Warranty (10)</v>
      </c>
      <c r="I314" s="32" t="str">
        <f>'web survey'!U312</f>
        <v/>
      </c>
      <c r="J314" s="30" t="str">
        <f>IF(B314="FU-ACInstall","-",VLOOKUP(VALUE('web survey'!G312),ref!$E$24:$F$26,2,0)&amp;" ("&amp;'web survey'!G312&amp;")")</f>
        <v>Jelas (5)</v>
      </c>
      <c r="K314" s="28" t="str">
        <f>YEAR('web survey'!Z312)&amp;"-"&amp;IF(MONTH('web survey'!Z312)&lt;10,"0"&amp;MONTH('web survey'!Z312),MONTH('web survey'!Z312))&amp;"-"&amp;IF(DAY('web survey'!Z312)&lt;10,"0"&amp;DAY('web survey'!Z312),DAY('web survey'!Z312))&amp;" "&amp;IF(HOUR('web survey'!Z312)&lt;10,"0"&amp;HOUR('web survey'!Z312),HOUR('web survey'!Z312))&amp;":"&amp;IF(MINUTE('web survey'!Z312)&lt;10,"0"&amp;MINUTE('web survey'!Z312),MINUTE('web survey'!Z312))&amp;(":00'")</f>
        <v>2026-06-11 15:49:00'</v>
      </c>
      <c r="N314" s="22">
        <v>311</v>
      </c>
      <c r="O314" s="22" t="s">
        <v>27</v>
      </c>
      <c r="P314" s="22" t="s">
        <v>584</v>
      </c>
      <c r="Q314" s="22" t="s">
        <v>18</v>
      </c>
      <c r="R314" s="22" t="s">
        <v>17</v>
      </c>
      <c r="S314" s="22" t="s">
        <v>37</v>
      </c>
      <c r="T314" s="22" t="s">
        <v>17</v>
      </c>
      <c r="U314" s="22" t="s">
        <v>30</v>
      </c>
      <c r="V314" s="22" t="s">
        <v>17</v>
      </c>
      <c r="W314" s="22" t="s">
        <v>34</v>
      </c>
      <c r="X314" s="22" t="s">
        <v>585</v>
      </c>
    </row>
    <row r="315" spans="1:24">
      <c r="A315" s="28">
        <f>IF(B315="","",ROW()-COUNTBLANK($B$4:B315)-3)</f>
        <v>312</v>
      </c>
      <c r="B315" s="28" t="str">
        <f>'web survey'!C313</f>
        <v>FU-Z1-Eng</v>
      </c>
      <c r="C315" s="29" t="str">
        <f>'web survey'!AA313</f>
        <v>204473373</v>
      </c>
      <c r="D315" s="30" t="str">
        <f>IF(B315="FU-ACInstall",VLOOKUP(VALUE('web survey'!D313),ref!$B$6:$C$7,2,0)&amp;" ("&amp;'web survey'!D313&amp;")",VLOOKUP(VALUE('web survey'!D313),ref!$E$6:$F$10,2,0)&amp;" ("&amp;'web survey'!D313&amp;")")</f>
        <v>Good (10)</v>
      </c>
      <c r="E315" s="32" t="str">
        <f>'web survey'!S313</f>
        <v/>
      </c>
      <c r="F315" s="30" t="str">
        <f>IF(B315="FU-ACInstall",VLOOKUP(VALUE('web survey'!E313),ref!$B$10:$C$12,2,0)&amp;" ("&amp;'web survey'!E313&amp;")",VLOOKUP(VALUE('web survey'!E313),ref!$E$13:$F$17,2,0)&amp;" ("&amp;'web survey'!E313&amp;")")</f>
        <v>Very Good (10)</v>
      </c>
      <c r="G315" s="32" t="str">
        <f>'web survey'!T313</f>
        <v/>
      </c>
      <c r="H315" s="30" t="str">
        <f>IF(B315="FU-ACInstall",VLOOKUP(VALUE('web survey'!F313),ref!$B$15:$C$17,2,0)&amp;" ("&amp;'web survey'!F313&amp;")",VLOOKUP(VALUE('web survey'!F313),ref!$E$20:$F$21,2,0)&amp;" ("&amp;'web survey'!F313&amp;")")</f>
        <v>Appropriate with SAP / in Warranty (10)</v>
      </c>
      <c r="I315" s="32" t="str">
        <f>'web survey'!U313</f>
        <v/>
      </c>
      <c r="J315" s="30" t="str">
        <f>IF(B315="FU-ACInstall","-",VLOOKUP(VALUE('web survey'!G313),ref!$E$24:$F$26,2,0)&amp;" ("&amp;'web survey'!G313&amp;")")</f>
        <v>Jelas (5)</v>
      </c>
      <c r="K315" s="28" t="str">
        <f>YEAR('web survey'!Z313)&amp;"-"&amp;IF(MONTH('web survey'!Z313)&lt;10,"0"&amp;MONTH('web survey'!Z313),MONTH('web survey'!Z313))&amp;"-"&amp;IF(DAY('web survey'!Z313)&lt;10,"0"&amp;DAY('web survey'!Z313),DAY('web survey'!Z313))&amp;" "&amp;IF(HOUR('web survey'!Z313)&lt;10,"0"&amp;HOUR('web survey'!Z313),HOUR('web survey'!Z313))&amp;":"&amp;IF(MINUTE('web survey'!Z313)&lt;10,"0"&amp;MINUTE('web survey'!Z313),MINUTE('web survey'!Z313))&amp;(":00'")</f>
        <v>2026-06-11 15:46:00'</v>
      </c>
      <c r="N315" s="22">
        <v>312</v>
      </c>
      <c r="O315" s="22" t="s">
        <v>27</v>
      </c>
      <c r="P315" s="22" t="s">
        <v>586</v>
      </c>
      <c r="Q315" s="22" t="s">
        <v>18</v>
      </c>
      <c r="R315" s="22" t="s">
        <v>17</v>
      </c>
      <c r="S315" s="22" t="s">
        <v>37</v>
      </c>
      <c r="T315" s="22" t="s">
        <v>17</v>
      </c>
      <c r="U315" s="22" t="s">
        <v>30</v>
      </c>
      <c r="V315" s="22" t="s">
        <v>17</v>
      </c>
      <c r="W315" s="22" t="s">
        <v>34</v>
      </c>
      <c r="X315" s="22" t="s">
        <v>587</v>
      </c>
    </row>
    <row r="316" spans="1:24">
      <c r="A316" s="28">
        <f>IF(B316="","",ROW()-COUNTBLANK($B$4:B316)-3)</f>
        <v>313</v>
      </c>
      <c r="B316" s="28" t="str">
        <f>'web survey'!C314</f>
        <v>FU-Z1-Eng</v>
      </c>
      <c r="C316" s="29" t="str">
        <f>'web survey'!AA314</f>
        <v>100988093</v>
      </c>
      <c r="D316" s="30" t="str">
        <f>IF(B316="FU-ACInstall",VLOOKUP(VALUE('web survey'!D314),ref!$B$6:$C$7,2,0)&amp;" ("&amp;'web survey'!D314&amp;")",VLOOKUP(VALUE('web survey'!D314),ref!$E$6:$F$10,2,0)&amp;" ("&amp;'web survey'!D314&amp;")")</f>
        <v>Good (10)</v>
      </c>
      <c r="E316" s="32" t="str">
        <f>'web survey'!S314</f>
        <v/>
      </c>
      <c r="F316" s="30" t="str">
        <f>IF(B316="FU-ACInstall",VLOOKUP(VALUE('web survey'!E314),ref!$B$10:$C$12,2,0)&amp;" ("&amp;'web survey'!E314&amp;")",VLOOKUP(VALUE('web survey'!E314),ref!$E$13:$F$17,2,0)&amp;" ("&amp;'web survey'!E314&amp;")")</f>
        <v>Very Good (10)</v>
      </c>
      <c r="G316" s="32" t="str">
        <f>'web survey'!T314</f>
        <v/>
      </c>
      <c r="H316" s="30" t="str">
        <f>IF(B316="FU-ACInstall",VLOOKUP(VALUE('web survey'!F314),ref!$B$15:$C$17,2,0)&amp;" ("&amp;'web survey'!F314&amp;")",VLOOKUP(VALUE('web survey'!F314),ref!$E$20:$F$21,2,0)&amp;" ("&amp;'web survey'!F314&amp;")")</f>
        <v>Appropriate with SAP / in Warranty (10)</v>
      </c>
      <c r="I316" s="32" t="str">
        <f>'web survey'!U314</f>
        <v/>
      </c>
      <c r="J316" s="30" t="str">
        <f>IF(B316="FU-ACInstall","-",VLOOKUP(VALUE('web survey'!G314),ref!$E$24:$F$26,2,0)&amp;" ("&amp;'web survey'!G314&amp;")")</f>
        <v>Jelas (5)</v>
      </c>
      <c r="K316" s="28" t="str">
        <f>YEAR('web survey'!Z314)&amp;"-"&amp;IF(MONTH('web survey'!Z314)&lt;10,"0"&amp;MONTH('web survey'!Z314),MONTH('web survey'!Z314))&amp;"-"&amp;IF(DAY('web survey'!Z314)&lt;10,"0"&amp;DAY('web survey'!Z314),DAY('web survey'!Z314))&amp;" "&amp;IF(HOUR('web survey'!Z314)&lt;10,"0"&amp;HOUR('web survey'!Z314),HOUR('web survey'!Z314))&amp;":"&amp;IF(MINUTE('web survey'!Z314)&lt;10,"0"&amp;MINUTE('web survey'!Z314),MINUTE('web survey'!Z314))&amp;(":00'")</f>
        <v>2026-06-11 15:44:00'</v>
      </c>
      <c r="N316" s="22">
        <v>313</v>
      </c>
      <c r="O316" s="22" t="s">
        <v>27</v>
      </c>
      <c r="P316" s="22" t="s">
        <v>588</v>
      </c>
      <c r="Q316" s="22" t="s">
        <v>18</v>
      </c>
      <c r="R316" s="22" t="s">
        <v>17</v>
      </c>
      <c r="S316" s="22" t="s">
        <v>37</v>
      </c>
      <c r="T316" s="22" t="s">
        <v>17</v>
      </c>
      <c r="U316" s="22" t="s">
        <v>30</v>
      </c>
      <c r="V316" s="22" t="s">
        <v>17</v>
      </c>
      <c r="W316" s="22" t="s">
        <v>34</v>
      </c>
      <c r="X316" s="22" t="s">
        <v>589</v>
      </c>
    </row>
    <row r="317" spans="1:24">
      <c r="A317" s="28">
        <f>IF(B317="","",ROW()-COUNTBLANK($B$4:B317)-3)</f>
        <v>314</v>
      </c>
      <c r="B317" s="28" t="str">
        <f>'web survey'!C315</f>
        <v>FU-Z1-Eng</v>
      </c>
      <c r="C317" s="29" t="str">
        <f>'web survey'!AA315</f>
        <v>204470281</v>
      </c>
      <c r="D317" s="30" t="str">
        <f>IF(B317="FU-ACInstall",VLOOKUP(VALUE('web survey'!D315),ref!$B$6:$C$7,2,0)&amp;" ("&amp;'web survey'!D315&amp;")",VLOOKUP(VALUE('web survey'!D315),ref!$E$6:$F$10,2,0)&amp;" ("&amp;'web survey'!D315&amp;")")</f>
        <v>Good (10)</v>
      </c>
      <c r="E317" s="32" t="str">
        <f>'web survey'!S315</f>
        <v/>
      </c>
      <c r="F317" s="30" t="str">
        <f>IF(B317="FU-ACInstall",VLOOKUP(VALUE('web survey'!E315),ref!$B$10:$C$12,2,0)&amp;" ("&amp;'web survey'!E315&amp;")",VLOOKUP(VALUE('web survey'!E315),ref!$E$13:$F$17,2,0)&amp;" ("&amp;'web survey'!E315&amp;")")</f>
        <v>Very Good (10)</v>
      </c>
      <c r="G317" s="32" t="str">
        <f>'web survey'!T315</f>
        <v/>
      </c>
      <c r="H317" s="30" t="str">
        <f>IF(B317="FU-ACInstall",VLOOKUP(VALUE('web survey'!F315),ref!$B$15:$C$17,2,0)&amp;" ("&amp;'web survey'!F315&amp;")",VLOOKUP(VALUE('web survey'!F315),ref!$E$20:$F$21,2,0)&amp;" ("&amp;'web survey'!F315&amp;")")</f>
        <v>Appropriate with SAP / in Warranty (10)</v>
      </c>
      <c r="I317" s="32" t="str">
        <f>'web survey'!U315</f>
        <v/>
      </c>
      <c r="J317" s="30" t="str">
        <f>IF(B317="FU-ACInstall","-",VLOOKUP(VALUE('web survey'!G315),ref!$E$24:$F$26,2,0)&amp;" ("&amp;'web survey'!G315&amp;")")</f>
        <v>Jelas (5)</v>
      </c>
      <c r="K317" s="28" t="str">
        <f>YEAR('web survey'!Z315)&amp;"-"&amp;IF(MONTH('web survey'!Z315)&lt;10,"0"&amp;MONTH('web survey'!Z315),MONTH('web survey'!Z315))&amp;"-"&amp;IF(DAY('web survey'!Z315)&lt;10,"0"&amp;DAY('web survey'!Z315),DAY('web survey'!Z315))&amp;" "&amp;IF(HOUR('web survey'!Z315)&lt;10,"0"&amp;HOUR('web survey'!Z315),HOUR('web survey'!Z315))&amp;":"&amp;IF(MINUTE('web survey'!Z315)&lt;10,"0"&amp;MINUTE('web survey'!Z315),MINUTE('web survey'!Z315))&amp;(":00'")</f>
        <v>2026-06-11 15:42:00'</v>
      </c>
      <c r="N317" s="22">
        <v>314</v>
      </c>
      <c r="O317" s="22" t="s">
        <v>27</v>
      </c>
      <c r="P317" s="22" t="s">
        <v>590</v>
      </c>
      <c r="Q317" s="22" t="s">
        <v>18</v>
      </c>
      <c r="R317" s="22" t="s">
        <v>17</v>
      </c>
      <c r="S317" s="22" t="s">
        <v>37</v>
      </c>
      <c r="T317" s="22" t="s">
        <v>17</v>
      </c>
      <c r="U317" s="22" t="s">
        <v>30</v>
      </c>
      <c r="V317" s="22" t="s">
        <v>17</v>
      </c>
      <c r="W317" s="22" t="s">
        <v>34</v>
      </c>
      <c r="X317" s="22" t="s">
        <v>591</v>
      </c>
    </row>
    <row r="318" spans="1:24">
      <c r="A318" s="28">
        <f>IF(B318="","",ROW()-COUNTBLANK($B$4:B318)-3)</f>
        <v>315</v>
      </c>
      <c r="B318" s="28" t="str">
        <f>'web survey'!C316</f>
        <v>FU-Z1-Eng</v>
      </c>
      <c r="C318" s="29" t="str">
        <f>'web survey'!AA316</f>
        <v>1100356687</v>
      </c>
      <c r="D318" s="30" t="str">
        <f>IF(B318="FU-ACInstall",VLOOKUP(VALUE('web survey'!D316),ref!$B$6:$C$7,2,0)&amp;" ("&amp;'web survey'!D316&amp;")",VLOOKUP(VALUE('web survey'!D316),ref!$E$6:$F$10,2,0)&amp;" ("&amp;'web survey'!D316&amp;")")</f>
        <v>Good (10)</v>
      </c>
      <c r="E318" s="32" t="str">
        <f>'web survey'!S316</f>
        <v/>
      </c>
      <c r="F318" s="30" t="str">
        <f>IF(B318="FU-ACInstall",VLOOKUP(VALUE('web survey'!E316),ref!$B$10:$C$12,2,0)&amp;" ("&amp;'web survey'!E316&amp;")",VLOOKUP(VALUE('web survey'!E316),ref!$E$13:$F$17,2,0)&amp;" ("&amp;'web survey'!E316&amp;")")</f>
        <v>Very Good (10)</v>
      </c>
      <c r="G318" s="32" t="str">
        <f>'web survey'!T316</f>
        <v/>
      </c>
      <c r="H318" s="30" t="str">
        <f>IF(B318="FU-ACInstall",VLOOKUP(VALUE('web survey'!F316),ref!$B$15:$C$17,2,0)&amp;" ("&amp;'web survey'!F316&amp;")",VLOOKUP(VALUE('web survey'!F316),ref!$E$20:$F$21,2,0)&amp;" ("&amp;'web survey'!F316&amp;")")</f>
        <v>Appropriate with SAP / in Warranty (10)</v>
      </c>
      <c r="I318" s="32" t="str">
        <f>'web survey'!U316</f>
        <v/>
      </c>
      <c r="J318" s="30" t="str">
        <f>IF(B318="FU-ACInstall","-",VLOOKUP(VALUE('web survey'!G316),ref!$E$24:$F$26,2,0)&amp;" ("&amp;'web survey'!G316&amp;")")</f>
        <v>Jelas (5)</v>
      </c>
      <c r="K318" s="28" t="str">
        <f>YEAR('web survey'!Z316)&amp;"-"&amp;IF(MONTH('web survey'!Z316)&lt;10,"0"&amp;MONTH('web survey'!Z316),MONTH('web survey'!Z316))&amp;"-"&amp;IF(DAY('web survey'!Z316)&lt;10,"0"&amp;DAY('web survey'!Z316),DAY('web survey'!Z316))&amp;" "&amp;IF(HOUR('web survey'!Z316)&lt;10,"0"&amp;HOUR('web survey'!Z316),HOUR('web survey'!Z316))&amp;":"&amp;IF(MINUTE('web survey'!Z316)&lt;10,"0"&amp;MINUTE('web survey'!Z316),MINUTE('web survey'!Z316))&amp;(":00'")</f>
        <v>2026-06-11 15:41:00'</v>
      </c>
      <c r="N318" s="22">
        <v>315</v>
      </c>
      <c r="O318" s="22" t="s">
        <v>27</v>
      </c>
      <c r="P318" s="22" t="s">
        <v>592</v>
      </c>
      <c r="Q318" s="22" t="s">
        <v>18</v>
      </c>
      <c r="R318" s="22" t="s">
        <v>17</v>
      </c>
      <c r="S318" s="22" t="s">
        <v>37</v>
      </c>
      <c r="T318" s="22" t="s">
        <v>17</v>
      </c>
      <c r="U318" s="22" t="s">
        <v>30</v>
      </c>
      <c r="V318" s="22" t="s">
        <v>17</v>
      </c>
      <c r="W318" s="22" t="s">
        <v>34</v>
      </c>
      <c r="X318" s="22" t="s">
        <v>593</v>
      </c>
    </row>
    <row r="319" spans="1:24">
      <c r="A319" s="28">
        <f>IF(B319="","",ROW()-COUNTBLANK($B$4:B319)-3)</f>
        <v>316</v>
      </c>
      <c r="B319" s="28" t="str">
        <f>'web survey'!C317</f>
        <v>FU-Z1-Eng</v>
      </c>
      <c r="C319" s="29" t="str">
        <f>'web survey'!AA317</f>
        <v>204469914</v>
      </c>
      <c r="D319" s="30" t="str">
        <f>IF(B319="FU-ACInstall",VLOOKUP(VALUE('web survey'!D317),ref!$B$6:$C$7,2,0)&amp;" ("&amp;'web survey'!D317&amp;")",VLOOKUP(VALUE('web survey'!D317),ref!$E$6:$F$10,2,0)&amp;" ("&amp;'web survey'!D317&amp;")")</f>
        <v>Good (10)</v>
      </c>
      <c r="E319" s="32" t="str">
        <f>'web survey'!S317</f>
        <v/>
      </c>
      <c r="F319" s="30" t="str">
        <f>IF(B319="FU-ACInstall",VLOOKUP(VALUE('web survey'!E317),ref!$B$10:$C$12,2,0)&amp;" ("&amp;'web survey'!E317&amp;")",VLOOKUP(VALUE('web survey'!E317),ref!$E$13:$F$17,2,0)&amp;" ("&amp;'web survey'!E317&amp;")")</f>
        <v>Good (5)</v>
      </c>
      <c r="G319" s="32" t="str">
        <f>'web survey'!T317</f>
        <v/>
      </c>
      <c r="H319" s="30" t="str">
        <f>IF(B319="FU-ACInstall",VLOOKUP(VALUE('web survey'!F317),ref!$B$15:$C$17,2,0)&amp;" ("&amp;'web survey'!F317&amp;")",VLOOKUP(VALUE('web survey'!F317),ref!$E$20:$F$21,2,0)&amp;" ("&amp;'web survey'!F317&amp;")")</f>
        <v>Appropriate with SAP / in Warranty (10)</v>
      </c>
      <c r="I319" s="32" t="str">
        <f>'web survey'!U317</f>
        <v/>
      </c>
      <c r="J319" s="30" t="str">
        <f>IF(B319="FU-ACInstall","-",VLOOKUP(VALUE('web survey'!G317),ref!$E$24:$F$26,2,0)&amp;" ("&amp;'web survey'!G317&amp;")")</f>
        <v>Jelas (5)</v>
      </c>
      <c r="K319" s="28" t="str">
        <f>YEAR('web survey'!Z317)&amp;"-"&amp;IF(MONTH('web survey'!Z317)&lt;10,"0"&amp;MONTH('web survey'!Z317),MONTH('web survey'!Z317))&amp;"-"&amp;IF(DAY('web survey'!Z317)&lt;10,"0"&amp;DAY('web survey'!Z317),DAY('web survey'!Z317))&amp;" "&amp;IF(HOUR('web survey'!Z317)&lt;10,"0"&amp;HOUR('web survey'!Z317),HOUR('web survey'!Z317))&amp;":"&amp;IF(MINUTE('web survey'!Z317)&lt;10,"0"&amp;MINUTE('web survey'!Z317),MINUTE('web survey'!Z317))&amp;(":00'")</f>
        <v>2026-06-11 15:41:00'</v>
      </c>
      <c r="N319" s="22">
        <v>316</v>
      </c>
      <c r="O319" s="22" t="s">
        <v>27</v>
      </c>
      <c r="P319" s="22" t="s">
        <v>594</v>
      </c>
      <c r="Q319" s="22" t="s">
        <v>18</v>
      </c>
      <c r="R319" s="22" t="s">
        <v>17</v>
      </c>
      <c r="S319" s="22" t="s">
        <v>29</v>
      </c>
      <c r="T319" s="22" t="s">
        <v>17</v>
      </c>
      <c r="U319" s="22" t="s">
        <v>30</v>
      </c>
      <c r="V319" s="22" t="s">
        <v>17</v>
      </c>
      <c r="W319" s="22" t="s">
        <v>34</v>
      </c>
      <c r="X319" s="22" t="s">
        <v>593</v>
      </c>
    </row>
    <row r="320" spans="1:24">
      <c r="A320" s="28">
        <f>IF(B320="","",ROW()-COUNTBLANK($B$4:B320)-3)</f>
        <v>317</v>
      </c>
      <c r="B320" s="28" t="str">
        <f>'web survey'!C318</f>
        <v>FU-Z1-Eng</v>
      </c>
      <c r="C320" s="29" t="str">
        <f>'web survey'!AA318</f>
        <v>204472833</v>
      </c>
      <c r="D320" s="30" t="str">
        <f>IF(B320="FU-ACInstall",VLOOKUP(VALUE('web survey'!D318),ref!$B$6:$C$7,2,0)&amp;" ("&amp;'web survey'!D318&amp;")",VLOOKUP(VALUE('web survey'!D318),ref!$E$6:$F$10,2,0)&amp;" ("&amp;'web survey'!D318&amp;")")</f>
        <v>Good (10)</v>
      </c>
      <c r="E320" s="32" t="str">
        <f>'web survey'!S318</f>
        <v/>
      </c>
      <c r="F320" s="30" t="str">
        <f>IF(B320="FU-ACInstall",VLOOKUP(VALUE('web survey'!E318),ref!$B$10:$C$12,2,0)&amp;" ("&amp;'web survey'!E318&amp;")",VLOOKUP(VALUE('web survey'!E318),ref!$E$13:$F$17,2,0)&amp;" ("&amp;'web survey'!E318&amp;")")</f>
        <v>Good (5)</v>
      </c>
      <c r="G320" s="32" t="str">
        <f>'web survey'!T318</f>
        <v/>
      </c>
      <c r="H320" s="30" t="str">
        <f>IF(B320="FU-ACInstall",VLOOKUP(VALUE('web survey'!F318),ref!$B$15:$C$17,2,0)&amp;" ("&amp;'web survey'!F318&amp;")",VLOOKUP(VALUE('web survey'!F318),ref!$E$20:$F$21,2,0)&amp;" ("&amp;'web survey'!F318&amp;")")</f>
        <v>Appropriate with SAP / in Warranty (10)</v>
      </c>
      <c r="I320" s="32" t="str">
        <f>'web survey'!U318</f>
        <v/>
      </c>
      <c r="J320" s="30" t="str">
        <f>IF(B320="FU-ACInstall","-",VLOOKUP(VALUE('web survey'!G318),ref!$E$24:$F$26,2,0)&amp;" ("&amp;'web survey'!G318&amp;")")</f>
        <v>Jelas (5)</v>
      </c>
      <c r="K320" s="28" t="str">
        <f>YEAR('web survey'!Z318)&amp;"-"&amp;IF(MONTH('web survey'!Z318)&lt;10,"0"&amp;MONTH('web survey'!Z318),MONTH('web survey'!Z318))&amp;"-"&amp;IF(DAY('web survey'!Z318)&lt;10,"0"&amp;DAY('web survey'!Z318),DAY('web survey'!Z318))&amp;" "&amp;IF(HOUR('web survey'!Z318)&lt;10,"0"&amp;HOUR('web survey'!Z318),HOUR('web survey'!Z318))&amp;":"&amp;IF(MINUTE('web survey'!Z318)&lt;10,"0"&amp;MINUTE('web survey'!Z318),MINUTE('web survey'!Z318))&amp;(":00'")</f>
        <v>2026-06-11 15:39:00'</v>
      </c>
      <c r="N320" s="22">
        <v>317</v>
      </c>
      <c r="O320" s="22" t="s">
        <v>27</v>
      </c>
      <c r="P320" s="22" t="s">
        <v>595</v>
      </c>
      <c r="Q320" s="22" t="s">
        <v>18</v>
      </c>
      <c r="R320" s="22" t="s">
        <v>17</v>
      </c>
      <c r="S320" s="22" t="s">
        <v>29</v>
      </c>
      <c r="T320" s="22" t="s">
        <v>17</v>
      </c>
      <c r="U320" s="22" t="s">
        <v>30</v>
      </c>
      <c r="V320" s="22" t="s">
        <v>17</v>
      </c>
      <c r="W320" s="22" t="s">
        <v>34</v>
      </c>
      <c r="X320" s="22" t="s">
        <v>596</v>
      </c>
    </row>
    <row r="321" spans="1:24">
      <c r="A321" s="28">
        <f>IF(B321="","",ROW()-COUNTBLANK($B$4:B321)-3)</f>
        <v>318</v>
      </c>
      <c r="B321" s="28" t="str">
        <f>'web survey'!C319</f>
        <v>FU-Z1-Eng</v>
      </c>
      <c r="C321" s="29" t="str">
        <f>'web survey'!AA319</f>
        <v>204471216</v>
      </c>
      <c r="D321" s="30" t="str">
        <f>IF(B321="FU-ACInstall",VLOOKUP(VALUE('web survey'!D319),ref!$B$6:$C$7,2,0)&amp;" ("&amp;'web survey'!D319&amp;")",VLOOKUP(VALUE('web survey'!D319),ref!$E$6:$F$10,2,0)&amp;" ("&amp;'web survey'!D319&amp;")")</f>
        <v>Good (10)</v>
      </c>
      <c r="E321" s="32" t="str">
        <f>'web survey'!S319</f>
        <v/>
      </c>
      <c r="F321" s="30" t="str">
        <f>IF(B321="FU-ACInstall",VLOOKUP(VALUE('web survey'!E319),ref!$B$10:$C$12,2,0)&amp;" ("&amp;'web survey'!E319&amp;")",VLOOKUP(VALUE('web survey'!E319),ref!$E$13:$F$17,2,0)&amp;" ("&amp;'web survey'!E319&amp;")")</f>
        <v>Very Good (10)</v>
      </c>
      <c r="G321" s="32" t="str">
        <f>'web survey'!T319</f>
        <v/>
      </c>
      <c r="H321" s="30" t="str">
        <f>IF(B321="FU-ACInstall",VLOOKUP(VALUE('web survey'!F319),ref!$B$15:$C$17,2,0)&amp;" ("&amp;'web survey'!F319&amp;")",VLOOKUP(VALUE('web survey'!F319),ref!$E$20:$F$21,2,0)&amp;" ("&amp;'web survey'!F319&amp;")")</f>
        <v>Appropriate with SAP / in Warranty (10)</v>
      </c>
      <c r="I321" s="32" t="str">
        <f>'web survey'!U319</f>
        <v/>
      </c>
      <c r="J321" s="30" t="str">
        <f>IF(B321="FU-ACInstall","-",VLOOKUP(VALUE('web survey'!G319),ref!$E$24:$F$26,2,0)&amp;" ("&amp;'web survey'!G319&amp;")")</f>
        <v>Jelas (5)</v>
      </c>
      <c r="K321" s="28" t="str">
        <f>YEAR('web survey'!Z319)&amp;"-"&amp;IF(MONTH('web survey'!Z319)&lt;10,"0"&amp;MONTH('web survey'!Z319),MONTH('web survey'!Z319))&amp;"-"&amp;IF(DAY('web survey'!Z319)&lt;10,"0"&amp;DAY('web survey'!Z319),DAY('web survey'!Z319))&amp;" "&amp;IF(HOUR('web survey'!Z319)&lt;10,"0"&amp;HOUR('web survey'!Z319),HOUR('web survey'!Z319))&amp;":"&amp;IF(MINUTE('web survey'!Z319)&lt;10,"0"&amp;MINUTE('web survey'!Z319),MINUTE('web survey'!Z319))&amp;(":00'")</f>
        <v>2026-06-11 15:38:00'</v>
      </c>
      <c r="N321" s="22">
        <v>318</v>
      </c>
      <c r="O321" s="22" t="s">
        <v>27</v>
      </c>
      <c r="P321" s="22" t="s">
        <v>597</v>
      </c>
      <c r="Q321" s="22" t="s">
        <v>18</v>
      </c>
      <c r="R321" s="22" t="s">
        <v>17</v>
      </c>
      <c r="S321" s="22" t="s">
        <v>37</v>
      </c>
      <c r="T321" s="22" t="s">
        <v>17</v>
      </c>
      <c r="U321" s="22" t="s">
        <v>30</v>
      </c>
      <c r="V321" s="22" t="s">
        <v>17</v>
      </c>
      <c r="W321" s="22" t="s">
        <v>34</v>
      </c>
      <c r="X321" s="22" t="s">
        <v>598</v>
      </c>
    </row>
    <row r="322" spans="1:24">
      <c r="A322" s="28">
        <f>IF(B322="","",ROW()-COUNTBLANK($B$4:B322)-3)</f>
        <v>319</v>
      </c>
      <c r="B322" s="28" t="str">
        <f>'web survey'!C320</f>
        <v>FU-Z1-Eng</v>
      </c>
      <c r="C322" s="29" t="str">
        <f>'web survey'!AA320</f>
        <v>100988232</v>
      </c>
      <c r="D322" s="30" t="str">
        <f>IF(B322="FU-ACInstall",VLOOKUP(VALUE('web survey'!D320),ref!$B$6:$C$7,2,0)&amp;" ("&amp;'web survey'!D320&amp;")",VLOOKUP(VALUE('web survey'!D320),ref!$E$6:$F$10,2,0)&amp;" ("&amp;'web survey'!D320&amp;")")</f>
        <v>Good (10)</v>
      </c>
      <c r="E322" s="32" t="str">
        <f>'web survey'!S320</f>
        <v/>
      </c>
      <c r="F322" s="30" t="str">
        <f>IF(B322="FU-ACInstall",VLOOKUP(VALUE('web survey'!E320),ref!$B$10:$C$12,2,0)&amp;" ("&amp;'web survey'!E320&amp;")",VLOOKUP(VALUE('web survey'!E320),ref!$E$13:$F$17,2,0)&amp;" ("&amp;'web survey'!E320&amp;")")</f>
        <v>Very Good (10)</v>
      </c>
      <c r="G322" s="32" t="str">
        <f>'web survey'!T320</f>
        <v/>
      </c>
      <c r="H322" s="30" t="str">
        <f>IF(B322="FU-ACInstall",VLOOKUP(VALUE('web survey'!F320),ref!$B$15:$C$17,2,0)&amp;" ("&amp;'web survey'!F320&amp;")",VLOOKUP(VALUE('web survey'!F320),ref!$E$20:$F$21,2,0)&amp;" ("&amp;'web survey'!F320&amp;")")</f>
        <v>Appropriate with SAP / in Warranty (10)</v>
      </c>
      <c r="I322" s="32" t="str">
        <f>'web survey'!U320</f>
        <v/>
      </c>
      <c r="J322" s="30" t="str">
        <f>IF(B322="FU-ACInstall","-",VLOOKUP(VALUE('web survey'!G320),ref!$E$24:$F$26,2,0)&amp;" ("&amp;'web survey'!G320&amp;")")</f>
        <v>Jelas (5)</v>
      </c>
      <c r="K322" s="28" t="str">
        <f>YEAR('web survey'!Z320)&amp;"-"&amp;IF(MONTH('web survey'!Z320)&lt;10,"0"&amp;MONTH('web survey'!Z320),MONTH('web survey'!Z320))&amp;"-"&amp;IF(DAY('web survey'!Z320)&lt;10,"0"&amp;DAY('web survey'!Z320),DAY('web survey'!Z320))&amp;" "&amp;IF(HOUR('web survey'!Z320)&lt;10,"0"&amp;HOUR('web survey'!Z320),HOUR('web survey'!Z320))&amp;":"&amp;IF(MINUTE('web survey'!Z320)&lt;10,"0"&amp;MINUTE('web survey'!Z320),MINUTE('web survey'!Z320))&amp;(":00'")</f>
        <v>2026-06-11 15:38:00'</v>
      </c>
      <c r="N322" s="22">
        <v>319</v>
      </c>
      <c r="O322" s="22" t="s">
        <v>27</v>
      </c>
      <c r="P322" s="22" t="s">
        <v>599</v>
      </c>
      <c r="Q322" s="22" t="s">
        <v>18</v>
      </c>
      <c r="R322" s="22" t="s">
        <v>17</v>
      </c>
      <c r="S322" s="22" t="s">
        <v>37</v>
      </c>
      <c r="T322" s="22" t="s">
        <v>17</v>
      </c>
      <c r="U322" s="22" t="s">
        <v>30</v>
      </c>
      <c r="V322" s="22" t="s">
        <v>17</v>
      </c>
      <c r="W322" s="22" t="s">
        <v>34</v>
      </c>
      <c r="X322" s="22" t="s">
        <v>598</v>
      </c>
    </row>
    <row r="323" spans="1:24">
      <c r="A323" s="28">
        <f>IF(B323="","",ROW()-COUNTBLANK($B$4:B323)-3)</f>
        <v>320</v>
      </c>
      <c r="B323" s="28" t="str">
        <f>'web survey'!C321</f>
        <v>FU-Z1-Eng</v>
      </c>
      <c r="C323" s="29" t="str">
        <f>'web survey'!AA321</f>
        <v>204470692</v>
      </c>
      <c r="D323" s="30" t="str">
        <f>IF(B323="FU-ACInstall",VLOOKUP(VALUE('web survey'!D321),ref!$B$6:$C$7,2,0)&amp;" ("&amp;'web survey'!D321&amp;")",VLOOKUP(VALUE('web survey'!D321),ref!$E$6:$F$10,2,0)&amp;" ("&amp;'web survey'!D321&amp;")")</f>
        <v>Good (10)</v>
      </c>
      <c r="E323" s="32" t="str">
        <f>'web survey'!S321</f>
        <v/>
      </c>
      <c r="F323" s="30" t="str">
        <f>IF(B323="FU-ACInstall",VLOOKUP(VALUE('web survey'!E321),ref!$B$10:$C$12,2,0)&amp;" ("&amp;'web survey'!E321&amp;")",VLOOKUP(VALUE('web survey'!E321),ref!$E$13:$F$17,2,0)&amp;" ("&amp;'web survey'!E321&amp;")")</f>
        <v>Very Good (10)</v>
      </c>
      <c r="G323" s="32" t="str">
        <f>'web survey'!T321</f>
        <v/>
      </c>
      <c r="H323" s="30" t="str">
        <f>IF(B323="FU-ACInstall",VLOOKUP(VALUE('web survey'!F321),ref!$B$15:$C$17,2,0)&amp;" ("&amp;'web survey'!F321&amp;")",VLOOKUP(VALUE('web survey'!F321),ref!$E$20:$F$21,2,0)&amp;" ("&amp;'web survey'!F321&amp;")")</f>
        <v>Appropriate with SAP / in Warranty (10)</v>
      </c>
      <c r="I323" s="32" t="str">
        <f>'web survey'!U321</f>
        <v/>
      </c>
      <c r="J323" s="30" t="str">
        <f>IF(B323="FU-ACInstall","-",VLOOKUP(VALUE('web survey'!G321),ref!$E$24:$F$26,2,0)&amp;" ("&amp;'web survey'!G321&amp;")")</f>
        <v>Jelas (5)</v>
      </c>
      <c r="K323" s="28" t="str">
        <f>YEAR('web survey'!Z321)&amp;"-"&amp;IF(MONTH('web survey'!Z321)&lt;10,"0"&amp;MONTH('web survey'!Z321),MONTH('web survey'!Z321))&amp;"-"&amp;IF(DAY('web survey'!Z321)&lt;10,"0"&amp;DAY('web survey'!Z321),DAY('web survey'!Z321))&amp;" "&amp;IF(HOUR('web survey'!Z321)&lt;10,"0"&amp;HOUR('web survey'!Z321),HOUR('web survey'!Z321))&amp;":"&amp;IF(MINUTE('web survey'!Z321)&lt;10,"0"&amp;MINUTE('web survey'!Z321),MINUTE('web survey'!Z321))&amp;(":00'")</f>
        <v>2026-06-11 15:37:00'</v>
      </c>
      <c r="N323" s="22">
        <v>320</v>
      </c>
      <c r="O323" s="22" t="s">
        <v>27</v>
      </c>
      <c r="P323" s="22" t="s">
        <v>600</v>
      </c>
      <c r="Q323" s="22" t="s">
        <v>18</v>
      </c>
      <c r="R323" s="22" t="s">
        <v>17</v>
      </c>
      <c r="S323" s="22" t="s">
        <v>37</v>
      </c>
      <c r="T323" s="22" t="s">
        <v>17</v>
      </c>
      <c r="U323" s="22" t="s">
        <v>30</v>
      </c>
      <c r="V323" s="22" t="s">
        <v>17</v>
      </c>
      <c r="W323" s="22" t="s">
        <v>34</v>
      </c>
      <c r="X323" s="22" t="s">
        <v>601</v>
      </c>
    </row>
    <row r="324" spans="1:24">
      <c r="A324" s="28">
        <f>IF(B324="","",ROW()-COUNTBLANK($B$4:B324)-3)</f>
        <v>321</v>
      </c>
      <c r="B324" s="28" t="str">
        <f>'web survey'!C322</f>
        <v>FU-Z1-Eng</v>
      </c>
      <c r="C324" s="29" t="str">
        <f>'web survey'!AA322</f>
        <v>204467483</v>
      </c>
      <c r="D324" s="30" t="str">
        <f>IF(B324="FU-ACInstall",VLOOKUP(VALUE('web survey'!D322),ref!$B$6:$C$7,2,0)&amp;" ("&amp;'web survey'!D322&amp;")",VLOOKUP(VALUE('web survey'!D322),ref!$E$6:$F$10,2,0)&amp;" ("&amp;'web survey'!D322&amp;")")</f>
        <v>Good (10)</v>
      </c>
      <c r="E324" s="32" t="str">
        <f>'web survey'!S322</f>
        <v/>
      </c>
      <c r="F324" s="30" t="str">
        <f>IF(B324="FU-ACInstall",VLOOKUP(VALUE('web survey'!E322),ref!$B$10:$C$12,2,0)&amp;" ("&amp;'web survey'!E322&amp;")",VLOOKUP(VALUE('web survey'!E322),ref!$E$13:$F$17,2,0)&amp;" ("&amp;'web survey'!E322&amp;")")</f>
        <v>Very Good (10)</v>
      </c>
      <c r="G324" s="32" t="str">
        <f>'web survey'!T322</f>
        <v/>
      </c>
      <c r="H324" s="30" t="str">
        <f>IF(B324="FU-ACInstall",VLOOKUP(VALUE('web survey'!F322),ref!$B$15:$C$17,2,0)&amp;" ("&amp;'web survey'!F322&amp;")",VLOOKUP(VALUE('web survey'!F322),ref!$E$20:$F$21,2,0)&amp;" ("&amp;'web survey'!F322&amp;")")</f>
        <v>Appropriate with SAP / in Warranty (10)</v>
      </c>
      <c r="I324" s="32" t="str">
        <f>'web survey'!U322</f>
        <v/>
      </c>
      <c r="J324" s="30" t="str">
        <f>IF(B324="FU-ACInstall","-",VLOOKUP(VALUE('web survey'!G322),ref!$E$24:$F$26,2,0)&amp;" ("&amp;'web survey'!G322&amp;")")</f>
        <v>Jelas (5)</v>
      </c>
      <c r="K324" s="28" t="str">
        <f>YEAR('web survey'!Z322)&amp;"-"&amp;IF(MONTH('web survey'!Z322)&lt;10,"0"&amp;MONTH('web survey'!Z322),MONTH('web survey'!Z322))&amp;"-"&amp;IF(DAY('web survey'!Z322)&lt;10,"0"&amp;DAY('web survey'!Z322),DAY('web survey'!Z322))&amp;" "&amp;IF(HOUR('web survey'!Z322)&lt;10,"0"&amp;HOUR('web survey'!Z322),HOUR('web survey'!Z322))&amp;":"&amp;IF(MINUTE('web survey'!Z322)&lt;10,"0"&amp;MINUTE('web survey'!Z322),MINUTE('web survey'!Z322))&amp;(":00'")</f>
        <v>2026-06-11 15:36:00'</v>
      </c>
      <c r="N324" s="22">
        <v>321</v>
      </c>
      <c r="O324" s="22" t="s">
        <v>27</v>
      </c>
      <c r="P324" s="22" t="s">
        <v>602</v>
      </c>
      <c r="Q324" s="22" t="s">
        <v>18</v>
      </c>
      <c r="R324" s="22" t="s">
        <v>17</v>
      </c>
      <c r="S324" s="22" t="s">
        <v>37</v>
      </c>
      <c r="T324" s="22" t="s">
        <v>17</v>
      </c>
      <c r="U324" s="22" t="s">
        <v>30</v>
      </c>
      <c r="V324" s="22" t="s">
        <v>17</v>
      </c>
      <c r="W324" s="22" t="s">
        <v>34</v>
      </c>
      <c r="X324" s="22" t="s">
        <v>603</v>
      </c>
    </row>
    <row r="325" spans="1:24">
      <c r="A325" s="28">
        <f>IF(B325="","",ROW()-COUNTBLANK($B$4:B325)-3)</f>
        <v>322</v>
      </c>
      <c r="B325" s="28" t="str">
        <f>'web survey'!C323</f>
        <v>FU-Z1-Eng</v>
      </c>
      <c r="C325" s="29" t="str">
        <f>'web survey'!AA323</f>
        <v>204469472</v>
      </c>
      <c r="D325" s="30" t="str">
        <f>IF(B325="FU-ACInstall",VLOOKUP(VALUE('web survey'!D323),ref!$B$6:$C$7,2,0)&amp;" ("&amp;'web survey'!D323&amp;")",VLOOKUP(VALUE('web survey'!D323),ref!$E$6:$F$10,2,0)&amp;" ("&amp;'web survey'!D323&amp;")")</f>
        <v>Good (10)</v>
      </c>
      <c r="E325" s="32" t="str">
        <f>'web survey'!S323</f>
        <v/>
      </c>
      <c r="F325" s="30" t="str">
        <f>IF(B325="FU-ACInstall",VLOOKUP(VALUE('web survey'!E323),ref!$B$10:$C$12,2,0)&amp;" ("&amp;'web survey'!E323&amp;")",VLOOKUP(VALUE('web survey'!E323),ref!$E$13:$F$17,2,0)&amp;" ("&amp;'web survey'!E323&amp;")")</f>
        <v>Very Good (10)</v>
      </c>
      <c r="G325" s="32" t="str">
        <f>'web survey'!T323</f>
        <v/>
      </c>
      <c r="H325" s="30" t="str">
        <f>IF(B325="FU-ACInstall",VLOOKUP(VALUE('web survey'!F323),ref!$B$15:$C$17,2,0)&amp;" ("&amp;'web survey'!F323&amp;")",VLOOKUP(VALUE('web survey'!F323),ref!$E$20:$F$21,2,0)&amp;" ("&amp;'web survey'!F323&amp;")")</f>
        <v>Appropriate with SAP / in Warranty (10)</v>
      </c>
      <c r="I325" s="32" t="str">
        <f>'web survey'!U323</f>
        <v/>
      </c>
      <c r="J325" s="30" t="str">
        <f>IF(B325="FU-ACInstall","-",VLOOKUP(VALUE('web survey'!G323),ref!$E$24:$F$26,2,0)&amp;" ("&amp;'web survey'!G323&amp;")")</f>
        <v>Jelas (5)</v>
      </c>
      <c r="K325" s="28" t="str">
        <f>YEAR('web survey'!Z323)&amp;"-"&amp;IF(MONTH('web survey'!Z323)&lt;10,"0"&amp;MONTH('web survey'!Z323),MONTH('web survey'!Z323))&amp;"-"&amp;IF(DAY('web survey'!Z323)&lt;10,"0"&amp;DAY('web survey'!Z323),DAY('web survey'!Z323))&amp;" "&amp;IF(HOUR('web survey'!Z323)&lt;10,"0"&amp;HOUR('web survey'!Z323),HOUR('web survey'!Z323))&amp;":"&amp;IF(MINUTE('web survey'!Z323)&lt;10,"0"&amp;MINUTE('web survey'!Z323),MINUTE('web survey'!Z323))&amp;(":00'")</f>
        <v>2026-06-11 15:36:00'</v>
      </c>
      <c r="N325" s="22">
        <v>322</v>
      </c>
      <c r="O325" s="22" t="s">
        <v>27</v>
      </c>
      <c r="P325" s="22" t="s">
        <v>604</v>
      </c>
      <c r="Q325" s="22" t="s">
        <v>18</v>
      </c>
      <c r="R325" s="22" t="s">
        <v>17</v>
      </c>
      <c r="S325" s="22" t="s">
        <v>37</v>
      </c>
      <c r="T325" s="22" t="s">
        <v>17</v>
      </c>
      <c r="U325" s="22" t="s">
        <v>30</v>
      </c>
      <c r="V325" s="22" t="s">
        <v>17</v>
      </c>
      <c r="W325" s="22" t="s">
        <v>34</v>
      </c>
      <c r="X325" s="22" t="s">
        <v>603</v>
      </c>
    </row>
    <row r="326" spans="1:24">
      <c r="A326" s="28">
        <f>IF(B326="","",ROW()-COUNTBLANK($B$4:B326)-3)</f>
        <v>323</v>
      </c>
      <c r="B326" s="28" t="str">
        <f>'web survey'!C324</f>
        <v>FU-Z1-Eng</v>
      </c>
      <c r="C326" s="29" t="str">
        <f>'web survey'!AA324</f>
        <v>204466334</v>
      </c>
      <c r="D326" s="30" t="str">
        <f>IF(B326="FU-ACInstall",VLOOKUP(VALUE('web survey'!D324),ref!$B$6:$C$7,2,0)&amp;" ("&amp;'web survey'!D324&amp;")",VLOOKUP(VALUE('web survey'!D324),ref!$E$6:$F$10,2,0)&amp;" ("&amp;'web survey'!D324&amp;")")</f>
        <v>Good (10)</v>
      </c>
      <c r="E326" s="32" t="str">
        <f>'web survey'!S324</f>
        <v/>
      </c>
      <c r="F326" s="30" t="str">
        <f>IF(B326="FU-ACInstall",VLOOKUP(VALUE('web survey'!E324),ref!$B$10:$C$12,2,0)&amp;" ("&amp;'web survey'!E324&amp;")",VLOOKUP(VALUE('web survey'!E324),ref!$E$13:$F$17,2,0)&amp;" ("&amp;'web survey'!E324&amp;")")</f>
        <v>Very Good (10)</v>
      </c>
      <c r="G326" s="32" t="str">
        <f>'web survey'!T324</f>
        <v/>
      </c>
      <c r="H326" s="30" t="str">
        <f>IF(B326="FU-ACInstall",VLOOKUP(VALUE('web survey'!F324),ref!$B$15:$C$17,2,0)&amp;" ("&amp;'web survey'!F324&amp;")",VLOOKUP(VALUE('web survey'!F324),ref!$E$20:$F$21,2,0)&amp;" ("&amp;'web survey'!F324&amp;")")</f>
        <v>Appropriate with SAP / in Warranty (10)</v>
      </c>
      <c r="I326" s="32" t="str">
        <f>'web survey'!U324</f>
        <v/>
      </c>
      <c r="J326" s="30" t="str">
        <f>IF(B326="FU-ACInstall","-",VLOOKUP(VALUE('web survey'!G324),ref!$E$24:$F$26,2,0)&amp;" ("&amp;'web survey'!G324&amp;")")</f>
        <v>Jelas (5)</v>
      </c>
      <c r="K326" s="28" t="str">
        <f>YEAR('web survey'!Z324)&amp;"-"&amp;IF(MONTH('web survey'!Z324)&lt;10,"0"&amp;MONTH('web survey'!Z324),MONTH('web survey'!Z324))&amp;"-"&amp;IF(DAY('web survey'!Z324)&lt;10,"0"&amp;DAY('web survey'!Z324),DAY('web survey'!Z324))&amp;" "&amp;IF(HOUR('web survey'!Z324)&lt;10,"0"&amp;HOUR('web survey'!Z324),HOUR('web survey'!Z324))&amp;":"&amp;IF(MINUTE('web survey'!Z324)&lt;10,"0"&amp;MINUTE('web survey'!Z324),MINUTE('web survey'!Z324))&amp;(":00'")</f>
        <v>2026-06-11 15:35:00'</v>
      </c>
      <c r="N326" s="22">
        <v>323</v>
      </c>
      <c r="O326" s="22" t="s">
        <v>27</v>
      </c>
      <c r="P326" s="22" t="s">
        <v>605</v>
      </c>
      <c r="Q326" s="22" t="s">
        <v>18</v>
      </c>
      <c r="R326" s="22" t="s">
        <v>17</v>
      </c>
      <c r="S326" s="22" t="s">
        <v>37</v>
      </c>
      <c r="T326" s="22" t="s">
        <v>17</v>
      </c>
      <c r="U326" s="22" t="s">
        <v>30</v>
      </c>
      <c r="V326" s="22" t="s">
        <v>17</v>
      </c>
      <c r="W326" s="22" t="s">
        <v>34</v>
      </c>
      <c r="X326" s="22" t="s">
        <v>606</v>
      </c>
    </row>
    <row r="327" spans="1:24">
      <c r="A327" s="28">
        <f>IF(B327="","",ROW()-COUNTBLANK($B$4:B327)-3)</f>
        <v>324</v>
      </c>
      <c r="B327" s="28" t="str">
        <f>'web survey'!C325</f>
        <v>FU-Z1-Eng</v>
      </c>
      <c r="C327" s="29" t="str">
        <f>'web survey'!AA325</f>
        <v>204471772</v>
      </c>
      <c r="D327" s="30" t="str">
        <f>IF(B327="FU-ACInstall",VLOOKUP(VALUE('web survey'!D325),ref!$B$6:$C$7,2,0)&amp;" ("&amp;'web survey'!D325&amp;")",VLOOKUP(VALUE('web survey'!D325),ref!$E$6:$F$10,2,0)&amp;" ("&amp;'web survey'!D325&amp;")")</f>
        <v>Good (10)</v>
      </c>
      <c r="E327" s="32" t="str">
        <f>'web survey'!S325</f>
        <v/>
      </c>
      <c r="F327" s="30" t="str">
        <f>IF(B327="FU-ACInstall",VLOOKUP(VALUE('web survey'!E325),ref!$B$10:$C$12,2,0)&amp;" ("&amp;'web survey'!E325&amp;")",VLOOKUP(VALUE('web survey'!E325),ref!$E$13:$F$17,2,0)&amp;" ("&amp;'web survey'!E325&amp;")")</f>
        <v>Very Good (10)</v>
      </c>
      <c r="G327" s="32" t="str">
        <f>'web survey'!T325</f>
        <v/>
      </c>
      <c r="H327" s="30" t="str">
        <f>IF(B327="FU-ACInstall",VLOOKUP(VALUE('web survey'!F325),ref!$B$15:$C$17,2,0)&amp;" ("&amp;'web survey'!F325&amp;")",VLOOKUP(VALUE('web survey'!F325),ref!$E$20:$F$21,2,0)&amp;" ("&amp;'web survey'!F325&amp;")")</f>
        <v>Appropriate with SAP / in Warranty (10)</v>
      </c>
      <c r="I327" s="32" t="str">
        <f>'web survey'!U325</f>
        <v/>
      </c>
      <c r="J327" s="30" t="str">
        <f>IF(B327="FU-ACInstall","-",VLOOKUP(VALUE('web survey'!G325),ref!$E$24:$F$26,2,0)&amp;" ("&amp;'web survey'!G325&amp;")")</f>
        <v>Jelas (5)</v>
      </c>
      <c r="K327" s="28" t="str">
        <f>YEAR('web survey'!Z325)&amp;"-"&amp;IF(MONTH('web survey'!Z325)&lt;10,"0"&amp;MONTH('web survey'!Z325),MONTH('web survey'!Z325))&amp;"-"&amp;IF(DAY('web survey'!Z325)&lt;10,"0"&amp;DAY('web survey'!Z325),DAY('web survey'!Z325))&amp;" "&amp;IF(HOUR('web survey'!Z325)&lt;10,"0"&amp;HOUR('web survey'!Z325),HOUR('web survey'!Z325))&amp;":"&amp;IF(MINUTE('web survey'!Z325)&lt;10,"0"&amp;MINUTE('web survey'!Z325),MINUTE('web survey'!Z325))&amp;(":00'")</f>
        <v>2026-06-11 15:34:00'</v>
      </c>
      <c r="N327" s="22">
        <v>324</v>
      </c>
      <c r="O327" s="22" t="s">
        <v>27</v>
      </c>
      <c r="P327" s="22" t="s">
        <v>607</v>
      </c>
      <c r="Q327" s="22" t="s">
        <v>18</v>
      </c>
      <c r="R327" s="22" t="s">
        <v>17</v>
      </c>
      <c r="S327" s="22" t="s">
        <v>37</v>
      </c>
      <c r="T327" s="22" t="s">
        <v>17</v>
      </c>
      <c r="U327" s="22" t="s">
        <v>30</v>
      </c>
      <c r="V327" s="22" t="s">
        <v>17</v>
      </c>
      <c r="W327" s="22" t="s">
        <v>34</v>
      </c>
      <c r="X327" s="22" t="s">
        <v>608</v>
      </c>
    </row>
    <row r="328" spans="1:24">
      <c r="A328" s="28">
        <f>IF(B328="","",ROW()-COUNTBLANK($B$4:B328)-3)</f>
        <v>325</v>
      </c>
      <c r="B328" s="28" t="str">
        <f>'web survey'!C326</f>
        <v>FU-Z1-Eng</v>
      </c>
      <c r="C328" s="29" t="str">
        <f>'web survey'!AA326</f>
        <v>204471896</v>
      </c>
      <c r="D328" s="30" t="str">
        <f>IF(B328="FU-ACInstall",VLOOKUP(VALUE('web survey'!D326),ref!$B$6:$C$7,2,0)&amp;" ("&amp;'web survey'!D326&amp;")",VLOOKUP(VALUE('web survey'!D326),ref!$E$6:$F$10,2,0)&amp;" ("&amp;'web survey'!D326&amp;")")</f>
        <v>Good (10)</v>
      </c>
      <c r="E328" s="32" t="str">
        <f>'web survey'!S326</f>
        <v/>
      </c>
      <c r="F328" s="30" t="str">
        <f>IF(B328="FU-ACInstall",VLOOKUP(VALUE('web survey'!E326),ref!$B$10:$C$12,2,0)&amp;" ("&amp;'web survey'!E326&amp;")",VLOOKUP(VALUE('web survey'!E326),ref!$E$13:$F$17,2,0)&amp;" ("&amp;'web survey'!E326&amp;")")</f>
        <v>Very Good (10)</v>
      </c>
      <c r="G328" s="32" t="str">
        <f>'web survey'!T326</f>
        <v/>
      </c>
      <c r="H328" s="30" t="str">
        <f>IF(B328="FU-ACInstall",VLOOKUP(VALUE('web survey'!F326),ref!$B$15:$C$17,2,0)&amp;" ("&amp;'web survey'!F326&amp;")",VLOOKUP(VALUE('web survey'!F326),ref!$E$20:$F$21,2,0)&amp;" ("&amp;'web survey'!F326&amp;")")</f>
        <v>Appropriate with SAP / in Warranty (10)</v>
      </c>
      <c r="I328" s="32" t="str">
        <f>'web survey'!U326</f>
        <v/>
      </c>
      <c r="J328" s="30" t="str">
        <f>IF(B328="FU-ACInstall","-",VLOOKUP(VALUE('web survey'!G326),ref!$E$24:$F$26,2,0)&amp;" ("&amp;'web survey'!G326&amp;")")</f>
        <v>Jelas (5)</v>
      </c>
      <c r="K328" s="28" t="str">
        <f>YEAR('web survey'!Z326)&amp;"-"&amp;IF(MONTH('web survey'!Z326)&lt;10,"0"&amp;MONTH('web survey'!Z326),MONTH('web survey'!Z326))&amp;"-"&amp;IF(DAY('web survey'!Z326)&lt;10,"0"&amp;DAY('web survey'!Z326),DAY('web survey'!Z326))&amp;" "&amp;IF(HOUR('web survey'!Z326)&lt;10,"0"&amp;HOUR('web survey'!Z326),HOUR('web survey'!Z326))&amp;":"&amp;IF(MINUTE('web survey'!Z326)&lt;10,"0"&amp;MINUTE('web survey'!Z326),MINUTE('web survey'!Z326))&amp;(":00'")</f>
        <v>2026-06-11 15:33:00'</v>
      </c>
      <c r="N328" s="22">
        <v>325</v>
      </c>
      <c r="O328" s="22" t="s">
        <v>27</v>
      </c>
      <c r="P328" s="22" t="s">
        <v>609</v>
      </c>
      <c r="Q328" s="22" t="s">
        <v>18</v>
      </c>
      <c r="R328" s="22" t="s">
        <v>17</v>
      </c>
      <c r="S328" s="22" t="s">
        <v>37</v>
      </c>
      <c r="T328" s="22" t="s">
        <v>17</v>
      </c>
      <c r="U328" s="22" t="s">
        <v>30</v>
      </c>
      <c r="V328" s="22" t="s">
        <v>17</v>
      </c>
      <c r="W328" s="22" t="s">
        <v>34</v>
      </c>
      <c r="X328" s="22" t="s">
        <v>610</v>
      </c>
    </row>
    <row r="329" spans="1:24">
      <c r="A329" s="28">
        <f>IF(B329="","",ROW()-COUNTBLANK($B$4:B329)-3)</f>
        <v>326</v>
      </c>
      <c r="B329" s="28" t="str">
        <f>'web survey'!C327</f>
        <v>FU-Z1-Eng</v>
      </c>
      <c r="C329" s="29" t="str">
        <f>'web survey'!AA327</f>
        <v>204464841</v>
      </c>
      <c r="D329" s="30" t="str">
        <f>IF(B329="FU-ACInstall",VLOOKUP(VALUE('web survey'!D327),ref!$B$6:$C$7,2,0)&amp;" ("&amp;'web survey'!D327&amp;")",VLOOKUP(VALUE('web survey'!D327),ref!$E$6:$F$10,2,0)&amp;" ("&amp;'web survey'!D327&amp;")")</f>
        <v>Good (10)</v>
      </c>
      <c r="E329" s="32" t="str">
        <f>'web survey'!S327</f>
        <v/>
      </c>
      <c r="F329" s="30" t="str">
        <f>IF(B329="FU-ACInstall",VLOOKUP(VALUE('web survey'!E327),ref!$B$10:$C$12,2,0)&amp;" ("&amp;'web survey'!E327&amp;")",VLOOKUP(VALUE('web survey'!E327),ref!$E$13:$F$17,2,0)&amp;" ("&amp;'web survey'!E327&amp;")")</f>
        <v>Very Good (10)</v>
      </c>
      <c r="G329" s="32" t="str">
        <f>'web survey'!T327</f>
        <v/>
      </c>
      <c r="H329" s="30" t="str">
        <f>IF(B329="FU-ACInstall",VLOOKUP(VALUE('web survey'!F327),ref!$B$15:$C$17,2,0)&amp;" ("&amp;'web survey'!F327&amp;")",VLOOKUP(VALUE('web survey'!F327),ref!$E$20:$F$21,2,0)&amp;" ("&amp;'web survey'!F327&amp;")")</f>
        <v>Appropriate with SAP / in Warranty (10)</v>
      </c>
      <c r="I329" s="32" t="str">
        <f>'web survey'!U327</f>
        <v/>
      </c>
      <c r="J329" s="30" t="str">
        <f>IF(B329="FU-ACInstall","-",VLOOKUP(VALUE('web survey'!G327),ref!$E$24:$F$26,2,0)&amp;" ("&amp;'web survey'!G327&amp;")")</f>
        <v>Jelas (5)</v>
      </c>
      <c r="K329" s="28" t="str">
        <f>YEAR('web survey'!Z327)&amp;"-"&amp;IF(MONTH('web survey'!Z327)&lt;10,"0"&amp;MONTH('web survey'!Z327),MONTH('web survey'!Z327))&amp;"-"&amp;IF(DAY('web survey'!Z327)&lt;10,"0"&amp;DAY('web survey'!Z327),DAY('web survey'!Z327))&amp;" "&amp;IF(HOUR('web survey'!Z327)&lt;10,"0"&amp;HOUR('web survey'!Z327),HOUR('web survey'!Z327))&amp;":"&amp;IF(MINUTE('web survey'!Z327)&lt;10,"0"&amp;MINUTE('web survey'!Z327),MINUTE('web survey'!Z327))&amp;(":00'")</f>
        <v>2026-06-11 15:32:00'</v>
      </c>
      <c r="N329" s="22">
        <v>326</v>
      </c>
      <c r="O329" s="22" t="s">
        <v>27</v>
      </c>
      <c r="P329" s="22" t="s">
        <v>611</v>
      </c>
      <c r="Q329" s="22" t="s">
        <v>18</v>
      </c>
      <c r="R329" s="22" t="s">
        <v>17</v>
      </c>
      <c r="S329" s="22" t="s">
        <v>37</v>
      </c>
      <c r="T329" s="22" t="s">
        <v>17</v>
      </c>
      <c r="U329" s="22" t="s">
        <v>30</v>
      </c>
      <c r="V329" s="22" t="s">
        <v>17</v>
      </c>
      <c r="W329" s="22" t="s">
        <v>34</v>
      </c>
      <c r="X329" s="22" t="s">
        <v>612</v>
      </c>
    </row>
    <row r="330" spans="1:24">
      <c r="A330" s="28">
        <f>IF(B330="","",ROW()-COUNTBLANK($B$4:B330)-3)</f>
        <v>327</v>
      </c>
      <c r="B330" s="28" t="str">
        <f>'web survey'!C328</f>
        <v>FU-Z1-Eng</v>
      </c>
      <c r="C330" s="29" t="str">
        <f>'web survey'!AA328</f>
        <v>204469299</v>
      </c>
      <c r="D330" s="30" t="str">
        <f>IF(B330="FU-ACInstall",VLOOKUP(VALUE('web survey'!D328),ref!$B$6:$C$7,2,0)&amp;" ("&amp;'web survey'!D328&amp;")",VLOOKUP(VALUE('web survey'!D328),ref!$E$6:$F$10,2,0)&amp;" ("&amp;'web survey'!D328&amp;")")</f>
        <v>Good (10)</v>
      </c>
      <c r="E330" s="32" t="str">
        <f>'web survey'!S328</f>
        <v/>
      </c>
      <c r="F330" s="30" t="str">
        <f>IF(B330="FU-ACInstall",VLOOKUP(VALUE('web survey'!E328),ref!$B$10:$C$12,2,0)&amp;" ("&amp;'web survey'!E328&amp;")",VLOOKUP(VALUE('web survey'!E328),ref!$E$13:$F$17,2,0)&amp;" ("&amp;'web survey'!E328&amp;")")</f>
        <v>Average (3)</v>
      </c>
      <c r="G330" s="32" t="str">
        <f>'web survey'!T328</f>
        <v/>
      </c>
      <c r="H330" s="30" t="str">
        <f>IF(B330="FU-ACInstall",VLOOKUP(VALUE('web survey'!F328),ref!$B$15:$C$17,2,0)&amp;" ("&amp;'web survey'!F328&amp;")",VLOOKUP(VALUE('web survey'!F328),ref!$E$20:$F$21,2,0)&amp;" ("&amp;'web survey'!F328&amp;")")</f>
        <v>Appropriate with SAP / in Warranty (10)</v>
      </c>
      <c r="I330" s="32" t="str">
        <f>'web survey'!U328</f>
        <v/>
      </c>
      <c r="J330" s="30" t="str">
        <f>IF(B330="FU-ACInstall","-",VLOOKUP(VALUE('web survey'!G328),ref!$E$24:$F$26,2,0)&amp;" ("&amp;'web survey'!G328&amp;")")</f>
        <v>Jelas (5)</v>
      </c>
      <c r="K330" s="28" t="str">
        <f>YEAR('web survey'!Z328)&amp;"-"&amp;IF(MONTH('web survey'!Z328)&lt;10,"0"&amp;MONTH('web survey'!Z328),MONTH('web survey'!Z328))&amp;"-"&amp;IF(DAY('web survey'!Z328)&lt;10,"0"&amp;DAY('web survey'!Z328),DAY('web survey'!Z328))&amp;" "&amp;IF(HOUR('web survey'!Z328)&lt;10,"0"&amp;HOUR('web survey'!Z328),HOUR('web survey'!Z328))&amp;":"&amp;IF(MINUTE('web survey'!Z328)&lt;10,"0"&amp;MINUTE('web survey'!Z328),MINUTE('web survey'!Z328))&amp;(":00'")</f>
        <v>2026-06-11 15:30:00'</v>
      </c>
      <c r="N330" s="22">
        <v>327</v>
      </c>
      <c r="O330" s="22" t="s">
        <v>27</v>
      </c>
      <c r="P330" s="22" t="s">
        <v>613</v>
      </c>
      <c r="Q330" s="22" t="s">
        <v>18</v>
      </c>
      <c r="R330" s="22" t="s">
        <v>17</v>
      </c>
      <c r="S330" s="22" t="s">
        <v>204</v>
      </c>
      <c r="T330" s="22" t="s">
        <v>17</v>
      </c>
      <c r="U330" s="22" t="s">
        <v>30</v>
      </c>
      <c r="V330" s="22" t="s">
        <v>17</v>
      </c>
      <c r="W330" s="22" t="s">
        <v>34</v>
      </c>
      <c r="X330" s="22" t="s">
        <v>614</v>
      </c>
    </row>
    <row r="331" spans="1:24">
      <c r="A331" s="28">
        <f>IF(B331="","",ROW()-COUNTBLANK($B$4:B331)-3)</f>
        <v>328</v>
      </c>
      <c r="B331" s="28" t="str">
        <f>'web survey'!C329</f>
        <v>FU-Z1-Eng</v>
      </c>
      <c r="C331" s="29" t="str">
        <f>'web survey'!AA329</f>
        <v>204471796</v>
      </c>
      <c r="D331" s="30" t="str">
        <f>IF(B331="FU-ACInstall",VLOOKUP(VALUE('web survey'!D329),ref!$B$6:$C$7,2,0)&amp;" ("&amp;'web survey'!D329&amp;")",VLOOKUP(VALUE('web survey'!D329),ref!$E$6:$F$10,2,0)&amp;" ("&amp;'web survey'!D329&amp;")")</f>
        <v>Good (10)</v>
      </c>
      <c r="E331" s="32" t="str">
        <f>'web survey'!S329</f>
        <v/>
      </c>
      <c r="F331" s="30" t="str">
        <f>IF(B331="FU-ACInstall",VLOOKUP(VALUE('web survey'!E329),ref!$B$10:$C$12,2,0)&amp;" ("&amp;'web survey'!E329&amp;")",VLOOKUP(VALUE('web survey'!E329),ref!$E$13:$F$17,2,0)&amp;" ("&amp;'web survey'!E329&amp;")")</f>
        <v>Very Good (10)</v>
      </c>
      <c r="G331" s="32" t="str">
        <f>'web survey'!T329</f>
        <v/>
      </c>
      <c r="H331" s="30" t="str">
        <f>IF(B331="FU-ACInstall",VLOOKUP(VALUE('web survey'!F329),ref!$B$15:$C$17,2,0)&amp;" ("&amp;'web survey'!F329&amp;")",VLOOKUP(VALUE('web survey'!F329),ref!$E$20:$F$21,2,0)&amp;" ("&amp;'web survey'!F329&amp;")")</f>
        <v>Appropriate with SAP / in Warranty (10)</v>
      </c>
      <c r="I331" s="32" t="str">
        <f>'web survey'!U329</f>
        <v/>
      </c>
      <c r="J331" s="30" t="str">
        <f>IF(B331="FU-ACInstall","-",VLOOKUP(VALUE('web survey'!G329),ref!$E$24:$F$26,2,0)&amp;" ("&amp;'web survey'!G329&amp;")")</f>
        <v>Jelas (5)</v>
      </c>
      <c r="K331" s="28" t="str">
        <f>YEAR('web survey'!Z329)&amp;"-"&amp;IF(MONTH('web survey'!Z329)&lt;10,"0"&amp;MONTH('web survey'!Z329),MONTH('web survey'!Z329))&amp;"-"&amp;IF(DAY('web survey'!Z329)&lt;10,"0"&amp;DAY('web survey'!Z329),DAY('web survey'!Z329))&amp;" "&amp;IF(HOUR('web survey'!Z329)&lt;10,"0"&amp;HOUR('web survey'!Z329),HOUR('web survey'!Z329))&amp;":"&amp;IF(MINUTE('web survey'!Z329)&lt;10,"0"&amp;MINUTE('web survey'!Z329),MINUTE('web survey'!Z329))&amp;(":00'")</f>
        <v>2026-06-11 15:28:00'</v>
      </c>
      <c r="N331" s="22">
        <v>328</v>
      </c>
      <c r="O331" s="22" t="s">
        <v>27</v>
      </c>
      <c r="P331" s="22" t="s">
        <v>615</v>
      </c>
      <c r="Q331" s="22" t="s">
        <v>18</v>
      </c>
      <c r="R331" s="22" t="s">
        <v>17</v>
      </c>
      <c r="S331" s="22" t="s">
        <v>37</v>
      </c>
      <c r="T331" s="22" t="s">
        <v>17</v>
      </c>
      <c r="U331" s="22" t="s">
        <v>30</v>
      </c>
      <c r="V331" s="22" t="s">
        <v>17</v>
      </c>
      <c r="W331" s="22" t="s">
        <v>34</v>
      </c>
      <c r="X331" s="22" t="s">
        <v>616</v>
      </c>
    </row>
    <row r="332" spans="1:24">
      <c r="A332" s="28">
        <f>IF(B332="","",ROW()-COUNTBLANK($B$4:B332)-3)</f>
        <v>329</v>
      </c>
      <c r="B332" s="28" t="str">
        <f>'web survey'!C330</f>
        <v>FU-Z1-Eng</v>
      </c>
      <c r="C332" s="29" t="str">
        <f>'web survey'!AA330</f>
        <v>204455412</v>
      </c>
      <c r="D332" s="30" t="str">
        <f>IF(B332="FU-ACInstall",VLOOKUP(VALUE('web survey'!D330),ref!$B$6:$C$7,2,0)&amp;" ("&amp;'web survey'!D330&amp;")",VLOOKUP(VALUE('web survey'!D330),ref!$E$6:$F$10,2,0)&amp;" ("&amp;'web survey'!D330&amp;")")</f>
        <v>Good (10)</v>
      </c>
      <c r="E332" s="32" t="str">
        <f>'web survey'!S330</f>
        <v/>
      </c>
      <c r="F332" s="30" t="str">
        <f>IF(B332="FU-ACInstall",VLOOKUP(VALUE('web survey'!E330),ref!$B$10:$C$12,2,0)&amp;" ("&amp;'web survey'!E330&amp;")",VLOOKUP(VALUE('web survey'!E330),ref!$E$13:$F$17,2,0)&amp;" ("&amp;'web survey'!E330&amp;")")</f>
        <v>Very Good (10)</v>
      </c>
      <c r="G332" s="32" t="str">
        <f>'web survey'!T330</f>
        <v/>
      </c>
      <c r="H332" s="30" t="str">
        <f>IF(B332="FU-ACInstall",VLOOKUP(VALUE('web survey'!F330),ref!$B$15:$C$17,2,0)&amp;" ("&amp;'web survey'!F330&amp;")",VLOOKUP(VALUE('web survey'!F330),ref!$E$20:$F$21,2,0)&amp;" ("&amp;'web survey'!F330&amp;")")</f>
        <v>Appropriate with SAP / in Warranty (10)</v>
      </c>
      <c r="I332" s="32" t="str">
        <f>'web survey'!U330</f>
        <v/>
      </c>
      <c r="J332" s="30" t="str">
        <f>IF(B332="FU-ACInstall","-",VLOOKUP(VALUE('web survey'!G330),ref!$E$24:$F$26,2,0)&amp;" ("&amp;'web survey'!G330&amp;")")</f>
        <v>Jelas (5)</v>
      </c>
      <c r="K332" s="28" t="str">
        <f>YEAR('web survey'!Z330)&amp;"-"&amp;IF(MONTH('web survey'!Z330)&lt;10,"0"&amp;MONTH('web survey'!Z330),MONTH('web survey'!Z330))&amp;"-"&amp;IF(DAY('web survey'!Z330)&lt;10,"0"&amp;DAY('web survey'!Z330),DAY('web survey'!Z330))&amp;" "&amp;IF(HOUR('web survey'!Z330)&lt;10,"0"&amp;HOUR('web survey'!Z330),HOUR('web survey'!Z330))&amp;":"&amp;IF(MINUTE('web survey'!Z330)&lt;10,"0"&amp;MINUTE('web survey'!Z330),MINUTE('web survey'!Z330))&amp;(":00'")</f>
        <v>2026-06-11 15:26:00'</v>
      </c>
      <c r="N332" s="22">
        <v>329</v>
      </c>
      <c r="O332" s="22" t="s">
        <v>27</v>
      </c>
      <c r="P332" s="22" t="s">
        <v>617</v>
      </c>
      <c r="Q332" s="22" t="s">
        <v>18</v>
      </c>
      <c r="R332" s="22" t="s">
        <v>17</v>
      </c>
      <c r="S332" s="22" t="s">
        <v>37</v>
      </c>
      <c r="T332" s="22" t="s">
        <v>17</v>
      </c>
      <c r="U332" s="22" t="s">
        <v>30</v>
      </c>
      <c r="V332" s="22" t="s">
        <v>17</v>
      </c>
      <c r="W332" s="22" t="s">
        <v>34</v>
      </c>
      <c r="X332" s="22" t="s">
        <v>618</v>
      </c>
    </row>
    <row r="333" spans="1:24">
      <c r="A333" s="28">
        <f>IF(B333="","",ROW()-COUNTBLANK($B$4:B333)-3)</f>
        <v>330</v>
      </c>
      <c r="B333" s="28" t="str">
        <f>'web survey'!C331</f>
        <v>FU-Z1-Eng</v>
      </c>
      <c r="C333" s="29" t="str">
        <f>'web survey'!AA331</f>
        <v>1100355085</v>
      </c>
      <c r="D333" s="30" t="str">
        <f>IF(B333="FU-ACInstall",VLOOKUP(VALUE('web survey'!D331),ref!$B$6:$C$7,2,0)&amp;" ("&amp;'web survey'!D331&amp;")",VLOOKUP(VALUE('web survey'!D331),ref!$E$6:$F$10,2,0)&amp;" ("&amp;'web survey'!D331&amp;")")</f>
        <v>Good (10)</v>
      </c>
      <c r="E333" s="32" t="str">
        <f>'web survey'!S331</f>
        <v/>
      </c>
      <c r="F333" s="30" t="str">
        <f>IF(B333="FU-ACInstall",VLOOKUP(VALUE('web survey'!E331),ref!$B$10:$C$12,2,0)&amp;" ("&amp;'web survey'!E331&amp;")",VLOOKUP(VALUE('web survey'!E331),ref!$E$13:$F$17,2,0)&amp;" ("&amp;'web survey'!E331&amp;")")</f>
        <v>Good (5)</v>
      </c>
      <c r="G333" s="32" t="str">
        <f>'web survey'!T331</f>
        <v/>
      </c>
      <c r="H333" s="30" t="str">
        <f>IF(B333="FU-ACInstall",VLOOKUP(VALUE('web survey'!F331),ref!$B$15:$C$17,2,0)&amp;" ("&amp;'web survey'!F331&amp;")",VLOOKUP(VALUE('web survey'!F331),ref!$E$20:$F$21,2,0)&amp;" ("&amp;'web survey'!F331&amp;")")</f>
        <v>Appropriate with SAP / in Warranty (10)</v>
      </c>
      <c r="I333" s="32" t="str">
        <f>'web survey'!U331</f>
        <v/>
      </c>
      <c r="J333" s="30" t="str">
        <f>IF(B333="FU-ACInstall","-",VLOOKUP(VALUE('web survey'!G331),ref!$E$24:$F$26,2,0)&amp;" ("&amp;'web survey'!G331&amp;")")</f>
        <v>Jelas (5)</v>
      </c>
      <c r="K333" s="28" t="str">
        <f>YEAR('web survey'!Z331)&amp;"-"&amp;IF(MONTH('web survey'!Z331)&lt;10,"0"&amp;MONTH('web survey'!Z331),MONTH('web survey'!Z331))&amp;"-"&amp;IF(DAY('web survey'!Z331)&lt;10,"0"&amp;DAY('web survey'!Z331),DAY('web survey'!Z331))&amp;" "&amp;IF(HOUR('web survey'!Z331)&lt;10,"0"&amp;HOUR('web survey'!Z331),HOUR('web survey'!Z331))&amp;":"&amp;IF(MINUTE('web survey'!Z331)&lt;10,"0"&amp;MINUTE('web survey'!Z331),MINUTE('web survey'!Z331))&amp;(":00'")</f>
        <v>2026-06-11 15:25:00'</v>
      </c>
      <c r="N333" s="22">
        <v>330</v>
      </c>
      <c r="O333" s="22" t="s">
        <v>27</v>
      </c>
      <c r="P333" s="22" t="s">
        <v>619</v>
      </c>
      <c r="Q333" s="22" t="s">
        <v>18</v>
      </c>
      <c r="R333" s="22" t="s">
        <v>17</v>
      </c>
      <c r="S333" s="22" t="s">
        <v>29</v>
      </c>
      <c r="T333" s="22" t="s">
        <v>17</v>
      </c>
      <c r="U333" s="22" t="s">
        <v>30</v>
      </c>
      <c r="V333" s="22" t="s">
        <v>17</v>
      </c>
      <c r="W333" s="22" t="s">
        <v>34</v>
      </c>
      <c r="X333" s="22" t="s">
        <v>620</v>
      </c>
    </row>
    <row r="334" spans="1:24">
      <c r="A334" s="28">
        <f>IF(B334="","",ROW()-COUNTBLANK($B$4:B334)-3)</f>
        <v>331</v>
      </c>
      <c r="B334" s="28" t="str">
        <f>'web survey'!C332</f>
        <v>FU-Z1-Eng</v>
      </c>
      <c r="C334" s="29" t="str">
        <f>'web survey'!AA332</f>
        <v>204455413</v>
      </c>
      <c r="D334" s="30" t="str">
        <f>IF(B334="FU-ACInstall",VLOOKUP(VALUE('web survey'!D332),ref!$B$6:$C$7,2,0)&amp;" ("&amp;'web survey'!D332&amp;")",VLOOKUP(VALUE('web survey'!D332),ref!$E$6:$F$10,2,0)&amp;" ("&amp;'web survey'!D332&amp;")")</f>
        <v>Good (10)</v>
      </c>
      <c r="E334" s="32" t="str">
        <f>'web survey'!S332</f>
        <v/>
      </c>
      <c r="F334" s="30" t="str">
        <f>IF(B334="FU-ACInstall",VLOOKUP(VALUE('web survey'!E332),ref!$B$10:$C$12,2,0)&amp;" ("&amp;'web survey'!E332&amp;")",VLOOKUP(VALUE('web survey'!E332),ref!$E$13:$F$17,2,0)&amp;" ("&amp;'web survey'!E332&amp;")")</f>
        <v>Very Good (10)</v>
      </c>
      <c r="G334" s="32" t="str">
        <f>'web survey'!T332</f>
        <v/>
      </c>
      <c r="H334" s="30" t="str">
        <f>IF(B334="FU-ACInstall",VLOOKUP(VALUE('web survey'!F332),ref!$B$15:$C$17,2,0)&amp;" ("&amp;'web survey'!F332&amp;")",VLOOKUP(VALUE('web survey'!F332),ref!$E$20:$F$21,2,0)&amp;" ("&amp;'web survey'!F332&amp;")")</f>
        <v>Appropriate with SAP / in Warranty (10)</v>
      </c>
      <c r="I334" s="32" t="str">
        <f>'web survey'!U332</f>
        <v/>
      </c>
      <c r="J334" s="30" t="str">
        <f>IF(B334="FU-ACInstall","-",VLOOKUP(VALUE('web survey'!G332),ref!$E$24:$F$26,2,0)&amp;" ("&amp;'web survey'!G332&amp;")")</f>
        <v>Jelas (5)</v>
      </c>
      <c r="K334" s="28" t="str">
        <f>YEAR('web survey'!Z332)&amp;"-"&amp;IF(MONTH('web survey'!Z332)&lt;10,"0"&amp;MONTH('web survey'!Z332),MONTH('web survey'!Z332))&amp;"-"&amp;IF(DAY('web survey'!Z332)&lt;10,"0"&amp;DAY('web survey'!Z332),DAY('web survey'!Z332))&amp;" "&amp;IF(HOUR('web survey'!Z332)&lt;10,"0"&amp;HOUR('web survey'!Z332),HOUR('web survey'!Z332))&amp;":"&amp;IF(MINUTE('web survey'!Z332)&lt;10,"0"&amp;MINUTE('web survey'!Z332),MINUTE('web survey'!Z332))&amp;(":00'")</f>
        <v>2026-06-11 15:25:00'</v>
      </c>
      <c r="N334" s="22">
        <v>331</v>
      </c>
      <c r="O334" s="22" t="s">
        <v>27</v>
      </c>
      <c r="P334" s="22" t="s">
        <v>621</v>
      </c>
      <c r="Q334" s="22" t="s">
        <v>18</v>
      </c>
      <c r="R334" s="22" t="s">
        <v>17</v>
      </c>
      <c r="S334" s="22" t="s">
        <v>37</v>
      </c>
      <c r="T334" s="22" t="s">
        <v>17</v>
      </c>
      <c r="U334" s="22" t="s">
        <v>30</v>
      </c>
      <c r="V334" s="22" t="s">
        <v>17</v>
      </c>
      <c r="W334" s="22" t="s">
        <v>34</v>
      </c>
      <c r="X334" s="22" t="s">
        <v>620</v>
      </c>
    </row>
    <row r="335" spans="1:24">
      <c r="A335" s="28">
        <f>IF(B335="","",ROW()-COUNTBLANK($B$4:B335)-3)</f>
        <v>332</v>
      </c>
      <c r="B335" s="28" t="str">
        <f>'web survey'!C333</f>
        <v>FU-Z1-Eng</v>
      </c>
      <c r="C335" s="29" t="str">
        <f>'web survey'!AA333</f>
        <v>204471646</v>
      </c>
      <c r="D335" s="30" t="str">
        <f>IF(B335="FU-ACInstall",VLOOKUP(VALUE('web survey'!D333),ref!$B$6:$C$7,2,0)&amp;" ("&amp;'web survey'!D333&amp;")",VLOOKUP(VALUE('web survey'!D333),ref!$E$6:$F$10,2,0)&amp;" ("&amp;'web survey'!D333&amp;")")</f>
        <v>Good (10)</v>
      </c>
      <c r="E335" s="32" t="str">
        <f>'web survey'!S333</f>
        <v/>
      </c>
      <c r="F335" s="30" t="str">
        <f>IF(B335="FU-ACInstall",VLOOKUP(VALUE('web survey'!E333),ref!$B$10:$C$12,2,0)&amp;" ("&amp;'web survey'!E333&amp;")",VLOOKUP(VALUE('web survey'!E333),ref!$E$13:$F$17,2,0)&amp;" ("&amp;'web survey'!E333&amp;")")</f>
        <v>Good (5)</v>
      </c>
      <c r="G335" s="32" t="str">
        <f>'web survey'!T333</f>
        <v/>
      </c>
      <c r="H335" s="30" t="str">
        <f>IF(B335="FU-ACInstall",VLOOKUP(VALUE('web survey'!F333),ref!$B$15:$C$17,2,0)&amp;" ("&amp;'web survey'!F333&amp;")",VLOOKUP(VALUE('web survey'!F333),ref!$E$20:$F$21,2,0)&amp;" ("&amp;'web survey'!F333&amp;")")</f>
        <v>Appropriate with SAP / in Warranty (10)</v>
      </c>
      <c r="I335" s="32" t="str">
        <f>'web survey'!U333</f>
        <v/>
      </c>
      <c r="J335" s="30" t="str">
        <f>IF(B335="FU-ACInstall","-",VLOOKUP(VALUE('web survey'!G333),ref!$E$24:$F$26,2,0)&amp;" ("&amp;'web survey'!G333&amp;")")</f>
        <v>Jelas (5)</v>
      </c>
      <c r="K335" s="28" t="str">
        <f>YEAR('web survey'!Z333)&amp;"-"&amp;IF(MONTH('web survey'!Z333)&lt;10,"0"&amp;MONTH('web survey'!Z333),MONTH('web survey'!Z333))&amp;"-"&amp;IF(DAY('web survey'!Z333)&lt;10,"0"&amp;DAY('web survey'!Z333),DAY('web survey'!Z333))&amp;" "&amp;IF(HOUR('web survey'!Z333)&lt;10,"0"&amp;HOUR('web survey'!Z333),HOUR('web survey'!Z333))&amp;":"&amp;IF(MINUTE('web survey'!Z333)&lt;10,"0"&amp;MINUTE('web survey'!Z333),MINUTE('web survey'!Z333))&amp;(":00'")</f>
        <v>2026-06-11 15:25:00'</v>
      </c>
      <c r="N335" s="22">
        <v>332</v>
      </c>
      <c r="O335" s="22" t="s">
        <v>27</v>
      </c>
      <c r="P335" s="22" t="s">
        <v>622</v>
      </c>
      <c r="Q335" s="22" t="s">
        <v>18</v>
      </c>
      <c r="R335" s="22" t="s">
        <v>17</v>
      </c>
      <c r="S335" s="22" t="s">
        <v>29</v>
      </c>
      <c r="T335" s="22" t="s">
        <v>17</v>
      </c>
      <c r="U335" s="22" t="s">
        <v>30</v>
      </c>
      <c r="V335" s="22" t="s">
        <v>17</v>
      </c>
      <c r="W335" s="22" t="s">
        <v>34</v>
      </c>
      <c r="X335" s="22" t="s">
        <v>620</v>
      </c>
    </row>
    <row r="336" spans="1:24">
      <c r="A336" s="28">
        <f>IF(B336="","",ROW()-COUNTBLANK($B$4:B336)-3)</f>
        <v>333</v>
      </c>
      <c r="B336" s="28" t="str">
        <f>'web survey'!C334</f>
        <v>FU-Z1-Eng</v>
      </c>
      <c r="C336" s="29" t="str">
        <f>'web survey'!AA334</f>
        <v>204455426</v>
      </c>
      <c r="D336" s="30" t="str">
        <f>IF(B336="FU-ACInstall",VLOOKUP(VALUE('web survey'!D334),ref!$B$6:$C$7,2,0)&amp;" ("&amp;'web survey'!D334&amp;")",VLOOKUP(VALUE('web survey'!D334),ref!$E$6:$F$10,2,0)&amp;" ("&amp;'web survey'!D334&amp;")")</f>
        <v>Good (10)</v>
      </c>
      <c r="E336" s="32" t="str">
        <f>'web survey'!S334</f>
        <v/>
      </c>
      <c r="F336" s="30" t="str">
        <f>IF(B336="FU-ACInstall",VLOOKUP(VALUE('web survey'!E334),ref!$B$10:$C$12,2,0)&amp;" ("&amp;'web survey'!E334&amp;")",VLOOKUP(VALUE('web survey'!E334),ref!$E$13:$F$17,2,0)&amp;" ("&amp;'web survey'!E334&amp;")")</f>
        <v>Very Good (10)</v>
      </c>
      <c r="G336" s="32" t="str">
        <f>'web survey'!T334</f>
        <v/>
      </c>
      <c r="H336" s="30" t="str">
        <f>IF(B336="FU-ACInstall",VLOOKUP(VALUE('web survey'!F334),ref!$B$15:$C$17,2,0)&amp;" ("&amp;'web survey'!F334&amp;")",VLOOKUP(VALUE('web survey'!F334),ref!$E$20:$F$21,2,0)&amp;" ("&amp;'web survey'!F334&amp;")")</f>
        <v>Appropriate with SAP / in Warranty (10)</v>
      </c>
      <c r="I336" s="32" t="str">
        <f>'web survey'!U334</f>
        <v/>
      </c>
      <c r="J336" s="30" t="str">
        <f>IF(B336="FU-ACInstall","-",VLOOKUP(VALUE('web survey'!G334),ref!$E$24:$F$26,2,0)&amp;" ("&amp;'web survey'!G334&amp;")")</f>
        <v>Jelas (5)</v>
      </c>
      <c r="K336" s="28" t="str">
        <f>YEAR('web survey'!Z334)&amp;"-"&amp;IF(MONTH('web survey'!Z334)&lt;10,"0"&amp;MONTH('web survey'!Z334),MONTH('web survey'!Z334))&amp;"-"&amp;IF(DAY('web survey'!Z334)&lt;10,"0"&amp;DAY('web survey'!Z334),DAY('web survey'!Z334))&amp;" "&amp;IF(HOUR('web survey'!Z334)&lt;10,"0"&amp;HOUR('web survey'!Z334),HOUR('web survey'!Z334))&amp;":"&amp;IF(MINUTE('web survey'!Z334)&lt;10,"0"&amp;MINUTE('web survey'!Z334),MINUTE('web survey'!Z334))&amp;(":00'")</f>
        <v>2026-06-11 15:25:00'</v>
      </c>
      <c r="N336" s="22">
        <v>333</v>
      </c>
      <c r="O336" s="22" t="s">
        <v>27</v>
      </c>
      <c r="P336" s="22" t="s">
        <v>623</v>
      </c>
      <c r="Q336" s="22" t="s">
        <v>18</v>
      </c>
      <c r="R336" s="22" t="s">
        <v>17</v>
      </c>
      <c r="S336" s="22" t="s">
        <v>37</v>
      </c>
      <c r="T336" s="22" t="s">
        <v>17</v>
      </c>
      <c r="U336" s="22" t="s">
        <v>30</v>
      </c>
      <c r="V336" s="22" t="s">
        <v>17</v>
      </c>
      <c r="W336" s="22" t="s">
        <v>34</v>
      </c>
      <c r="X336" s="22" t="s">
        <v>620</v>
      </c>
    </row>
    <row r="337" spans="1:24">
      <c r="A337" s="28">
        <f>IF(B337="","",ROW()-COUNTBLANK($B$4:B337)-3)</f>
        <v>334</v>
      </c>
      <c r="B337" s="28" t="str">
        <f>'web survey'!C335</f>
        <v>FU-Z1-Eng</v>
      </c>
      <c r="C337" s="29" t="str">
        <f>'web survey'!AA335</f>
        <v>204455428</v>
      </c>
      <c r="D337" s="30" t="str">
        <f>IF(B337="FU-ACInstall",VLOOKUP(VALUE('web survey'!D335),ref!$B$6:$C$7,2,0)&amp;" ("&amp;'web survey'!D335&amp;")",VLOOKUP(VALUE('web survey'!D335),ref!$E$6:$F$10,2,0)&amp;" ("&amp;'web survey'!D335&amp;")")</f>
        <v>Good (10)</v>
      </c>
      <c r="E337" s="32" t="str">
        <f>'web survey'!S335</f>
        <v/>
      </c>
      <c r="F337" s="30" t="str">
        <f>IF(B337="FU-ACInstall",VLOOKUP(VALUE('web survey'!E335),ref!$B$10:$C$12,2,0)&amp;" ("&amp;'web survey'!E335&amp;")",VLOOKUP(VALUE('web survey'!E335),ref!$E$13:$F$17,2,0)&amp;" ("&amp;'web survey'!E335&amp;")")</f>
        <v>Very Good (10)</v>
      </c>
      <c r="G337" s="32" t="str">
        <f>'web survey'!T335</f>
        <v/>
      </c>
      <c r="H337" s="30" t="str">
        <f>IF(B337="FU-ACInstall",VLOOKUP(VALUE('web survey'!F335),ref!$B$15:$C$17,2,0)&amp;" ("&amp;'web survey'!F335&amp;")",VLOOKUP(VALUE('web survey'!F335),ref!$E$20:$F$21,2,0)&amp;" ("&amp;'web survey'!F335&amp;")")</f>
        <v>Appropriate with SAP / in Warranty (10)</v>
      </c>
      <c r="I337" s="32" t="str">
        <f>'web survey'!U335</f>
        <v/>
      </c>
      <c r="J337" s="30" t="str">
        <f>IF(B337="FU-ACInstall","-",VLOOKUP(VALUE('web survey'!G335),ref!$E$24:$F$26,2,0)&amp;" ("&amp;'web survey'!G335&amp;")")</f>
        <v>Jelas (5)</v>
      </c>
      <c r="K337" s="28" t="str">
        <f>YEAR('web survey'!Z335)&amp;"-"&amp;IF(MONTH('web survey'!Z335)&lt;10,"0"&amp;MONTH('web survey'!Z335),MONTH('web survey'!Z335))&amp;"-"&amp;IF(DAY('web survey'!Z335)&lt;10,"0"&amp;DAY('web survey'!Z335),DAY('web survey'!Z335))&amp;" "&amp;IF(HOUR('web survey'!Z335)&lt;10,"0"&amp;HOUR('web survey'!Z335),HOUR('web survey'!Z335))&amp;":"&amp;IF(MINUTE('web survey'!Z335)&lt;10,"0"&amp;MINUTE('web survey'!Z335),MINUTE('web survey'!Z335))&amp;(":00'")</f>
        <v>2026-06-11 15:25:00'</v>
      </c>
      <c r="N337" s="22">
        <v>334</v>
      </c>
      <c r="O337" s="22" t="s">
        <v>27</v>
      </c>
      <c r="P337" s="22" t="s">
        <v>624</v>
      </c>
      <c r="Q337" s="22" t="s">
        <v>18</v>
      </c>
      <c r="R337" s="22" t="s">
        <v>17</v>
      </c>
      <c r="S337" s="22" t="s">
        <v>37</v>
      </c>
      <c r="T337" s="22" t="s">
        <v>17</v>
      </c>
      <c r="U337" s="22" t="s">
        <v>30</v>
      </c>
      <c r="V337" s="22" t="s">
        <v>17</v>
      </c>
      <c r="W337" s="22" t="s">
        <v>34</v>
      </c>
      <c r="X337" s="22" t="s">
        <v>620</v>
      </c>
    </row>
    <row r="338" spans="1:24">
      <c r="A338" s="28">
        <f>IF(B338="","",ROW()-COUNTBLANK($B$4:B338)-3)</f>
        <v>335</v>
      </c>
      <c r="B338" s="28" t="str">
        <f>'web survey'!C336</f>
        <v>FU-Z1-Eng</v>
      </c>
      <c r="C338" s="29" t="str">
        <f>'web survey'!AA336</f>
        <v>1100355996</v>
      </c>
      <c r="D338" s="30" t="str">
        <f>IF(B338="FU-ACInstall",VLOOKUP(VALUE('web survey'!D336),ref!$B$6:$C$7,2,0)&amp;" ("&amp;'web survey'!D336&amp;")",VLOOKUP(VALUE('web survey'!D336),ref!$E$6:$F$10,2,0)&amp;" ("&amp;'web survey'!D336&amp;")")</f>
        <v>Good (10)</v>
      </c>
      <c r="E338" s="32" t="str">
        <f>'web survey'!S336</f>
        <v/>
      </c>
      <c r="F338" s="30" t="str">
        <f>IF(B338="FU-ACInstall",VLOOKUP(VALUE('web survey'!E336),ref!$B$10:$C$12,2,0)&amp;" ("&amp;'web survey'!E336&amp;")",VLOOKUP(VALUE('web survey'!E336),ref!$E$13:$F$17,2,0)&amp;" ("&amp;'web survey'!E336&amp;")")</f>
        <v>Very Good (10)</v>
      </c>
      <c r="G338" s="32" t="str">
        <f>'web survey'!T336</f>
        <v/>
      </c>
      <c r="H338" s="30" t="str">
        <f>IF(B338="FU-ACInstall",VLOOKUP(VALUE('web survey'!F336),ref!$B$15:$C$17,2,0)&amp;" ("&amp;'web survey'!F336&amp;")",VLOOKUP(VALUE('web survey'!F336),ref!$E$20:$F$21,2,0)&amp;" ("&amp;'web survey'!F336&amp;")")</f>
        <v>Appropriate with SAP / in Warranty (10)</v>
      </c>
      <c r="I338" s="32" t="str">
        <f>'web survey'!U336</f>
        <v/>
      </c>
      <c r="J338" s="30" t="str">
        <f>IF(B338="FU-ACInstall","-",VLOOKUP(VALUE('web survey'!G336),ref!$E$24:$F$26,2,0)&amp;" ("&amp;'web survey'!G336&amp;")")</f>
        <v>Jelas (5)</v>
      </c>
      <c r="K338" s="28" t="str">
        <f>YEAR('web survey'!Z336)&amp;"-"&amp;IF(MONTH('web survey'!Z336)&lt;10,"0"&amp;MONTH('web survey'!Z336),MONTH('web survey'!Z336))&amp;"-"&amp;IF(DAY('web survey'!Z336)&lt;10,"0"&amp;DAY('web survey'!Z336),DAY('web survey'!Z336))&amp;" "&amp;IF(HOUR('web survey'!Z336)&lt;10,"0"&amp;HOUR('web survey'!Z336),HOUR('web survey'!Z336))&amp;":"&amp;IF(MINUTE('web survey'!Z336)&lt;10,"0"&amp;MINUTE('web survey'!Z336),MINUTE('web survey'!Z336))&amp;(":00'")</f>
        <v>2026-06-11 15:24:00'</v>
      </c>
      <c r="N338" s="22">
        <v>335</v>
      </c>
      <c r="O338" s="22" t="s">
        <v>27</v>
      </c>
      <c r="P338" s="22" t="s">
        <v>625</v>
      </c>
      <c r="Q338" s="22" t="s">
        <v>18</v>
      </c>
      <c r="R338" s="22" t="s">
        <v>17</v>
      </c>
      <c r="S338" s="22" t="s">
        <v>37</v>
      </c>
      <c r="T338" s="22" t="s">
        <v>17</v>
      </c>
      <c r="U338" s="22" t="s">
        <v>30</v>
      </c>
      <c r="V338" s="22" t="s">
        <v>17</v>
      </c>
      <c r="W338" s="22" t="s">
        <v>34</v>
      </c>
      <c r="X338" s="22" t="s">
        <v>626</v>
      </c>
    </row>
    <row r="339" spans="1:24">
      <c r="A339" s="28">
        <f>IF(B339="","",ROW()-COUNTBLANK($B$4:B339)-3)</f>
        <v>336</v>
      </c>
      <c r="B339" s="28" t="str">
        <f>'web survey'!C337</f>
        <v>FU-Z1-Eng</v>
      </c>
      <c r="C339" s="29" t="str">
        <f>'web survey'!AA337</f>
        <v>204469662</v>
      </c>
      <c r="D339" s="30" t="str">
        <f>IF(B339="FU-ACInstall",VLOOKUP(VALUE('web survey'!D337),ref!$B$6:$C$7,2,0)&amp;" ("&amp;'web survey'!D337&amp;")",VLOOKUP(VALUE('web survey'!D337),ref!$E$6:$F$10,2,0)&amp;" ("&amp;'web survey'!D337&amp;")")</f>
        <v>Good (10)</v>
      </c>
      <c r="E339" s="32" t="str">
        <f>'web survey'!S337</f>
        <v/>
      </c>
      <c r="F339" s="30" t="str">
        <f>IF(B339="FU-ACInstall",VLOOKUP(VALUE('web survey'!E337),ref!$B$10:$C$12,2,0)&amp;" ("&amp;'web survey'!E337&amp;")",VLOOKUP(VALUE('web survey'!E337),ref!$E$13:$F$17,2,0)&amp;" ("&amp;'web survey'!E337&amp;")")</f>
        <v>Very Good (10)</v>
      </c>
      <c r="G339" s="32" t="str">
        <f>'web survey'!T337</f>
        <v/>
      </c>
      <c r="H339" s="30" t="str">
        <f>IF(B339="FU-ACInstall",VLOOKUP(VALUE('web survey'!F337),ref!$B$15:$C$17,2,0)&amp;" ("&amp;'web survey'!F337&amp;")",VLOOKUP(VALUE('web survey'!F337),ref!$E$20:$F$21,2,0)&amp;" ("&amp;'web survey'!F337&amp;")")</f>
        <v>Appropriate with SAP / in Warranty (10)</v>
      </c>
      <c r="I339" s="32" t="str">
        <f>'web survey'!U337</f>
        <v/>
      </c>
      <c r="J339" s="30" t="str">
        <f>IF(B339="FU-ACInstall","-",VLOOKUP(VALUE('web survey'!G337),ref!$E$24:$F$26,2,0)&amp;" ("&amp;'web survey'!G337&amp;")")</f>
        <v>Jelas (5)</v>
      </c>
      <c r="K339" s="28" t="str">
        <f>YEAR('web survey'!Z337)&amp;"-"&amp;IF(MONTH('web survey'!Z337)&lt;10,"0"&amp;MONTH('web survey'!Z337),MONTH('web survey'!Z337))&amp;"-"&amp;IF(DAY('web survey'!Z337)&lt;10,"0"&amp;DAY('web survey'!Z337),DAY('web survey'!Z337))&amp;" "&amp;IF(HOUR('web survey'!Z337)&lt;10,"0"&amp;HOUR('web survey'!Z337),HOUR('web survey'!Z337))&amp;":"&amp;IF(MINUTE('web survey'!Z337)&lt;10,"0"&amp;MINUTE('web survey'!Z337),MINUTE('web survey'!Z337))&amp;(":00'")</f>
        <v>2026-06-11 15:24:00'</v>
      </c>
      <c r="N339" s="22">
        <v>336</v>
      </c>
      <c r="O339" s="22" t="s">
        <v>27</v>
      </c>
      <c r="P339" s="22" t="s">
        <v>627</v>
      </c>
      <c r="Q339" s="22" t="s">
        <v>18</v>
      </c>
      <c r="R339" s="22" t="s">
        <v>17</v>
      </c>
      <c r="S339" s="22" t="s">
        <v>37</v>
      </c>
      <c r="T339" s="22" t="s">
        <v>17</v>
      </c>
      <c r="U339" s="22" t="s">
        <v>30</v>
      </c>
      <c r="V339" s="22" t="s">
        <v>17</v>
      </c>
      <c r="W339" s="22" t="s">
        <v>34</v>
      </c>
      <c r="X339" s="22" t="s">
        <v>626</v>
      </c>
    </row>
    <row r="340" spans="1:24">
      <c r="A340" s="28">
        <f>IF(B340="","",ROW()-COUNTBLANK($B$4:B340)-3)</f>
        <v>337</v>
      </c>
      <c r="B340" s="28" t="str">
        <f>'web survey'!C338</f>
        <v>FU-Z1-Eng</v>
      </c>
      <c r="C340" s="29" t="str">
        <f>'web survey'!AA338</f>
        <v>204455403</v>
      </c>
      <c r="D340" s="30" t="str">
        <f>IF(B340="FU-ACInstall",VLOOKUP(VALUE('web survey'!D338),ref!$B$6:$C$7,2,0)&amp;" ("&amp;'web survey'!D338&amp;")",VLOOKUP(VALUE('web survey'!D338),ref!$E$6:$F$10,2,0)&amp;" ("&amp;'web survey'!D338&amp;")")</f>
        <v>Good (10)</v>
      </c>
      <c r="E340" s="32" t="str">
        <f>'web survey'!S338</f>
        <v/>
      </c>
      <c r="F340" s="30" t="str">
        <f>IF(B340="FU-ACInstall",VLOOKUP(VALUE('web survey'!E338),ref!$B$10:$C$12,2,0)&amp;" ("&amp;'web survey'!E338&amp;")",VLOOKUP(VALUE('web survey'!E338),ref!$E$13:$F$17,2,0)&amp;" ("&amp;'web survey'!E338&amp;")")</f>
        <v>Very Good (10)</v>
      </c>
      <c r="G340" s="32" t="str">
        <f>'web survey'!T338</f>
        <v/>
      </c>
      <c r="H340" s="30" t="str">
        <f>IF(B340="FU-ACInstall",VLOOKUP(VALUE('web survey'!F338),ref!$B$15:$C$17,2,0)&amp;" ("&amp;'web survey'!F338&amp;")",VLOOKUP(VALUE('web survey'!F338),ref!$E$20:$F$21,2,0)&amp;" ("&amp;'web survey'!F338&amp;")")</f>
        <v>Appropriate with SAP / in Warranty (10)</v>
      </c>
      <c r="I340" s="32" t="str">
        <f>'web survey'!U338</f>
        <v/>
      </c>
      <c r="J340" s="30" t="str">
        <f>IF(B340="FU-ACInstall","-",VLOOKUP(VALUE('web survey'!G338),ref!$E$24:$F$26,2,0)&amp;" ("&amp;'web survey'!G338&amp;")")</f>
        <v>Jelas (5)</v>
      </c>
      <c r="K340" s="28" t="str">
        <f>YEAR('web survey'!Z338)&amp;"-"&amp;IF(MONTH('web survey'!Z338)&lt;10,"0"&amp;MONTH('web survey'!Z338),MONTH('web survey'!Z338))&amp;"-"&amp;IF(DAY('web survey'!Z338)&lt;10,"0"&amp;DAY('web survey'!Z338),DAY('web survey'!Z338))&amp;" "&amp;IF(HOUR('web survey'!Z338)&lt;10,"0"&amp;HOUR('web survey'!Z338),HOUR('web survey'!Z338))&amp;":"&amp;IF(MINUTE('web survey'!Z338)&lt;10,"0"&amp;MINUTE('web survey'!Z338),MINUTE('web survey'!Z338))&amp;(":00'")</f>
        <v>2026-06-11 15:24:00'</v>
      </c>
      <c r="N340" s="22">
        <v>337</v>
      </c>
      <c r="O340" s="22" t="s">
        <v>27</v>
      </c>
      <c r="P340" s="22" t="s">
        <v>628</v>
      </c>
      <c r="Q340" s="22" t="s">
        <v>18</v>
      </c>
      <c r="R340" s="22" t="s">
        <v>17</v>
      </c>
      <c r="S340" s="22" t="s">
        <v>37</v>
      </c>
      <c r="T340" s="22" t="s">
        <v>17</v>
      </c>
      <c r="U340" s="22" t="s">
        <v>30</v>
      </c>
      <c r="V340" s="22" t="s">
        <v>17</v>
      </c>
      <c r="W340" s="22" t="s">
        <v>34</v>
      </c>
      <c r="X340" s="22" t="s">
        <v>626</v>
      </c>
    </row>
    <row r="341" spans="1:24">
      <c r="A341" s="28">
        <f>IF(B341="","",ROW()-COUNTBLANK($B$4:B341)-3)</f>
        <v>338</v>
      </c>
      <c r="B341" s="28" t="str">
        <f>'web survey'!C339</f>
        <v>FU-Z1-Eng</v>
      </c>
      <c r="C341" s="29" t="str">
        <f>'web survey'!AA339</f>
        <v>204469383</v>
      </c>
      <c r="D341" s="30" t="str">
        <f>IF(B341="FU-ACInstall",VLOOKUP(VALUE('web survey'!D339),ref!$B$6:$C$7,2,0)&amp;" ("&amp;'web survey'!D339&amp;")",VLOOKUP(VALUE('web survey'!D339),ref!$E$6:$F$10,2,0)&amp;" ("&amp;'web survey'!D339&amp;")")</f>
        <v>Good (10)</v>
      </c>
      <c r="E341" s="32" t="str">
        <f>'web survey'!S339</f>
        <v/>
      </c>
      <c r="F341" s="30" t="str">
        <f>IF(B341="FU-ACInstall",VLOOKUP(VALUE('web survey'!E339),ref!$B$10:$C$12,2,0)&amp;" ("&amp;'web survey'!E339&amp;")",VLOOKUP(VALUE('web survey'!E339),ref!$E$13:$F$17,2,0)&amp;" ("&amp;'web survey'!E339&amp;")")</f>
        <v>Very Good (10)</v>
      </c>
      <c r="G341" s="32" t="str">
        <f>'web survey'!T339</f>
        <v/>
      </c>
      <c r="H341" s="30" t="str">
        <f>IF(B341="FU-ACInstall",VLOOKUP(VALUE('web survey'!F339),ref!$B$15:$C$17,2,0)&amp;" ("&amp;'web survey'!F339&amp;")",VLOOKUP(VALUE('web survey'!F339),ref!$E$20:$F$21,2,0)&amp;" ("&amp;'web survey'!F339&amp;")")</f>
        <v>Appropriate with SAP / in Warranty (10)</v>
      </c>
      <c r="I341" s="32" t="str">
        <f>'web survey'!U339</f>
        <v/>
      </c>
      <c r="J341" s="30" t="str">
        <f>IF(B341="FU-ACInstall","-",VLOOKUP(VALUE('web survey'!G339),ref!$E$24:$F$26,2,0)&amp;" ("&amp;'web survey'!G339&amp;")")</f>
        <v>Jelas (5)</v>
      </c>
      <c r="K341" s="28" t="str">
        <f>YEAR('web survey'!Z339)&amp;"-"&amp;IF(MONTH('web survey'!Z339)&lt;10,"0"&amp;MONTH('web survey'!Z339),MONTH('web survey'!Z339))&amp;"-"&amp;IF(DAY('web survey'!Z339)&lt;10,"0"&amp;DAY('web survey'!Z339),DAY('web survey'!Z339))&amp;" "&amp;IF(HOUR('web survey'!Z339)&lt;10,"0"&amp;HOUR('web survey'!Z339),HOUR('web survey'!Z339))&amp;":"&amp;IF(MINUTE('web survey'!Z339)&lt;10,"0"&amp;MINUTE('web survey'!Z339),MINUTE('web survey'!Z339))&amp;(":00'")</f>
        <v>2026-06-11 15:23:00'</v>
      </c>
      <c r="N341" s="22">
        <v>338</v>
      </c>
      <c r="O341" s="22" t="s">
        <v>27</v>
      </c>
      <c r="P341" s="22" t="s">
        <v>629</v>
      </c>
      <c r="Q341" s="22" t="s">
        <v>18</v>
      </c>
      <c r="R341" s="22" t="s">
        <v>17</v>
      </c>
      <c r="S341" s="22" t="s">
        <v>37</v>
      </c>
      <c r="T341" s="22" t="s">
        <v>17</v>
      </c>
      <c r="U341" s="22" t="s">
        <v>30</v>
      </c>
      <c r="V341" s="22" t="s">
        <v>17</v>
      </c>
      <c r="W341" s="22" t="s">
        <v>34</v>
      </c>
      <c r="X341" s="22" t="s">
        <v>630</v>
      </c>
    </row>
    <row r="342" spans="1:24">
      <c r="A342" s="28">
        <f>IF(B342="","",ROW()-COUNTBLANK($B$4:B342)-3)</f>
        <v>339</v>
      </c>
      <c r="B342" s="28" t="str">
        <f>'web survey'!C340</f>
        <v>FU-Z1-Eng</v>
      </c>
      <c r="C342" s="29" t="str">
        <f>'web survey'!AA340</f>
        <v>204460505</v>
      </c>
      <c r="D342" s="30" t="str">
        <f>IF(B342="FU-ACInstall",VLOOKUP(VALUE('web survey'!D340),ref!$B$6:$C$7,2,0)&amp;" ("&amp;'web survey'!D340&amp;")",VLOOKUP(VALUE('web survey'!D340),ref!$E$6:$F$10,2,0)&amp;" ("&amp;'web survey'!D340&amp;")")</f>
        <v>Good (10)</v>
      </c>
      <c r="E342" s="32" t="str">
        <f>'web survey'!S340</f>
        <v/>
      </c>
      <c r="F342" s="30" t="str">
        <f>IF(B342="FU-ACInstall",VLOOKUP(VALUE('web survey'!E340),ref!$B$10:$C$12,2,0)&amp;" ("&amp;'web survey'!E340&amp;")",VLOOKUP(VALUE('web survey'!E340),ref!$E$13:$F$17,2,0)&amp;" ("&amp;'web survey'!E340&amp;")")</f>
        <v>Very Good (10)</v>
      </c>
      <c r="G342" s="32" t="str">
        <f>'web survey'!T340</f>
        <v/>
      </c>
      <c r="H342" s="30" t="str">
        <f>IF(B342="FU-ACInstall",VLOOKUP(VALUE('web survey'!F340),ref!$B$15:$C$17,2,0)&amp;" ("&amp;'web survey'!F340&amp;")",VLOOKUP(VALUE('web survey'!F340),ref!$E$20:$F$21,2,0)&amp;" ("&amp;'web survey'!F340&amp;")")</f>
        <v>Appropriate with SAP / in Warranty (10)</v>
      </c>
      <c r="I342" s="32" t="str">
        <f>'web survey'!U340</f>
        <v/>
      </c>
      <c r="J342" s="30" t="str">
        <f>IF(B342="FU-ACInstall","-",VLOOKUP(VALUE('web survey'!G340),ref!$E$24:$F$26,2,0)&amp;" ("&amp;'web survey'!G340&amp;")")</f>
        <v>Jelas (5)</v>
      </c>
      <c r="K342" s="28" t="str">
        <f>YEAR('web survey'!Z340)&amp;"-"&amp;IF(MONTH('web survey'!Z340)&lt;10,"0"&amp;MONTH('web survey'!Z340),MONTH('web survey'!Z340))&amp;"-"&amp;IF(DAY('web survey'!Z340)&lt;10,"0"&amp;DAY('web survey'!Z340),DAY('web survey'!Z340))&amp;" "&amp;IF(HOUR('web survey'!Z340)&lt;10,"0"&amp;HOUR('web survey'!Z340),HOUR('web survey'!Z340))&amp;":"&amp;IF(MINUTE('web survey'!Z340)&lt;10,"0"&amp;MINUTE('web survey'!Z340),MINUTE('web survey'!Z340))&amp;(":00'")</f>
        <v>2026-06-11 15:20:00'</v>
      </c>
      <c r="N342" s="22">
        <v>339</v>
      </c>
      <c r="O342" s="22" t="s">
        <v>27</v>
      </c>
      <c r="P342" s="22" t="s">
        <v>631</v>
      </c>
      <c r="Q342" s="22" t="s">
        <v>18</v>
      </c>
      <c r="R342" s="22" t="s">
        <v>17</v>
      </c>
      <c r="S342" s="22" t="s">
        <v>37</v>
      </c>
      <c r="T342" s="22" t="s">
        <v>17</v>
      </c>
      <c r="U342" s="22" t="s">
        <v>30</v>
      </c>
      <c r="V342" s="22" t="s">
        <v>17</v>
      </c>
      <c r="W342" s="22" t="s">
        <v>34</v>
      </c>
      <c r="X342" s="22" t="s">
        <v>632</v>
      </c>
    </row>
    <row r="343" spans="1:24">
      <c r="A343" s="28">
        <f>IF(B343="","",ROW()-COUNTBLANK($B$4:B343)-3)</f>
        <v>340</v>
      </c>
      <c r="B343" s="28" t="str">
        <f>'web survey'!C341</f>
        <v>FU-Z1-Eng</v>
      </c>
      <c r="C343" s="29" t="str">
        <f>'web survey'!AA341</f>
        <v>204469987</v>
      </c>
      <c r="D343" s="30" t="str">
        <f>IF(B343="FU-ACInstall",VLOOKUP(VALUE('web survey'!D341),ref!$B$6:$C$7,2,0)&amp;" ("&amp;'web survey'!D341&amp;")",VLOOKUP(VALUE('web survey'!D341),ref!$E$6:$F$10,2,0)&amp;" ("&amp;'web survey'!D341&amp;")")</f>
        <v>Good (10)</v>
      </c>
      <c r="E343" s="32" t="str">
        <f>'web survey'!S341</f>
        <v/>
      </c>
      <c r="F343" s="30" t="str">
        <f>IF(B343="FU-ACInstall",VLOOKUP(VALUE('web survey'!E341),ref!$B$10:$C$12,2,0)&amp;" ("&amp;'web survey'!E341&amp;")",VLOOKUP(VALUE('web survey'!E341),ref!$E$13:$F$17,2,0)&amp;" ("&amp;'web survey'!E341&amp;")")</f>
        <v>Good (5)</v>
      </c>
      <c r="G343" s="32" t="str">
        <f>'web survey'!T341</f>
        <v/>
      </c>
      <c r="H343" s="30" t="str">
        <f>IF(B343="FU-ACInstall",VLOOKUP(VALUE('web survey'!F341),ref!$B$15:$C$17,2,0)&amp;" ("&amp;'web survey'!F341&amp;")",VLOOKUP(VALUE('web survey'!F341),ref!$E$20:$F$21,2,0)&amp;" ("&amp;'web survey'!F341&amp;")")</f>
        <v>Appropriate with SAP / in Warranty (10)</v>
      </c>
      <c r="I343" s="32" t="str">
        <f>'web survey'!U341</f>
        <v/>
      </c>
      <c r="J343" s="30" t="str">
        <f>IF(B343="FU-ACInstall","-",VLOOKUP(VALUE('web survey'!G341),ref!$E$24:$F$26,2,0)&amp;" ("&amp;'web survey'!G341&amp;")")</f>
        <v>Jelas (5)</v>
      </c>
      <c r="K343" s="28" t="str">
        <f>YEAR('web survey'!Z341)&amp;"-"&amp;IF(MONTH('web survey'!Z341)&lt;10,"0"&amp;MONTH('web survey'!Z341),MONTH('web survey'!Z341))&amp;"-"&amp;IF(DAY('web survey'!Z341)&lt;10,"0"&amp;DAY('web survey'!Z341),DAY('web survey'!Z341))&amp;" "&amp;IF(HOUR('web survey'!Z341)&lt;10,"0"&amp;HOUR('web survey'!Z341),HOUR('web survey'!Z341))&amp;":"&amp;IF(MINUTE('web survey'!Z341)&lt;10,"0"&amp;MINUTE('web survey'!Z341),MINUTE('web survey'!Z341))&amp;(":00'")</f>
        <v>2026-06-11 15:20:00'</v>
      </c>
      <c r="N343" s="22">
        <v>340</v>
      </c>
      <c r="O343" s="22" t="s">
        <v>27</v>
      </c>
      <c r="P343" s="22" t="s">
        <v>633</v>
      </c>
      <c r="Q343" s="22" t="s">
        <v>18</v>
      </c>
      <c r="R343" s="22" t="s">
        <v>17</v>
      </c>
      <c r="S343" s="22" t="s">
        <v>29</v>
      </c>
      <c r="T343" s="22" t="s">
        <v>17</v>
      </c>
      <c r="U343" s="22" t="s">
        <v>30</v>
      </c>
      <c r="V343" s="22" t="s">
        <v>17</v>
      </c>
      <c r="W343" s="22" t="s">
        <v>34</v>
      </c>
      <c r="X343" s="22" t="s">
        <v>632</v>
      </c>
    </row>
    <row r="344" spans="1:24">
      <c r="A344" s="28">
        <f>IF(B344="","",ROW()-COUNTBLANK($B$4:B344)-3)</f>
        <v>341</v>
      </c>
      <c r="B344" s="28" t="str">
        <f>'web survey'!C342</f>
        <v>FU-Z1-Eng</v>
      </c>
      <c r="C344" s="29" t="str">
        <f>'web survey'!AA342</f>
        <v>204466039</v>
      </c>
      <c r="D344" s="30" t="str">
        <f>IF(B344="FU-ACInstall",VLOOKUP(VALUE('web survey'!D342),ref!$B$6:$C$7,2,0)&amp;" ("&amp;'web survey'!D342&amp;")",VLOOKUP(VALUE('web survey'!D342),ref!$E$6:$F$10,2,0)&amp;" ("&amp;'web survey'!D342&amp;")")</f>
        <v>Good (10)</v>
      </c>
      <c r="E344" s="32" t="str">
        <f>'web survey'!S342</f>
        <v/>
      </c>
      <c r="F344" s="30" t="str">
        <f>IF(B344="FU-ACInstall",VLOOKUP(VALUE('web survey'!E342),ref!$B$10:$C$12,2,0)&amp;" ("&amp;'web survey'!E342&amp;")",VLOOKUP(VALUE('web survey'!E342),ref!$E$13:$F$17,2,0)&amp;" ("&amp;'web survey'!E342&amp;")")</f>
        <v>Very Good (10)</v>
      </c>
      <c r="G344" s="32" t="str">
        <f>'web survey'!T342</f>
        <v/>
      </c>
      <c r="H344" s="30" t="str">
        <f>IF(B344="FU-ACInstall",VLOOKUP(VALUE('web survey'!F342),ref!$B$15:$C$17,2,0)&amp;" ("&amp;'web survey'!F342&amp;")",VLOOKUP(VALUE('web survey'!F342),ref!$E$20:$F$21,2,0)&amp;" ("&amp;'web survey'!F342&amp;")")</f>
        <v>Appropriate with SAP / in Warranty (10)</v>
      </c>
      <c r="I344" s="32" t="str">
        <f>'web survey'!U342</f>
        <v/>
      </c>
      <c r="J344" s="30" t="str">
        <f>IF(B344="FU-ACInstall","-",VLOOKUP(VALUE('web survey'!G342),ref!$E$24:$F$26,2,0)&amp;" ("&amp;'web survey'!G342&amp;")")</f>
        <v>Jelas (5)</v>
      </c>
      <c r="K344" s="28" t="str">
        <f>YEAR('web survey'!Z342)&amp;"-"&amp;IF(MONTH('web survey'!Z342)&lt;10,"0"&amp;MONTH('web survey'!Z342),MONTH('web survey'!Z342))&amp;"-"&amp;IF(DAY('web survey'!Z342)&lt;10,"0"&amp;DAY('web survey'!Z342),DAY('web survey'!Z342))&amp;" "&amp;IF(HOUR('web survey'!Z342)&lt;10,"0"&amp;HOUR('web survey'!Z342),HOUR('web survey'!Z342))&amp;":"&amp;IF(MINUTE('web survey'!Z342)&lt;10,"0"&amp;MINUTE('web survey'!Z342),MINUTE('web survey'!Z342))&amp;(":00'")</f>
        <v>2026-06-11 15:16:00'</v>
      </c>
      <c r="N344" s="22">
        <v>341</v>
      </c>
      <c r="O344" s="22" t="s">
        <v>27</v>
      </c>
      <c r="P344" s="22" t="s">
        <v>634</v>
      </c>
      <c r="Q344" s="22" t="s">
        <v>18</v>
      </c>
      <c r="R344" s="22" t="s">
        <v>17</v>
      </c>
      <c r="S344" s="22" t="s">
        <v>37</v>
      </c>
      <c r="T344" s="22" t="s">
        <v>17</v>
      </c>
      <c r="U344" s="22" t="s">
        <v>30</v>
      </c>
      <c r="V344" s="22" t="s">
        <v>17</v>
      </c>
      <c r="W344" s="22" t="s">
        <v>34</v>
      </c>
      <c r="X344" s="22" t="s">
        <v>635</v>
      </c>
    </row>
    <row r="345" spans="1:24">
      <c r="A345" s="28">
        <f>IF(B345="","",ROW()-COUNTBLANK($B$4:B345)-3)</f>
        <v>342</v>
      </c>
      <c r="B345" s="28" t="str">
        <f>'web survey'!C343</f>
        <v>FU-Z1-Eng</v>
      </c>
      <c r="C345" s="29" t="str">
        <f>'web survey'!AA343</f>
        <v>204444639</v>
      </c>
      <c r="D345" s="30" t="str">
        <f>IF(B345="FU-ACInstall",VLOOKUP(VALUE('web survey'!D343),ref!$B$6:$C$7,2,0)&amp;" ("&amp;'web survey'!D343&amp;")",VLOOKUP(VALUE('web survey'!D343),ref!$E$6:$F$10,2,0)&amp;" ("&amp;'web survey'!D343&amp;")")</f>
        <v>Good (10)</v>
      </c>
      <c r="E345" s="32" t="str">
        <f>'web survey'!S343</f>
        <v/>
      </c>
      <c r="F345" s="30" t="str">
        <f>IF(B345="FU-ACInstall",VLOOKUP(VALUE('web survey'!E343),ref!$B$10:$C$12,2,0)&amp;" ("&amp;'web survey'!E343&amp;")",VLOOKUP(VALUE('web survey'!E343),ref!$E$13:$F$17,2,0)&amp;" ("&amp;'web survey'!E343&amp;")")</f>
        <v>Very Good (10)</v>
      </c>
      <c r="G345" s="32" t="str">
        <f>'web survey'!T343</f>
        <v/>
      </c>
      <c r="H345" s="30" t="str">
        <f>IF(B345="FU-ACInstall",VLOOKUP(VALUE('web survey'!F343),ref!$B$15:$C$17,2,0)&amp;" ("&amp;'web survey'!F343&amp;")",VLOOKUP(VALUE('web survey'!F343),ref!$E$20:$F$21,2,0)&amp;" ("&amp;'web survey'!F343&amp;")")</f>
        <v>Appropriate with SAP / in Warranty (10)</v>
      </c>
      <c r="I345" s="32" t="str">
        <f>'web survey'!U343</f>
        <v/>
      </c>
      <c r="J345" s="30" t="str">
        <f>IF(B345="FU-ACInstall","-",VLOOKUP(VALUE('web survey'!G343),ref!$E$24:$F$26,2,0)&amp;" ("&amp;'web survey'!G343&amp;")")</f>
        <v>Jelas (5)</v>
      </c>
      <c r="K345" s="28" t="str">
        <f>YEAR('web survey'!Z343)&amp;"-"&amp;IF(MONTH('web survey'!Z343)&lt;10,"0"&amp;MONTH('web survey'!Z343),MONTH('web survey'!Z343))&amp;"-"&amp;IF(DAY('web survey'!Z343)&lt;10,"0"&amp;DAY('web survey'!Z343),DAY('web survey'!Z343))&amp;" "&amp;IF(HOUR('web survey'!Z343)&lt;10,"0"&amp;HOUR('web survey'!Z343),HOUR('web survey'!Z343))&amp;":"&amp;IF(MINUTE('web survey'!Z343)&lt;10,"0"&amp;MINUTE('web survey'!Z343),MINUTE('web survey'!Z343))&amp;(":00'")</f>
        <v>2026-06-11 15:16:00'</v>
      </c>
      <c r="N345" s="22">
        <v>342</v>
      </c>
      <c r="O345" s="22" t="s">
        <v>27</v>
      </c>
      <c r="P345" s="22" t="s">
        <v>636</v>
      </c>
      <c r="Q345" s="22" t="s">
        <v>18</v>
      </c>
      <c r="R345" s="22" t="s">
        <v>17</v>
      </c>
      <c r="S345" s="22" t="s">
        <v>37</v>
      </c>
      <c r="T345" s="22" t="s">
        <v>17</v>
      </c>
      <c r="U345" s="22" t="s">
        <v>30</v>
      </c>
      <c r="V345" s="22" t="s">
        <v>17</v>
      </c>
      <c r="W345" s="22" t="s">
        <v>34</v>
      </c>
      <c r="X345" s="22" t="s">
        <v>635</v>
      </c>
    </row>
    <row r="346" spans="1:24">
      <c r="A346" s="28">
        <f>IF(B346="","",ROW()-COUNTBLANK($B$4:B346)-3)</f>
        <v>343</v>
      </c>
      <c r="B346" s="28" t="str">
        <f>'web survey'!C344</f>
        <v>FU-Z1-Eng</v>
      </c>
      <c r="C346" s="29" t="str">
        <f>'web survey'!AA344</f>
        <v>204465611</v>
      </c>
      <c r="D346" s="30" t="str">
        <f>IF(B346="FU-ACInstall",VLOOKUP(VALUE('web survey'!D344),ref!$B$6:$C$7,2,0)&amp;" ("&amp;'web survey'!D344&amp;")",VLOOKUP(VALUE('web survey'!D344),ref!$E$6:$F$10,2,0)&amp;" ("&amp;'web survey'!D344&amp;")")</f>
        <v>Good (10)</v>
      </c>
      <c r="E346" s="32" t="str">
        <f>'web survey'!S344</f>
        <v/>
      </c>
      <c r="F346" s="30" t="str">
        <f>IF(B346="FU-ACInstall",VLOOKUP(VALUE('web survey'!E344),ref!$B$10:$C$12,2,0)&amp;" ("&amp;'web survey'!E344&amp;")",VLOOKUP(VALUE('web survey'!E344),ref!$E$13:$F$17,2,0)&amp;" ("&amp;'web survey'!E344&amp;")")</f>
        <v>Very Good (10)</v>
      </c>
      <c r="G346" s="32" t="str">
        <f>'web survey'!T344</f>
        <v/>
      </c>
      <c r="H346" s="30" t="str">
        <f>IF(B346="FU-ACInstall",VLOOKUP(VALUE('web survey'!F344),ref!$B$15:$C$17,2,0)&amp;" ("&amp;'web survey'!F344&amp;")",VLOOKUP(VALUE('web survey'!F344),ref!$E$20:$F$21,2,0)&amp;" ("&amp;'web survey'!F344&amp;")")</f>
        <v>Appropriate with SAP / in Warranty (10)</v>
      </c>
      <c r="I346" s="32" t="str">
        <f>'web survey'!U344</f>
        <v/>
      </c>
      <c r="J346" s="30" t="str">
        <f>IF(B346="FU-ACInstall","-",VLOOKUP(VALUE('web survey'!G344),ref!$E$24:$F$26,2,0)&amp;" ("&amp;'web survey'!G344&amp;")")</f>
        <v>Jelas (5)</v>
      </c>
      <c r="K346" s="28" t="str">
        <f>YEAR('web survey'!Z344)&amp;"-"&amp;IF(MONTH('web survey'!Z344)&lt;10,"0"&amp;MONTH('web survey'!Z344),MONTH('web survey'!Z344))&amp;"-"&amp;IF(DAY('web survey'!Z344)&lt;10,"0"&amp;DAY('web survey'!Z344),DAY('web survey'!Z344))&amp;" "&amp;IF(HOUR('web survey'!Z344)&lt;10,"0"&amp;HOUR('web survey'!Z344),HOUR('web survey'!Z344))&amp;":"&amp;IF(MINUTE('web survey'!Z344)&lt;10,"0"&amp;MINUTE('web survey'!Z344),MINUTE('web survey'!Z344))&amp;(":00'")</f>
        <v>2026-06-11 15:14:00'</v>
      </c>
      <c r="N346" s="22">
        <v>343</v>
      </c>
      <c r="O346" s="22" t="s">
        <v>27</v>
      </c>
      <c r="P346" s="22" t="s">
        <v>637</v>
      </c>
      <c r="Q346" s="22" t="s">
        <v>18</v>
      </c>
      <c r="R346" s="22" t="s">
        <v>17</v>
      </c>
      <c r="S346" s="22" t="s">
        <v>37</v>
      </c>
      <c r="T346" s="22" t="s">
        <v>17</v>
      </c>
      <c r="U346" s="22" t="s">
        <v>30</v>
      </c>
      <c r="V346" s="22" t="s">
        <v>17</v>
      </c>
      <c r="W346" s="22" t="s">
        <v>34</v>
      </c>
      <c r="X346" s="22" t="s">
        <v>638</v>
      </c>
    </row>
    <row r="347" spans="1:24">
      <c r="A347" s="28">
        <f>IF(B347="","",ROW()-COUNTBLANK($B$4:B347)-3)</f>
        <v>344</v>
      </c>
      <c r="B347" s="28" t="str">
        <f>'web survey'!C345</f>
        <v>FU-Z1-Eng</v>
      </c>
      <c r="C347" s="29" t="str">
        <f>'web survey'!AA345</f>
        <v>204470145</v>
      </c>
      <c r="D347" s="30" t="str">
        <f>IF(B347="FU-ACInstall",VLOOKUP(VALUE('web survey'!D345),ref!$B$6:$C$7,2,0)&amp;" ("&amp;'web survey'!D345&amp;")",VLOOKUP(VALUE('web survey'!D345),ref!$E$6:$F$10,2,0)&amp;" ("&amp;'web survey'!D345&amp;")")</f>
        <v>Good (10)</v>
      </c>
      <c r="E347" s="32" t="str">
        <f>'web survey'!S345</f>
        <v/>
      </c>
      <c r="F347" s="30" t="str">
        <f>IF(B347="FU-ACInstall",VLOOKUP(VALUE('web survey'!E345),ref!$B$10:$C$12,2,0)&amp;" ("&amp;'web survey'!E345&amp;")",VLOOKUP(VALUE('web survey'!E345),ref!$E$13:$F$17,2,0)&amp;" ("&amp;'web survey'!E345&amp;")")</f>
        <v>Very Good (10)</v>
      </c>
      <c r="G347" s="32" t="str">
        <f>'web survey'!T345</f>
        <v/>
      </c>
      <c r="H347" s="30" t="str">
        <f>IF(B347="FU-ACInstall",VLOOKUP(VALUE('web survey'!F345),ref!$B$15:$C$17,2,0)&amp;" ("&amp;'web survey'!F345&amp;")",VLOOKUP(VALUE('web survey'!F345),ref!$E$20:$F$21,2,0)&amp;" ("&amp;'web survey'!F345&amp;")")</f>
        <v>Appropriate with SAP / in Warranty (10)</v>
      </c>
      <c r="I347" s="32" t="str">
        <f>'web survey'!U345</f>
        <v/>
      </c>
      <c r="J347" s="30" t="str">
        <f>IF(B347="FU-ACInstall","-",VLOOKUP(VALUE('web survey'!G345),ref!$E$24:$F$26,2,0)&amp;" ("&amp;'web survey'!G345&amp;")")</f>
        <v>Kurang jelas (3)</v>
      </c>
      <c r="K347" s="28" t="str">
        <f>YEAR('web survey'!Z345)&amp;"-"&amp;IF(MONTH('web survey'!Z345)&lt;10,"0"&amp;MONTH('web survey'!Z345),MONTH('web survey'!Z345))&amp;"-"&amp;IF(DAY('web survey'!Z345)&lt;10,"0"&amp;DAY('web survey'!Z345),DAY('web survey'!Z345))&amp;" "&amp;IF(HOUR('web survey'!Z345)&lt;10,"0"&amp;HOUR('web survey'!Z345),HOUR('web survey'!Z345))&amp;":"&amp;IF(MINUTE('web survey'!Z345)&lt;10,"0"&amp;MINUTE('web survey'!Z345),MINUTE('web survey'!Z345))&amp;(":00'")</f>
        <v>2026-06-11 15:13:00'</v>
      </c>
      <c r="N347" s="22">
        <v>344</v>
      </c>
      <c r="O347" s="22" t="s">
        <v>27</v>
      </c>
      <c r="P347" s="22" t="s">
        <v>639</v>
      </c>
      <c r="Q347" s="22" t="s">
        <v>18</v>
      </c>
      <c r="R347" s="22" t="s">
        <v>17</v>
      </c>
      <c r="S347" s="22" t="s">
        <v>37</v>
      </c>
      <c r="T347" s="22" t="s">
        <v>17</v>
      </c>
      <c r="U347" s="22" t="s">
        <v>30</v>
      </c>
      <c r="V347" s="22" t="s">
        <v>17</v>
      </c>
      <c r="W347" s="22" t="s">
        <v>154</v>
      </c>
      <c r="X347" s="22" t="s">
        <v>640</v>
      </c>
    </row>
    <row r="348" spans="1:24">
      <c r="A348" s="28">
        <f>IF(B348="","",ROW()-COUNTBLANK($B$4:B348)-3)</f>
        <v>345</v>
      </c>
      <c r="B348" s="28" t="str">
        <f>'web survey'!C346</f>
        <v>FU-Z1-Eng</v>
      </c>
      <c r="C348" s="29" t="str">
        <f>'web survey'!AA346</f>
        <v>1214A2603444</v>
      </c>
      <c r="D348" s="30" t="str">
        <f>IF(B348="FU-ACInstall",VLOOKUP(VALUE('web survey'!D346),ref!$B$6:$C$7,2,0)&amp;" ("&amp;'web survey'!D346&amp;")",VLOOKUP(VALUE('web survey'!D346),ref!$E$6:$F$10,2,0)&amp;" ("&amp;'web survey'!D346&amp;")")</f>
        <v>Good (10)</v>
      </c>
      <c r="E348" s="32" t="str">
        <f>'web survey'!S346</f>
        <v/>
      </c>
      <c r="F348" s="30" t="str">
        <f>IF(B348="FU-ACInstall",VLOOKUP(VALUE('web survey'!E346),ref!$B$10:$C$12,2,0)&amp;" ("&amp;'web survey'!E346&amp;")",VLOOKUP(VALUE('web survey'!E346),ref!$E$13:$F$17,2,0)&amp;" ("&amp;'web survey'!E346&amp;")")</f>
        <v>Very Good (10)</v>
      </c>
      <c r="G348" s="32" t="str">
        <f>'web survey'!T346</f>
        <v/>
      </c>
      <c r="H348" s="30" t="str">
        <f>IF(B348="FU-ACInstall",VLOOKUP(VALUE('web survey'!F346),ref!$B$15:$C$17,2,0)&amp;" ("&amp;'web survey'!F346&amp;")",VLOOKUP(VALUE('web survey'!F346),ref!$E$20:$F$21,2,0)&amp;" ("&amp;'web survey'!F346&amp;")")</f>
        <v>Appropriate with SAP / in Warranty (10)</v>
      </c>
      <c r="I348" s="32" t="str">
        <f>'web survey'!U346</f>
        <v/>
      </c>
      <c r="J348" s="30" t="str">
        <f>IF(B348="FU-ACInstall","-",VLOOKUP(VALUE('web survey'!G346),ref!$E$24:$F$26,2,0)&amp;" ("&amp;'web survey'!G346&amp;")")</f>
        <v>Jelas (5)</v>
      </c>
      <c r="K348" s="28" t="str">
        <f>YEAR('web survey'!Z346)&amp;"-"&amp;IF(MONTH('web survey'!Z346)&lt;10,"0"&amp;MONTH('web survey'!Z346),MONTH('web survey'!Z346))&amp;"-"&amp;IF(DAY('web survey'!Z346)&lt;10,"0"&amp;DAY('web survey'!Z346),DAY('web survey'!Z346))&amp;" "&amp;IF(HOUR('web survey'!Z346)&lt;10,"0"&amp;HOUR('web survey'!Z346),HOUR('web survey'!Z346))&amp;":"&amp;IF(MINUTE('web survey'!Z346)&lt;10,"0"&amp;MINUTE('web survey'!Z346),MINUTE('web survey'!Z346))&amp;(":00'")</f>
        <v>2026-06-11 15:13:00'</v>
      </c>
      <c r="N348" s="22">
        <v>345</v>
      </c>
      <c r="O348" s="22" t="s">
        <v>27</v>
      </c>
      <c r="P348" s="22" t="s">
        <v>641</v>
      </c>
      <c r="Q348" s="22" t="s">
        <v>18</v>
      </c>
      <c r="R348" s="22" t="s">
        <v>17</v>
      </c>
      <c r="S348" s="22" t="s">
        <v>37</v>
      </c>
      <c r="T348" s="22" t="s">
        <v>17</v>
      </c>
      <c r="U348" s="22" t="s">
        <v>30</v>
      </c>
      <c r="V348" s="22" t="s">
        <v>17</v>
      </c>
      <c r="W348" s="22" t="s">
        <v>34</v>
      </c>
      <c r="X348" s="22" t="s">
        <v>640</v>
      </c>
    </row>
    <row r="349" spans="1:24">
      <c r="A349" s="28">
        <f>IF(B349="","",ROW()-COUNTBLANK($B$4:B349)-3)</f>
        <v>346</v>
      </c>
      <c r="B349" s="28" t="str">
        <f>'web survey'!C347</f>
        <v>FU-Z1-Eng</v>
      </c>
      <c r="C349" s="29" t="str">
        <f>'web survey'!AA347</f>
        <v>204468369</v>
      </c>
      <c r="D349" s="30" t="str">
        <f>IF(B349="FU-ACInstall",VLOOKUP(VALUE('web survey'!D347),ref!$B$6:$C$7,2,0)&amp;" ("&amp;'web survey'!D347&amp;")",VLOOKUP(VALUE('web survey'!D347),ref!$E$6:$F$10,2,0)&amp;" ("&amp;'web survey'!D347&amp;")")</f>
        <v>Good (10)</v>
      </c>
      <c r="E349" s="32" t="str">
        <f>'web survey'!S347</f>
        <v/>
      </c>
      <c r="F349" s="30" t="str">
        <f>IF(B349="FU-ACInstall",VLOOKUP(VALUE('web survey'!E347),ref!$B$10:$C$12,2,0)&amp;" ("&amp;'web survey'!E347&amp;")",VLOOKUP(VALUE('web survey'!E347),ref!$E$13:$F$17,2,0)&amp;" ("&amp;'web survey'!E347&amp;")")</f>
        <v>Good (5)</v>
      </c>
      <c r="G349" s="32" t="str">
        <f>'web survey'!T347</f>
        <v/>
      </c>
      <c r="H349" s="30" t="str">
        <f>IF(B349="FU-ACInstall",VLOOKUP(VALUE('web survey'!F347),ref!$B$15:$C$17,2,0)&amp;" ("&amp;'web survey'!F347&amp;")",VLOOKUP(VALUE('web survey'!F347),ref!$E$20:$F$21,2,0)&amp;" ("&amp;'web survey'!F347&amp;")")</f>
        <v>Different with SAP (-10)</v>
      </c>
      <c r="I349" s="32" t="str">
        <f>'web survey'!U347</f>
        <v/>
      </c>
      <c r="J349" s="30" t="str">
        <f>IF(B349="FU-ACInstall","-",VLOOKUP(VALUE('web survey'!G347),ref!$E$24:$F$26,2,0)&amp;" ("&amp;'web survey'!G347&amp;")")</f>
        <v>Jelas (5)</v>
      </c>
      <c r="K349" s="28" t="str">
        <f>YEAR('web survey'!Z347)&amp;"-"&amp;IF(MONTH('web survey'!Z347)&lt;10,"0"&amp;MONTH('web survey'!Z347),MONTH('web survey'!Z347))&amp;"-"&amp;IF(DAY('web survey'!Z347)&lt;10,"0"&amp;DAY('web survey'!Z347),DAY('web survey'!Z347))&amp;" "&amp;IF(HOUR('web survey'!Z347)&lt;10,"0"&amp;HOUR('web survey'!Z347),HOUR('web survey'!Z347))&amp;":"&amp;IF(MINUTE('web survey'!Z347)&lt;10,"0"&amp;MINUTE('web survey'!Z347),MINUTE('web survey'!Z347))&amp;(":00'")</f>
        <v>2026-06-11 15:13:00'</v>
      </c>
      <c r="N349" s="22">
        <v>346</v>
      </c>
      <c r="O349" s="22" t="s">
        <v>27</v>
      </c>
      <c r="P349" s="22" t="s">
        <v>642</v>
      </c>
      <c r="Q349" s="22" t="s">
        <v>18</v>
      </c>
      <c r="R349" s="22" t="s">
        <v>17</v>
      </c>
      <c r="S349" s="22" t="s">
        <v>29</v>
      </c>
      <c r="T349" s="22" t="s">
        <v>17</v>
      </c>
      <c r="U349" s="22" t="s">
        <v>87</v>
      </c>
      <c r="V349" s="22" t="s">
        <v>17</v>
      </c>
      <c r="W349" s="22" t="s">
        <v>34</v>
      </c>
      <c r="X349" s="22" t="s">
        <v>640</v>
      </c>
    </row>
    <row r="350" spans="1:24">
      <c r="A350" s="28">
        <f>IF(B350="","",ROW()-COUNTBLANK($B$4:B350)-3)</f>
        <v>347</v>
      </c>
      <c r="B350" s="28" t="str">
        <f>'web survey'!C348</f>
        <v>FU-Z1-Eng</v>
      </c>
      <c r="C350" s="29" t="str">
        <f>'web survey'!AA348</f>
        <v>100988298</v>
      </c>
      <c r="D350" s="30" t="str">
        <f>IF(B350="FU-ACInstall",VLOOKUP(VALUE('web survey'!D348),ref!$B$6:$C$7,2,0)&amp;" ("&amp;'web survey'!D348&amp;")",VLOOKUP(VALUE('web survey'!D348),ref!$E$6:$F$10,2,0)&amp;" ("&amp;'web survey'!D348&amp;")")</f>
        <v>Good (10)</v>
      </c>
      <c r="E350" s="32" t="str">
        <f>'web survey'!S348</f>
        <v/>
      </c>
      <c r="F350" s="30" t="str">
        <f>IF(B350="FU-ACInstall",VLOOKUP(VALUE('web survey'!E348),ref!$B$10:$C$12,2,0)&amp;" ("&amp;'web survey'!E348&amp;")",VLOOKUP(VALUE('web survey'!E348),ref!$E$13:$F$17,2,0)&amp;" ("&amp;'web survey'!E348&amp;")")</f>
        <v>Very Good (10)</v>
      </c>
      <c r="G350" s="32" t="str">
        <f>'web survey'!T348</f>
        <v/>
      </c>
      <c r="H350" s="30" t="str">
        <f>IF(B350="FU-ACInstall",VLOOKUP(VALUE('web survey'!F348),ref!$B$15:$C$17,2,0)&amp;" ("&amp;'web survey'!F348&amp;")",VLOOKUP(VALUE('web survey'!F348),ref!$E$20:$F$21,2,0)&amp;" ("&amp;'web survey'!F348&amp;")")</f>
        <v>Appropriate with SAP / in Warranty (10)</v>
      </c>
      <c r="I350" s="32" t="str">
        <f>'web survey'!U348</f>
        <v/>
      </c>
      <c r="J350" s="30" t="str">
        <f>IF(B350="FU-ACInstall","-",VLOOKUP(VALUE('web survey'!G348),ref!$E$24:$F$26,2,0)&amp;" ("&amp;'web survey'!G348&amp;")")</f>
        <v>Jelas (5)</v>
      </c>
      <c r="K350" s="28" t="str">
        <f>YEAR('web survey'!Z348)&amp;"-"&amp;IF(MONTH('web survey'!Z348)&lt;10,"0"&amp;MONTH('web survey'!Z348),MONTH('web survey'!Z348))&amp;"-"&amp;IF(DAY('web survey'!Z348)&lt;10,"0"&amp;DAY('web survey'!Z348),DAY('web survey'!Z348))&amp;" "&amp;IF(HOUR('web survey'!Z348)&lt;10,"0"&amp;HOUR('web survey'!Z348),HOUR('web survey'!Z348))&amp;":"&amp;IF(MINUTE('web survey'!Z348)&lt;10,"0"&amp;MINUTE('web survey'!Z348),MINUTE('web survey'!Z348))&amp;(":00'")</f>
        <v>2026-06-11 15:12:00'</v>
      </c>
      <c r="N350" s="22">
        <v>347</v>
      </c>
      <c r="O350" s="22" t="s">
        <v>27</v>
      </c>
      <c r="P350" s="22" t="s">
        <v>643</v>
      </c>
      <c r="Q350" s="22" t="s">
        <v>18</v>
      </c>
      <c r="R350" s="22" t="s">
        <v>17</v>
      </c>
      <c r="S350" s="22" t="s">
        <v>37</v>
      </c>
      <c r="T350" s="22" t="s">
        <v>17</v>
      </c>
      <c r="U350" s="22" t="s">
        <v>30</v>
      </c>
      <c r="V350" s="22" t="s">
        <v>17</v>
      </c>
      <c r="W350" s="22" t="s">
        <v>34</v>
      </c>
      <c r="X350" s="22" t="s">
        <v>644</v>
      </c>
    </row>
    <row r="351" spans="1:24">
      <c r="A351" s="28">
        <f>IF(B351="","",ROW()-COUNTBLANK($B$4:B351)-3)</f>
        <v>348</v>
      </c>
      <c r="B351" s="28" t="str">
        <f>'web survey'!C349</f>
        <v>FU-Z1-Eng</v>
      </c>
      <c r="C351" s="29" t="str">
        <f>'web survey'!AA349</f>
        <v>100987965</v>
      </c>
      <c r="D351" s="30" t="str">
        <f>IF(B351="FU-ACInstall",VLOOKUP(VALUE('web survey'!D349),ref!$B$6:$C$7,2,0)&amp;" ("&amp;'web survey'!D349&amp;")",VLOOKUP(VALUE('web survey'!D349),ref!$E$6:$F$10,2,0)&amp;" ("&amp;'web survey'!D349&amp;")")</f>
        <v>Good (10)</v>
      </c>
      <c r="E351" s="32" t="str">
        <f>'web survey'!S349</f>
        <v/>
      </c>
      <c r="F351" s="30" t="str">
        <f>IF(B351="FU-ACInstall",VLOOKUP(VALUE('web survey'!E349),ref!$B$10:$C$12,2,0)&amp;" ("&amp;'web survey'!E349&amp;")",VLOOKUP(VALUE('web survey'!E349),ref!$E$13:$F$17,2,0)&amp;" ("&amp;'web survey'!E349&amp;")")</f>
        <v>Very Good (10)</v>
      </c>
      <c r="G351" s="32" t="str">
        <f>'web survey'!T349</f>
        <v/>
      </c>
      <c r="H351" s="30" t="str">
        <f>IF(B351="FU-ACInstall",VLOOKUP(VALUE('web survey'!F349),ref!$B$15:$C$17,2,0)&amp;" ("&amp;'web survey'!F349&amp;")",VLOOKUP(VALUE('web survey'!F349),ref!$E$20:$F$21,2,0)&amp;" ("&amp;'web survey'!F349&amp;")")</f>
        <v>Appropriate with SAP / in Warranty (10)</v>
      </c>
      <c r="I351" s="32" t="str">
        <f>'web survey'!U349</f>
        <v/>
      </c>
      <c r="J351" s="30" t="str">
        <f>IF(B351="FU-ACInstall","-",VLOOKUP(VALUE('web survey'!G349),ref!$E$24:$F$26,2,0)&amp;" ("&amp;'web survey'!G349&amp;")")</f>
        <v>Jelas (5)</v>
      </c>
      <c r="K351" s="28" t="str">
        <f>YEAR('web survey'!Z349)&amp;"-"&amp;IF(MONTH('web survey'!Z349)&lt;10,"0"&amp;MONTH('web survey'!Z349),MONTH('web survey'!Z349))&amp;"-"&amp;IF(DAY('web survey'!Z349)&lt;10,"0"&amp;DAY('web survey'!Z349),DAY('web survey'!Z349))&amp;" "&amp;IF(HOUR('web survey'!Z349)&lt;10,"0"&amp;HOUR('web survey'!Z349),HOUR('web survey'!Z349))&amp;":"&amp;IF(MINUTE('web survey'!Z349)&lt;10,"0"&amp;MINUTE('web survey'!Z349),MINUTE('web survey'!Z349))&amp;(":00'")</f>
        <v>2026-06-11 15:11:00'</v>
      </c>
      <c r="N351" s="22">
        <v>348</v>
      </c>
      <c r="O351" s="22" t="s">
        <v>27</v>
      </c>
      <c r="P351" s="22" t="s">
        <v>645</v>
      </c>
      <c r="Q351" s="22" t="s">
        <v>18</v>
      </c>
      <c r="R351" s="22" t="s">
        <v>17</v>
      </c>
      <c r="S351" s="22" t="s">
        <v>37</v>
      </c>
      <c r="T351" s="22" t="s">
        <v>17</v>
      </c>
      <c r="U351" s="22" t="s">
        <v>30</v>
      </c>
      <c r="V351" s="22" t="s">
        <v>17</v>
      </c>
      <c r="W351" s="22" t="s">
        <v>34</v>
      </c>
      <c r="X351" s="22" t="s">
        <v>646</v>
      </c>
    </row>
    <row r="352" spans="1:24">
      <c r="A352" s="28">
        <f>IF(B352="","",ROW()-COUNTBLANK($B$4:B352)-3)</f>
        <v>349</v>
      </c>
      <c r="B352" s="28" t="str">
        <f>'web survey'!C350</f>
        <v>FU-Z1-Eng</v>
      </c>
      <c r="C352" s="29" t="str">
        <f>'web survey'!AA350</f>
        <v>204441032</v>
      </c>
      <c r="D352" s="30" t="str">
        <f>IF(B352="FU-ACInstall",VLOOKUP(VALUE('web survey'!D350),ref!$B$6:$C$7,2,0)&amp;" ("&amp;'web survey'!D350&amp;")",VLOOKUP(VALUE('web survey'!D350),ref!$E$6:$F$10,2,0)&amp;" ("&amp;'web survey'!D350&amp;")")</f>
        <v>Good (10)</v>
      </c>
      <c r="E352" s="32" t="str">
        <f>'web survey'!S350</f>
        <v/>
      </c>
      <c r="F352" s="30" t="str">
        <f>IF(B352="FU-ACInstall",VLOOKUP(VALUE('web survey'!E350),ref!$B$10:$C$12,2,0)&amp;" ("&amp;'web survey'!E350&amp;")",VLOOKUP(VALUE('web survey'!E350),ref!$E$13:$F$17,2,0)&amp;" ("&amp;'web survey'!E350&amp;")")</f>
        <v>Good (5)</v>
      </c>
      <c r="G352" s="32" t="str">
        <f>'web survey'!T350</f>
        <v/>
      </c>
      <c r="H352" s="30" t="str">
        <f>IF(B352="FU-ACInstall",VLOOKUP(VALUE('web survey'!F350),ref!$B$15:$C$17,2,0)&amp;" ("&amp;'web survey'!F350&amp;")",VLOOKUP(VALUE('web survey'!F350),ref!$E$20:$F$21,2,0)&amp;" ("&amp;'web survey'!F350&amp;")")</f>
        <v>Appropriate with SAP / in Warranty (10)</v>
      </c>
      <c r="I352" s="32" t="str">
        <f>'web survey'!U350</f>
        <v/>
      </c>
      <c r="J352" s="30" t="str">
        <f>IF(B352="FU-ACInstall","-",VLOOKUP(VALUE('web survey'!G350),ref!$E$24:$F$26,2,0)&amp;" ("&amp;'web survey'!G350&amp;")")</f>
        <v>Jelas (5)</v>
      </c>
      <c r="K352" s="28" t="str">
        <f>YEAR('web survey'!Z350)&amp;"-"&amp;IF(MONTH('web survey'!Z350)&lt;10,"0"&amp;MONTH('web survey'!Z350),MONTH('web survey'!Z350))&amp;"-"&amp;IF(DAY('web survey'!Z350)&lt;10,"0"&amp;DAY('web survey'!Z350),DAY('web survey'!Z350))&amp;" "&amp;IF(HOUR('web survey'!Z350)&lt;10,"0"&amp;HOUR('web survey'!Z350),HOUR('web survey'!Z350))&amp;":"&amp;IF(MINUTE('web survey'!Z350)&lt;10,"0"&amp;MINUTE('web survey'!Z350),MINUTE('web survey'!Z350))&amp;(":00'")</f>
        <v>2026-06-11 15:10:00'</v>
      </c>
      <c r="N352" s="22">
        <v>349</v>
      </c>
      <c r="O352" s="22" t="s">
        <v>27</v>
      </c>
      <c r="P352" s="22" t="s">
        <v>647</v>
      </c>
      <c r="Q352" s="22" t="s">
        <v>18</v>
      </c>
      <c r="R352" s="22" t="s">
        <v>17</v>
      </c>
      <c r="S352" s="22" t="s">
        <v>29</v>
      </c>
      <c r="T352" s="22" t="s">
        <v>17</v>
      </c>
      <c r="U352" s="22" t="s">
        <v>30</v>
      </c>
      <c r="V352" s="22" t="s">
        <v>17</v>
      </c>
      <c r="W352" s="22" t="s">
        <v>34</v>
      </c>
      <c r="X352" s="22" t="s">
        <v>648</v>
      </c>
    </row>
    <row r="353" spans="1:24">
      <c r="A353" s="28">
        <f>IF(B353="","",ROW()-COUNTBLANK($B$4:B353)-3)</f>
        <v>350</v>
      </c>
      <c r="B353" s="28" t="str">
        <f>'web survey'!C351</f>
        <v>FU-Z1-Eng</v>
      </c>
      <c r="C353" s="29" t="str">
        <f>'web survey'!AA351</f>
        <v>204471770</v>
      </c>
      <c r="D353" s="30" t="str">
        <f>IF(B353="FU-ACInstall",VLOOKUP(VALUE('web survey'!D351),ref!$B$6:$C$7,2,0)&amp;" ("&amp;'web survey'!D351&amp;")",VLOOKUP(VALUE('web survey'!D351),ref!$E$6:$F$10,2,0)&amp;" ("&amp;'web survey'!D351&amp;")")</f>
        <v>Good (10)</v>
      </c>
      <c r="E353" s="32" t="str">
        <f>'web survey'!S351</f>
        <v/>
      </c>
      <c r="F353" s="30" t="str">
        <f>IF(B353="FU-ACInstall",VLOOKUP(VALUE('web survey'!E351),ref!$B$10:$C$12,2,0)&amp;" ("&amp;'web survey'!E351&amp;")",VLOOKUP(VALUE('web survey'!E351),ref!$E$13:$F$17,2,0)&amp;" ("&amp;'web survey'!E351&amp;")")</f>
        <v>Good (5)</v>
      </c>
      <c r="G353" s="32" t="str">
        <f>'web survey'!T351</f>
        <v/>
      </c>
      <c r="H353" s="30" t="str">
        <f>IF(B353="FU-ACInstall",VLOOKUP(VALUE('web survey'!F351),ref!$B$15:$C$17,2,0)&amp;" ("&amp;'web survey'!F351&amp;")",VLOOKUP(VALUE('web survey'!F351),ref!$E$20:$F$21,2,0)&amp;" ("&amp;'web survey'!F351&amp;")")</f>
        <v>Appropriate with SAP / in Warranty (10)</v>
      </c>
      <c r="I353" s="32" t="str">
        <f>'web survey'!U351</f>
        <v/>
      </c>
      <c r="J353" s="30" t="str">
        <f>IF(B353="FU-ACInstall","-",VLOOKUP(VALUE('web survey'!G351),ref!$E$24:$F$26,2,0)&amp;" ("&amp;'web survey'!G351&amp;")")</f>
        <v>Jelas (5)</v>
      </c>
      <c r="K353" s="28" t="str">
        <f>YEAR('web survey'!Z351)&amp;"-"&amp;IF(MONTH('web survey'!Z351)&lt;10,"0"&amp;MONTH('web survey'!Z351),MONTH('web survey'!Z351))&amp;"-"&amp;IF(DAY('web survey'!Z351)&lt;10,"0"&amp;DAY('web survey'!Z351),DAY('web survey'!Z351))&amp;" "&amp;IF(HOUR('web survey'!Z351)&lt;10,"0"&amp;HOUR('web survey'!Z351),HOUR('web survey'!Z351))&amp;":"&amp;IF(MINUTE('web survey'!Z351)&lt;10,"0"&amp;MINUTE('web survey'!Z351),MINUTE('web survey'!Z351))&amp;(":00'")</f>
        <v>2026-06-11 15:09:00'</v>
      </c>
      <c r="N353" s="22">
        <v>350</v>
      </c>
      <c r="O353" s="22" t="s">
        <v>27</v>
      </c>
      <c r="P353" s="22" t="s">
        <v>649</v>
      </c>
      <c r="Q353" s="22" t="s">
        <v>18</v>
      </c>
      <c r="R353" s="22" t="s">
        <v>17</v>
      </c>
      <c r="S353" s="22" t="s">
        <v>29</v>
      </c>
      <c r="T353" s="22" t="s">
        <v>17</v>
      </c>
      <c r="U353" s="22" t="s">
        <v>30</v>
      </c>
      <c r="V353" s="22" t="s">
        <v>17</v>
      </c>
      <c r="W353" s="22" t="s">
        <v>34</v>
      </c>
      <c r="X353" s="22" t="s">
        <v>650</v>
      </c>
    </row>
    <row r="354" spans="1:24">
      <c r="A354" s="28">
        <f>IF(B354="","",ROW()-COUNTBLANK($B$4:B354)-3)</f>
        <v>351</v>
      </c>
      <c r="B354" s="28" t="str">
        <f>'web survey'!C352</f>
        <v>FU-Z1-Eng</v>
      </c>
      <c r="C354" s="29" t="str">
        <f>'web survey'!AA352</f>
        <v>204473494</v>
      </c>
      <c r="D354" s="30" t="str">
        <f>IF(B354="FU-ACInstall",VLOOKUP(VALUE('web survey'!D352),ref!$B$6:$C$7,2,0)&amp;" ("&amp;'web survey'!D352&amp;")",VLOOKUP(VALUE('web survey'!D352),ref!$E$6:$F$10,2,0)&amp;" ("&amp;'web survey'!D352&amp;")")</f>
        <v>Good (10)</v>
      </c>
      <c r="E354" s="32" t="str">
        <f>'web survey'!S352</f>
        <v/>
      </c>
      <c r="F354" s="30" t="str">
        <f>IF(B354="FU-ACInstall",VLOOKUP(VALUE('web survey'!E352),ref!$B$10:$C$12,2,0)&amp;" ("&amp;'web survey'!E352&amp;")",VLOOKUP(VALUE('web survey'!E352),ref!$E$13:$F$17,2,0)&amp;" ("&amp;'web survey'!E352&amp;")")</f>
        <v>Very Good (10)</v>
      </c>
      <c r="G354" s="32" t="str">
        <f>'web survey'!T352</f>
        <v/>
      </c>
      <c r="H354" s="30" t="str">
        <f>IF(B354="FU-ACInstall",VLOOKUP(VALUE('web survey'!F352),ref!$B$15:$C$17,2,0)&amp;" ("&amp;'web survey'!F352&amp;")",VLOOKUP(VALUE('web survey'!F352),ref!$E$20:$F$21,2,0)&amp;" ("&amp;'web survey'!F352&amp;")")</f>
        <v>Appropriate with SAP / in Warranty (10)</v>
      </c>
      <c r="I354" s="32" t="str">
        <f>'web survey'!U352</f>
        <v/>
      </c>
      <c r="J354" s="30" t="str">
        <f>IF(B354="FU-ACInstall","-",VLOOKUP(VALUE('web survey'!G352),ref!$E$24:$F$26,2,0)&amp;" ("&amp;'web survey'!G352&amp;")")</f>
        <v>Jelas (5)</v>
      </c>
      <c r="K354" s="28" t="str">
        <f>YEAR('web survey'!Z352)&amp;"-"&amp;IF(MONTH('web survey'!Z352)&lt;10,"0"&amp;MONTH('web survey'!Z352),MONTH('web survey'!Z352))&amp;"-"&amp;IF(DAY('web survey'!Z352)&lt;10,"0"&amp;DAY('web survey'!Z352),DAY('web survey'!Z352))&amp;" "&amp;IF(HOUR('web survey'!Z352)&lt;10,"0"&amp;HOUR('web survey'!Z352),HOUR('web survey'!Z352))&amp;":"&amp;IF(MINUTE('web survey'!Z352)&lt;10,"0"&amp;MINUTE('web survey'!Z352),MINUTE('web survey'!Z352))&amp;(":00'")</f>
        <v>2026-06-11 15:08:00'</v>
      </c>
      <c r="N354" s="22">
        <v>351</v>
      </c>
      <c r="O354" s="22" t="s">
        <v>27</v>
      </c>
      <c r="P354" s="22" t="s">
        <v>651</v>
      </c>
      <c r="Q354" s="22" t="s">
        <v>18</v>
      </c>
      <c r="R354" s="22" t="s">
        <v>17</v>
      </c>
      <c r="S354" s="22" t="s">
        <v>37</v>
      </c>
      <c r="T354" s="22" t="s">
        <v>17</v>
      </c>
      <c r="U354" s="22" t="s">
        <v>30</v>
      </c>
      <c r="V354" s="22" t="s">
        <v>17</v>
      </c>
      <c r="W354" s="22" t="s">
        <v>34</v>
      </c>
      <c r="X354" s="22" t="s">
        <v>652</v>
      </c>
    </row>
    <row r="355" spans="1:24">
      <c r="A355" s="28">
        <f>IF(B355="","",ROW()-COUNTBLANK($B$4:B355)-3)</f>
        <v>352</v>
      </c>
      <c r="B355" s="28" t="str">
        <f>'web survey'!C353</f>
        <v>FU-Z1-Eng</v>
      </c>
      <c r="C355" s="29" t="str">
        <f>'web survey'!AA353</f>
        <v>204470428</v>
      </c>
      <c r="D355" s="30" t="str">
        <f>IF(B355="FU-ACInstall",VLOOKUP(VALUE('web survey'!D353),ref!$B$6:$C$7,2,0)&amp;" ("&amp;'web survey'!D353&amp;")",VLOOKUP(VALUE('web survey'!D353),ref!$E$6:$F$10,2,0)&amp;" ("&amp;'web survey'!D353&amp;")")</f>
        <v>Good (10)</v>
      </c>
      <c r="E355" s="32" t="str">
        <f>'web survey'!S353</f>
        <v/>
      </c>
      <c r="F355" s="30" t="str">
        <f>IF(B355="FU-ACInstall",VLOOKUP(VALUE('web survey'!E353),ref!$B$10:$C$12,2,0)&amp;" ("&amp;'web survey'!E353&amp;")",VLOOKUP(VALUE('web survey'!E353),ref!$E$13:$F$17,2,0)&amp;" ("&amp;'web survey'!E353&amp;")")</f>
        <v>Very Good (10)</v>
      </c>
      <c r="G355" s="32" t="str">
        <f>'web survey'!T353</f>
        <v/>
      </c>
      <c r="H355" s="30" t="str">
        <f>IF(B355="FU-ACInstall",VLOOKUP(VALUE('web survey'!F353),ref!$B$15:$C$17,2,0)&amp;" ("&amp;'web survey'!F353&amp;")",VLOOKUP(VALUE('web survey'!F353),ref!$E$20:$F$21,2,0)&amp;" ("&amp;'web survey'!F353&amp;")")</f>
        <v>Appropriate with SAP / in Warranty (10)</v>
      </c>
      <c r="I355" s="32" t="str">
        <f>'web survey'!U353</f>
        <v/>
      </c>
      <c r="J355" s="30" t="str">
        <f>IF(B355="FU-ACInstall","-",VLOOKUP(VALUE('web survey'!G353),ref!$E$24:$F$26,2,0)&amp;" ("&amp;'web survey'!G353&amp;")")</f>
        <v>Jelas (5)</v>
      </c>
      <c r="K355" s="28" t="str">
        <f>YEAR('web survey'!Z353)&amp;"-"&amp;IF(MONTH('web survey'!Z353)&lt;10,"0"&amp;MONTH('web survey'!Z353),MONTH('web survey'!Z353))&amp;"-"&amp;IF(DAY('web survey'!Z353)&lt;10,"0"&amp;DAY('web survey'!Z353),DAY('web survey'!Z353))&amp;" "&amp;IF(HOUR('web survey'!Z353)&lt;10,"0"&amp;HOUR('web survey'!Z353),HOUR('web survey'!Z353))&amp;":"&amp;IF(MINUTE('web survey'!Z353)&lt;10,"0"&amp;MINUTE('web survey'!Z353),MINUTE('web survey'!Z353))&amp;(":00'")</f>
        <v>2026-06-11 15:08:00'</v>
      </c>
      <c r="N355" s="22">
        <v>352</v>
      </c>
      <c r="O355" s="22" t="s">
        <v>27</v>
      </c>
      <c r="P355" s="22" t="s">
        <v>653</v>
      </c>
      <c r="Q355" s="22" t="s">
        <v>18</v>
      </c>
      <c r="R355" s="22" t="s">
        <v>17</v>
      </c>
      <c r="S355" s="22" t="s">
        <v>37</v>
      </c>
      <c r="T355" s="22" t="s">
        <v>17</v>
      </c>
      <c r="U355" s="22" t="s">
        <v>30</v>
      </c>
      <c r="V355" s="22" t="s">
        <v>17</v>
      </c>
      <c r="W355" s="22" t="s">
        <v>34</v>
      </c>
      <c r="X355" s="22" t="s">
        <v>652</v>
      </c>
    </row>
    <row r="356" spans="1:24">
      <c r="A356" s="28">
        <f>IF(B356="","",ROW()-COUNTBLANK($B$4:B356)-3)</f>
        <v>353</v>
      </c>
      <c r="B356" s="28" t="str">
        <f>'web survey'!C354</f>
        <v>FU-Z1-Eng</v>
      </c>
      <c r="C356" s="29" t="str">
        <f>'web survey'!AA354</f>
        <v>204467983</v>
      </c>
      <c r="D356" s="30" t="str">
        <f>IF(B356="FU-ACInstall",VLOOKUP(VALUE('web survey'!D354),ref!$B$6:$C$7,2,0)&amp;" ("&amp;'web survey'!D354&amp;")",VLOOKUP(VALUE('web survey'!D354),ref!$E$6:$F$10,2,0)&amp;" ("&amp;'web survey'!D354&amp;")")</f>
        <v>Good (10)</v>
      </c>
      <c r="E356" s="32" t="str">
        <f>'web survey'!S354</f>
        <v/>
      </c>
      <c r="F356" s="30" t="str">
        <f>IF(B356="FU-ACInstall",VLOOKUP(VALUE('web survey'!E354),ref!$B$10:$C$12,2,0)&amp;" ("&amp;'web survey'!E354&amp;")",VLOOKUP(VALUE('web survey'!E354),ref!$E$13:$F$17,2,0)&amp;" ("&amp;'web survey'!E354&amp;")")</f>
        <v>Very Good (10)</v>
      </c>
      <c r="G356" s="32" t="str">
        <f>'web survey'!T354</f>
        <v/>
      </c>
      <c r="H356" s="30" t="str">
        <f>IF(B356="FU-ACInstall",VLOOKUP(VALUE('web survey'!F354),ref!$B$15:$C$17,2,0)&amp;" ("&amp;'web survey'!F354&amp;")",VLOOKUP(VALUE('web survey'!F354),ref!$E$20:$F$21,2,0)&amp;" ("&amp;'web survey'!F354&amp;")")</f>
        <v>Appropriate with SAP / in Warranty (10)</v>
      </c>
      <c r="I356" s="32" t="str">
        <f>'web survey'!U354</f>
        <v/>
      </c>
      <c r="J356" s="30" t="str">
        <f>IF(B356="FU-ACInstall","-",VLOOKUP(VALUE('web survey'!G354),ref!$E$24:$F$26,2,0)&amp;" ("&amp;'web survey'!G354&amp;")")</f>
        <v>Jelas (5)</v>
      </c>
      <c r="K356" s="28" t="str">
        <f>YEAR('web survey'!Z354)&amp;"-"&amp;IF(MONTH('web survey'!Z354)&lt;10,"0"&amp;MONTH('web survey'!Z354),MONTH('web survey'!Z354))&amp;"-"&amp;IF(DAY('web survey'!Z354)&lt;10,"0"&amp;DAY('web survey'!Z354),DAY('web survey'!Z354))&amp;" "&amp;IF(HOUR('web survey'!Z354)&lt;10,"0"&amp;HOUR('web survey'!Z354),HOUR('web survey'!Z354))&amp;":"&amp;IF(MINUTE('web survey'!Z354)&lt;10,"0"&amp;MINUTE('web survey'!Z354),MINUTE('web survey'!Z354))&amp;(":00'")</f>
        <v>2026-06-11 15:07:00'</v>
      </c>
      <c r="N356" s="22">
        <v>353</v>
      </c>
      <c r="O356" s="22" t="s">
        <v>27</v>
      </c>
      <c r="P356" s="22" t="s">
        <v>654</v>
      </c>
      <c r="Q356" s="22" t="s">
        <v>18</v>
      </c>
      <c r="R356" s="22" t="s">
        <v>17</v>
      </c>
      <c r="S356" s="22" t="s">
        <v>37</v>
      </c>
      <c r="T356" s="22" t="s">
        <v>17</v>
      </c>
      <c r="U356" s="22" t="s">
        <v>30</v>
      </c>
      <c r="V356" s="22" t="s">
        <v>17</v>
      </c>
      <c r="W356" s="22" t="s">
        <v>34</v>
      </c>
      <c r="X356" s="22" t="s">
        <v>655</v>
      </c>
    </row>
    <row r="357" spans="1:24">
      <c r="A357" s="28">
        <f>IF(B357="","",ROW()-COUNTBLANK($B$4:B357)-3)</f>
        <v>354</v>
      </c>
      <c r="B357" s="28" t="str">
        <f>'web survey'!C355</f>
        <v>FU-Z1-Eng</v>
      </c>
      <c r="C357" s="29" t="str">
        <f>'web survey'!AA355</f>
        <v>204471019</v>
      </c>
      <c r="D357" s="30" t="str">
        <f>IF(B357="FU-ACInstall",VLOOKUP(VALUE('web survey'!D355),ref!$B$6:$C$7,2,0)&amp;" ("&amp;'web survey'!D355&amp;")",VLOOKUP(VALUE('web survey'!D355),ref!$E$6:$F$10,2,0)&amp;" ("&amp;'web survey'!D355&amp;")")</f>
        <v>Good (10)</v>
      </c>
      <c r="E357" s="32" t="str">
        <f>'web survey'!S355</f>
        <v/>
      </c>
      <c r="F357" s="30" t="str">
        <f>IF(B357="FU-ACInstall",VLOOKUP(VALUE('web survey'!E355),ref!$B$10:$C$12,2,0)&amp;" ("&amp;'web survey'!E355&amp;")",VLOOKUP(VALUE('web survey'!E355),ref!$E$13:$F$17,2,0)&amp;" ("&amp;'web survey'!E355&amp;")")</f>
        <v>Very Good (10)</v>
      </c>
      <c r="G357" s="32" t="str">
        <f>'web survey'!T355</f>
        <v/>
      </c>
      <c r="H357" s="30" t="str">
        <f>IF(B357="FU-ACInstall",VLOOKUP(VALUE('web survey'!F355),ref!$B$15:$C$17,2,0)&amp;" ("&amp;'web survey'!F355&amp;")",VLOOKUP(VALUE('web survey'!F355),ref!$E$20:$F$21,2,0)&amp;" ("&amp;'web survey'!F355&amp;")")</f>
        <v>Appropriate with SAP / in Warranty (10)</v>
      </c>
      <c r="I357" s="32" t="str">
        <f>'web survey'!U355</f>
        <v/>
      </c>
      <c r="J357" s="30" t="str">
        <f>IF(B357="FU-ACInstall","-",VLOOKUP(VALUE('web survey'!G355),ref!$E$24:$F$26,2,0)&amp;" ("&amp;'web survey'!G355&amp;")")</f>
        <v>Jelas (5)</v>
      </c>
      <c r="K357" s="28" t="str">
        <f>YEAR('web survey'!Z355)&amp;"-"&amp;IF(MONTH('web survey'!Z355)&lt;10,"0"&amp;MONTH('web survey'!Z355),MONTH('web survey'!Z355))&amp;"-"&amp;IF(DAY('web survey'!Z355)&lt;10,"0"&amp;DAY('web survey'!Z355),DAY('web survey'!Z355))&amp;" "&amp;IF(HOUR('web survey'!Z355)&lt;10,"0"&amp;HOUR('web survey'!Z355),HOUR('web survey'!Z355))&amp;":"&amp;IF(MINUTE('web survey'!Z355)&lt;10,"0"&amp;MINUTE('web survey'!Z355),MINUTE('web survey'!Z355))&amp;(":00'")</f>
        <v>2026-06-11 15:06:00'</v>
      </c>
      <c r="N357" s="22">
        <v>354</v>
      </c>
      <c r="O357" s="22" t="s">
        <v>27</v>
      </c>
      <c r="P357" s="22" t="s">
        <v>656</v>
      </c>
      <c r="Q357" s="22" t="s">
        <v>18</v>
      </c>
      <c r="R357" s="22" t="s">
        <v>17</v>
      </c>
      <c r="S357" s="22" t="s">
        <v>37</v>
      </c>
      <c r="T357" s="22" t="s">
        <v>17</v>
      </c>
      <c r="U357" s="22" t="s">
        <v>30</v>
      </c>
      <c r="V357" s="22" t="s">
        <v>17</v>
      </c>
      <c r="W357" s="22" t="s">
        <v>34</v>
      </c>
      <c r="X357" s="22" t="s">
        <v>657</v>
      </c>
    </row>
    <row r="358" spans="1:24">
      <c r="A358" s="28">
        <f>IF(B358="","",ROW()-COUNTBLANK($B$4:B358)-3)</f>
        <v>355</v>
      </c>
      <c r="B358" s="28" t="str">
        <f>'web survey'!C356</f>
        <v>FU-Z1-Eng</v>
      </c>
      <c r="C358" s="29" t="str">
        <f>'web survey'!AA356</f>
        <v>204472836</v>
      </c>
      <c r="D358" s="30" t="str">
        <f>IF(B358="FU-ACInstall",VLOOKUP(VALUE('web survey'!D356),ref!$B$6:$C$7,2,0)&amp;" ("&amp;'web survey'!D356&amp;")",VLOOKUP(VALUE('web survey'!D356),ref!$E$6:$F$10,2,0)&amp;" ("&amp;'web survey'!D356&amp;")")</f>
        <v>Good (10)</v>
      </c>
      <c r="E358" s="32" t="str">
        <f>'web survey'!S356</f>
        <v/>
      </c>
      <c r="F358" s="30" t="str">
        <f>IF(B358="FU-ACInstall",VLOOKUP(VALUE('web survey'!E356),ref!$B$10:$C$12,2,0)&amp;" ("&amp;'web survey'!E356&amp;")",VLOOKUP(VALUE('web survey'!E356),ref!$E$13:$F$17,2,0)&amp;" ("&amp;'web survey'!E356&amp;")")</f>
        <v>Very Good (10)</v>
      </c>
      <c r="G358" s="32" t="str">
        <f>'web survey'!T356</f>
        <v/>
      </c>
      <c r="H358" s="30" t="str">
        <f>IF(B358="FU-ACInstall",VLOOKUP(VALUE('web survey'!F356),ref!$B$15:$C$17,2,0)&amp;" ("&amp;'web survey'!F356&amp;")",VLOOKUP(VALUE('web survey'!F356),ref!$E$20:$F$21,2,0)&amp;" ("&amp;'web survey'!F356&amp;")")</f>
        <v>Appropriate with SAP / in Warranty (10)</v>
      </c>
      <c r="I358" s="32" t="str">
        <f>'web survey'!U356</f>
        <v/>
      </c>
      <c r="J358" s="30" t="str">
        <f>IF(B358="FU-ACInstall","-",VLOOKUP(VALUE('web survey'!G356),ref!$E$24:$F$26,2,0)&amp;" ("&amp;'web survey'!G356&amp;")")</f>
        <v>Jelas (5)</v>
      </c>
      <c r="K358" s="28" t="str">
        <f>YEAR('web survey'!Z356)&amp;"-"&amp;IF(MONTH('web survey'!Z356)&lt;10,"0"&amp;MONTH('web survey'!Z356),MONTH('web survey'!Z356))&amp;"-"&amp;IF(DAY('web survey'!Z356)&lt;10,"0"&amp;DAY('web survey'!Z356),DAY('web survey'!Z356))&amp;" "&amp;IF(HOUR('web survey'!Z356)&lt;10,"0"&amp;HOUR('web survey'!Z356),HOUR('web survey'!Z356))&amp;":"&amp;IF(MINUTE('web survey'!Z356)&lt;10,"0"&amp;MINUTE('web survey'!Z356),MINUTE('web survey'!Z356))&amp;(":00'")</f>
        <v>2026-06-11 15:06:00'</v>
      </c>
      <c r="N358" s="22">
        <v>355</v>
      </c>
      <c r="O358" s="22" t="s">
        <v>27</v>
      </c>
      <c r="P358" s="22" t="s">
        <v>658</v>
      </c>
      <c r="Q358" s="22" t="s">
        <v>18</v>
      </c>
      <c r="R358" s="22" t="s">
        <v>17</v>
      </c>
      <c r="S358" s="22" t="s">
        <v>37</v>
      </c>
      <c r="T358" s="22" t="s">
        <v>17</v>
      </c>
      <c r="U358" s="22" t="s">
        <v>30</v>
      </c>
      <c r="V358" s="22" t="s">
        <v>17</v>
      </c>
      <c r="W358" s="22" t="s">
        <v>34</v>
      </c>
      <c r="X358" s="22" t="s">
        <v>657</v>
      </c>
    </row>
    <row r="359" spans="1:24">
      <c r="A359" s="28">
        <f>IF(B359="","",ROW()-COUNTBLANK($B$4:B359)-3)</f>
        <v>356</v>
      </c>
      <c r="B359" s="28" t="str">
        <f>'web survey'!C357</f>
        <v>FU-Z1-Eng</v>
      </c>
      <c r="C359" s="29" t="str">
        <f>'web survey'!AA357</f>
        <v>204472579</v>
      </c>
      <c r="D359" s="30" t="str">
        <f>IF(B359="FU-ACInstall",VLOOKUP(VALUE('web survey'!D357),ref!$B$6:$C$7,2,0)&amp;" ("&amp;'web survey'!D357&amp;")",VLOOKUP(VALUE('web survey'!D357),ref!$E$6:$F$10,2,0)&amp;" ("&amp;'web survey'!D357&amp;")")</f>
        <v>Good (10)</v>
      </c>
      <c r="E359" s="32" t="str">
        <f>'web survey'!S357</f>
        <v/>
      </c>
      <c r="F359" s="30" t="str">
        <f>IF(B359="FU-ACInstall",VLOOKUP(VALUE('web survey'!E357),ref!$B$10:$C$12,2,0)&amp;" ("&amp;'web survey'!E357&amp;")",VLOOKUP(VALUE('web survey'!E357),ref!$E$13:$F$17,2,0)&amp;" ("&amp;'web survey'!E357&amp;")")</f>
        <v>Very Good (10)</v>
      </c>
      <c r="G359" s="32" t="str">
        <f>'web survey'!T357</f>
        <v/>
      </c>
      <c r="H359" s="30" t="str">
        <f>IF(B359="FU-ACInstall",VLOOKUP(VALUE('web survey'!F357),ref!$B$15:$C$17,2,0)&amp;" ("&amp;'web survey'!F357&amp;")",VLOOKUP(VALUE('web survey'!F357),ref!$E$20:$F$21,2,0)&amp;" ("&amp;'web survey'!F357&amp;")")</f>
        <v>Appropriate with SAP / in Warranty (10)</v>
      </c>
      <c r="I359" s="32" t="str">
        <f>'web survey'!U357</f>
        <v/>
      </c>
      <c r="J359" s="30" t="str">
        <f>IF(B359="FU-ACInstall","-",VLOOKUP(VALUE('web survey'!G357),ref!$E$24:$F$26,2,0)&amp;" ("&amp;'web survey'!G357&amp;")")</f>
        <v>Jelas (5)</v>
      </c>
      <c r="K359" s="28" t="str">
        <f>YEAR('web survey'!Z357)&amp;"-"&amp;IF(MONTH('web survey'!Z357)&lt;10,"0"&amp;MONTH('web survey'!Z357),MONTH('web survey'!Z357))&amp;"-"&amp;IF(DAY('web survey'!Z357)&lt;10,"0"&amp;DAY('web survey'!Z357),DAY('web survey'!Z357))&amp;" "&amp;IF(HOUR('web survey'!Z357)&lt;10,"0"&amp;HOUR('web survey'!Z357),HOUR('web survey'!Z357))&amp;":"&amp;IF(MINUTE('web survey'!Z357)&lt;10,"0"&amp;MINUTE('web survey'!Z357),MINUTE('web survey'!Z357))&amp;(":00'")</f>
        <v>2026-06-11 15:06:00'</v>
      </c>
      <c r="N359" s="22">
        <v>356</v>
      </c>
      <c r="O359" s="22" t="s">
        <v>27</v>
      </c>
      <c r="P359" s="22" t="s">
        <v>659</v>
      </c>
      <c r="Q359" s="22" t="s">
        <v>18</v>
      </c>
      <c r="R359" s="22" t="s">
        <v>17</v>
      </c>
      <c r="S359" s="22" t="s">
        <v>37</v>
      </c>
      <c r="T359" s="22" t="s">
        <v>17</v>
      </c>
      <c r="U359" s="22" t="s">
        <v>30</v>
      </c>
      <c r="V359" s="22" t="s">
        <v>17</v>
      </c>
      <c r="W359" s="22" t="s">
        <v>34</v>
      </c>
      <c r="X359" s="22" t="s">
        <v>657</v>
      </c>
    </row>
    <row r="360" spans="1:24">
      <c r="A360" s="28">
        <f>IF(B360="","",ROW()-COUNTBLANK($B$4:B360)-3)</f>
        <v>357</v>
      </c>
      <c r="B360" s="28" t="str">
        <f>'web survey'!C358</f>
        <v>FU-Z1-Eng</v>
      </c>
      <c r="C360" s="29" t="str">
        <f>'web survey'!AA358</f>
        <v>204470255</v>
      </c>
      <c r="D360" s="30" t="str">
        <f>IF(B360="FU-ACInstall",VLOOKUP(VALUE('web survey'!D358),ref!$B$6:$C$7,2,0)&amp;" ("&amp;'web survey'!D358&amp;")",VLOOKUP(VALUE('web survey'!D358),ref!$E$6:$F$10,2,0)&amp;" ("&amp;'web survey'!D358&amp;")")</f>
        <v>Not Good (-10)</v>
      </c>
      <c r="E360" s="32" t="str">
        <f>'web survey'!S358</f>
        <v/>
      </c>
      <c r="F360" s="30" t="str">
        <f>IF(B360="FU-ACInstall",VLOOKUP(VALUE('web survey'!E358),ref!$B$10:$C$12,2,0)&amp;" ("&amp;'web survey'!E358&amp;")",VLOOKUP(VALUE('web survey'!E358),ref!$E$13:$F$17,2,0)&amp;" ("&amp;'web survey'!E358&amp;")")</f>
        <v>Good (5)</v>
      </c>
      <c r="G360" s="32" t="str">
        <f>'web survey'!T358</f>
        <v/>
      </c>
      <c r="H360" s="30" t="str">
        <f>IF(B360="FU-ACInstall",VLOOKUP(VALUE('web survey'!F358),ref!$B$15:$C$17,2,0)&amp;" ("&amp;'web survey'!F358&amp;")",VLOOKUP(VALUE('web survey'!F358),ref!$E$20:$F$21,2,0)&amp;" ("&amp;'web survey'!F358&amp;")")</f>
        <v>Appropriate with SAP / in Warranty (10)</v>
      </c>
      <c r="I360" s="32" t="str">
        <f>'web survey'!U358</f>
        <v/>
      </c>
      <c r="J360" s="30" t="str">
        <f>IF(B360="FU-ACInstall","-",VLOOKUP(VALUE('web survey'!G358),ref!$E$24:$F$26,2,0)&amp;" ("&amp;'web survey'!G358&amp;")")</f>
        <v>Jelas (5)</v>
      </c>
      <c r="K360" s="28" t="str">
        <f>YEAR('web survey'!Z358)&amp;"-"&amp;IF(MONTH('web survey'!Z358)&lt;10,"0"&amp;MONTH('web survey'!Z358),MONTH('web survey'!Z358))&amp;"-"&amp;IF(DAY('web survey'!Z358)&lt;10,"0"&amp;DAY('web survey'!Z358),DAY('web survey'!Z358))&amp;" "&amp;IF(HOUR('web survey'!Z358)&lt;10,"0"&amp;HOUR('web survey'!Z358),HOUR('web survey'!Z358))&amp;":"&amp;IF(MINUTE('web survey'!Z358)&lt;10,"0"&amp;MINUTE('web survey'!Z358),MINUTE('web survey'!Z358))&amp;(":00'")</f>
        <v>2026-06-11 15:05:00'</v>
      </c>
      <c r="N360" s="22">
        <v>357</v>
      </c>
      <c r="O360" s="22" t="s">
        <v>27</v>
      </c>
      <c r="P360" s="22" t="s">
        <v>660</v>
      </c>
      <c r="Q360" s="22" t="s">
        <v>33</v>
      </c>
      <c r="R360" s="22" t="s">
        <v>17</v>
      </c>
      <c r="S360" s="22" t="s">
        <v>29</v>
      </c>
      <c r="T360" s="22" t="s">
        <v>17</v>
      </c>
      <c r="U360" s="22" t="s">
        <v>30</v>
      </c>
      <c r="V360" s="22" t="s">
        <v>17</v>
      </c>
      <c r="W360" s="22" t="s">
        <v>34</v>
      </c>
      <c r="X360" s="22" t="s">
        <v>661</v>
      </c>
    </row>
    <row r="361" spans="1:24">
      <c r="A361" s="28">
        <f>IF(B361="","",ROW()-COUNTBLANK($B$4:B361)-3)</f>
        <v>358</v>
      </c>
      <c r="B361" s="28" t="str">
        <f>'web survey'!C359</f>
        <v>FU-Z1-Eng</v>
      </c>
      <c r="C361" s="29" t="str">
        <f>'web survey'!AA359</f>
        <v>204471673</v>
      </c>
      <c r="D361" s="30" t="str">
        <f>IF(B361="FU-ACInstall",VLOOKUP(VALUE('web survey'!D359),ref!$B$6:$C$7,2,0)&amp;" ("&amp;'web survey'!D359&amp;")",VLOOKUP(VALUE('web survey'!D359),ref!$E$6:$F$10,2,0)&amp;" ("&amp;'web survey'!D359&amp;")")</f>
        <v>Good (10)</v>
      </c>
      <c r="E361" s="32" t="str">
        <f>'web survey'!S359</f>
        <v/>
      </c>
      <c r="F361" s="30" t="str">
        <f>IF(B361="FU-ACInstall",VLOOKUP(VALUE('web survey'!E359),ref!$B$10:$C$12,2,0)&amp;" ("&amp;'web survey'!E359&amp;")",VLOOKUP(VALUE('web survey'!E359),ref!$E$13:$F$17,2,0)&amp;" ("&amp;'web survey'!E359&amp;")")</f>
        <v>Very Good (10)</v>
      </c>
      <c r="G361" s="32" t="str">
        <f>'web survey'!T359</f>
        <v/>
      </c>
      <c r="H361" s="30" t="str">
        <f>IF(B361="FU-ACInstall",VLOOKUP(VALUE('web survey'!F359),ref!$B$15:$C$17,2,0)&amp;" ("&amp;'web survey'!F359&amp;")",VLOOKUP(VALUE('web survey'!F359),ref!$E$20:$F$21,2,0)&amp;" ("&amp;'web survey'!F359&amp;")")</f>
        <v>Appropriate with SAP / in Warranty (10)</v>
      </c>
      <c r="I361" s="32" t="str">
        <f>'web survey'!U359</f>
        <v/>
      </c>
      <c r="J361" s="30" t="str">
        <f>IF(B361="FU-ACInstall","-",VLOOKUP(VALUE('web survey'!G359),ref!$E$24:$F$26,2,0)&amp;" ("&amp;'web survey'!G359&amp;")")</f>
        <v>Jelas (5)</v>
      </c>
      <c r="K361" s="28" t="str">
        <f>YEAR('web survey'!Z359)&amp;"-"&amp;IF(MONTH('web survey'!Z359)&lt;10,"0"&amp;MONTH('web survey'!Z359),MONTH('web survey'!Z359))&amp;"-"&amp;IF(DAY('web survey'!Z359)&lt;10,"0"&amp;DAY('web survey'!Z359),DAY('web survey'!Z359))&amp;" "&amp;IF(HOUR('web survey'!Z359)&lt;10,"0"&amp;HOUR('web survey'!Z359),HOUR('web survey'!Z359))&amp;":"&amp;IF(MINUTE('web survey'!Z359)&lt;10,"0"&amp;MINUTE('web survey'!Z359),MINUTE('web survey'!Z359))&amp;(":00'")</f>
        <v>2026-06-11 15:05:00'</v>
      </c>
      <c r="N361" s="22">
        <v>358</v>
      </c>
      <c r="O361" s="22" t="s">
        <v>27</v>
      </c>
      <c r="P361" s="22" t="s">
        <v>662</v>
      </c>
      <c r="Q361" s="22" t="s">
        <v>18</v>
      </c>
      <c r="R361" s="22" t="s">
        <v>17</v>
      </c>
      <c r="S361" s="22" t="s">
        <v>37</v>
      </c>
      <c r="T361" s="22" t="s">
        <v>17</v>
      </c>
      <c r="U361" s="22" t="s">
        <v>30</v>
      </c>
      <c r="V361" s="22" t="s">
        <v>17</v>
      </c>
      <c r="W361" s="22" t="s">
        <v>34</v>
      </c>
      <c r="X361" s="22" t="s">
        <v>661</v>
      </c>
    </row>
    <row r="362" spans="1:24">
      <c r="A362" s="28">
        <f>IF(B362="","",ROW()-COUNTBLANK($B$4:B362)-3)</f>
        <v>359</v>
      </c>
      <c r="B362" s="28" t="str">
        <f>'web survey'!C360</f>
        <v>FU-Z1-Eng</v>
      </c>
      <c r="C362" s="29" t="str">
        <f>'web survey'!AA360</f>
        <v>204465269</v>
      </c>
      <c r="D362" s="30" t="str">
        <f>IF(B362="FU-ACInstall",VLOOKUP(VALUE('web survey'!D360),ref!$B$6:$C$7,2,0)&amp;" ("&amp;'web survey'!D360&amp;")",VLOOKUP(VALUE('web survey'!D360),ref!$E$6:$F$10,2,0)&amp;" ("&amp;'web survey'!D360&amp;")")</f>
        <v>Good (10)</v>
      </c>
      <c r="E362" s="32" t="str">
        <f>'web survey'!S360</f>
        <v/>
      </c>
      <c r="F362" s="30" t="str">
        <f>IF(B362="FU-ACInstall",VLOOKUP(VALUE('web survey'!E360),ref!$B$10:$C$12,2,0)&amp;" ("&amp;'web survey'!E360&amp;")",VLOOKUP(VALUE('web survey'!E360),ref!$E$13:$F$17,2,0)&amp;" ("&amp;'web survey'!E360&amp;")")</f>
        <v>Very Good (10)</v>
      </c>
      <c r="G362" s="32" t="str">
        <f>'web survey'!T360</f>
        <v/>
      </c>
      <c r="H362" s="30" t="str">
        <f>IF(B362="FU-ACInstall",VLOOKUP(VALUE('web survey'!F360),ref!$B$15:$C$17,2,0)&amp;" ("&amp;'web survey'!F360&amp;")",VLOOKUP(VALUE('web survey'!F360),ref!$E$20:$F$21,2,0)&amp;" ("&amp;'web survey'!F360&amp;")")</f>
        <v>Appropriate with SAP / in Warranty (10)</v>
      </c>
      <c r="I362" s="32" t="str">
        <f>'web survey'!U360</f>
        <v/>
      </c>
      <c r="J362" s="30" t="str">
        <f>IF(B362="FU-ACInstall","-",VLOOKUP(VALUE('web survey'!G360),ref!$E$24:$F$26,2,0)&amp;" ("&amp;'web survey'!G360&amp;")")</f>
        <v>Jelas (5)</v>
      </c>
      <c r="K362" s="28" t="str">
        <f>YEAR('web survey'!Z360)&amp;"-"&amp;IF(MONTH('web survey'!Z360)&lt;10,"0"&amp;MONTH('web survey'!Z360),MONTH('web survey'!Z360))&amp;"-"&amp;IF(DAY('web survey'!Z360)&lt;10,"0"&amp;DAY('web survey'!Z360),DAY('web survey'!Z360))&amp;" "&amp;IF(HOUR('web survey'!Z360)&lt;10,"0"&amp;HOUR('web survey'!Z360),HOUR('web survey'!Z360))&amp;":"&amp;IF(MINUTE('web survey'!Z360)&lt;10,"0"&amp;MINUTE('web survey'!Z360),MINUTE('web survey'!Z360))&amp;(":00'")</f>
        <v>2026-06-11 15:05:00'</v>
      </c>
      <c r="N362" s="22">
        <v>359</v>
      </c>
      <c r="O362" s="22" t="s">
        <v>27</v>
      </c>
      <c r="P362" s="22" t="s">
        <v>663</v>
      </c>
      <c r="Q362" s="22" t="s">
        <v>18</v>
      </c>
      <c r="R362" s="22" t="s">
        <v>17</v>
      </c>
      <c r="S362" s="22" t="s">
        <v>37</v>
      </c>
      <c r="T362" s="22" t="s">
        <v>17</v>
      </c>
      <c r="U362" s="22" t="s">
        <v>30</v>
      </c>
      <c r="V362" s="22" t="s">
        <v>17</v>
      </c>
      <c r="W362" s="22" t="s">
        <v>34</v>
      </c>
      <c r="X362" s="22" t="s">
        <v>661</v>
      </c>
    </row>
    <row r="363" spans="1:24">
      <c r="A363" s="28">
        <f>IF(B363="","",ROW()-COUNTBLANK($B$4:B363)-3)</f>
        <v>360</v>
      </c>
      <c r="B363" s="28" t="str">
        <f>'web survey'!C361</f>
        <v>FU-Z1-Eng</v>
      </c>
      <c r="C363" s="29" t="str">
        <f>'web survey'!AA361</f>
        <v>204471945</v>
      </c>
      <c r="D363" s="30" t="str">
        <f>IF(B363="FU-ACInstall",VLOOKUP(VALUE('web survey'!D361),ref!$B$6:$C$7,2,0)&amp;" ("&amp;'web survey'!D361&amp;")",VLOOKUP(VALUE('web survey'!D361),ref!$E$6:$F$10,2,0)&amp;" ("&amp;'web survey'!D361&amp;")")</f>
        <v>Good (10)</v>
      </c>
      <c r="E363" s="32" t="str">
        <f>'web survey'!S361</f>
        <v/>
      </c>
      <c r="F363" s="30" t="str">
        <f>IF(B363="FU-ACInstall",VLOOKUP(VALUE('web survey'!E361),ref!$B$10:$C$12,2,0)&amp;" ("&amp;'web survey'!E361&amp;")",VLOOKUP(VALUE('web survey'!E361),ref!$E$13:$F$17,2,0)&amp;" ("&amp;'web survey'!E361&amp;")")</f>
        <v>Very Good (10)</v>
      </c>
      <c r="G363" s="32" t="str">
        <f>'web survey'!T361</f>
        <v/>
      </c>
      <c r="H363" s="30" t="str">
        <f>IF(B363="FU-ACInstall",VLOOKUP(VALUE('web survey'!F361),ref!$B$15:$C$17,2,0)&amp;" ("&amp;'web survey'!F361&amp;")",VLOOKUP(VALUE('web survey'!F361),ref!$E$20:$F$21,2,0)&amp;" ("&amp;'web survey'!F361&amp;")")</f>
        <v>Appropriate with SAP / in Warranty (10)</v>
      </c>
      <c r="I363" s="32" t="str">
        <f>'web survey'!U361</f>
        <v/>
      </c>
      <c r="J363" s="30" t="str">
        <f>IF(B363="FU-ACInstall","-",VLOOKUP(VALUE('web survey'!G361),ref!$E$24:$F$26,2,0)&amp;" ("&amp;'web survey'!G361&amp;")")</f>
        <v>Jelas (5)</v>
      </c>
      <c r="K363" s="28" t="str">
        <f>YEAR('web survey'!Z361)&amp;"-"&amp;IF(MONTH('web survey'!Z361)&lt;10,"0"&amp;MONTH('web survey'!Z361),MONTH('web survey'!Z361))&amp;"-"&amp;IF(DAY('web survey'!Z361)&lt;10,"0"&amp;DAY('web survey'!Z361),DAY('web survey'!Z361))&amp;" "&amp;IF(HOUR('web survey'!Z361)&lt;10,"0"&amp;HOUR('web survey'!Z361),HOUR('web survey'!Z361))&amp;":"&amp;IF(MINUTE('web survey'!Z361)&lt;10,"0"&amp;MINUTE('web survey'!Z361),MINUTE('web survey'!Z361))&amp;(":00'")</f>
        <v>2026-06-11 15:05:00'</v>
      </c>
      <c r="N363" s="22">
        <v>360</v>
      </c>
      <c r="O363" s="22" t="s">
        <v>27</v>
      </c>
      <c r="P363" s="22" t="s">
        <v>664</v>
      </c>
      <c r="Q363" s="22" t="s">
        <v>18</v>
      </c>
      <c r="R363" s="22" t="s">
        <v>17</v>
      </c>
      <c r="S363" s="22" t="s">
        <v>37</v>
      </c>
      <c r="T363" s="22" t="s">
        <v>17</v>
      </c>
      <c r="U363" s="22" t="s">
        <v>30</v>
      </c>
      <c r="V363" s="22" t="s">
        <v>17</v>
      </c>
      <c r="W363" s="22" t="s">
        <v>34</v>
      </c>
      <c r="X363" s="22" t="s">
        <v>661</v>
      </c>
    </row>
    <row r="364" spans="1:24">
      <c r="A364" s="28">
        <f>IF(B364="","",ROW()-COUNTBLANK($B$4:B364)-3)</f>
        <v>361</v>
      </c>
      <c r="B364" s="28" t="str">
        <f>'web survey'!C362</f>
        <v>FU-Z1-Eng</v>
      </c>
      <c r="C364" s="29" t="str">
        <f>'web survey'!AA362</f>
        <v>204430307</v>
      </c>
      <c r="D364" s="30" t="str">
        <f>IF(B364="FU-ACInstall",VLOOKUP(VALUE('web survey'!D362),ref!$B$6:$C$7,2,0)&amp;" ("&amp;'web survey'!D362&amp;")",VLOOKUP(VALUE('web survey'!D362),ref!$E$6:$F$10,2,0)&amp;" ("&amp;'web survey'!D362&amp;")")</f>
        <v>Good (10)</v>
      </c>
      <c r="E364" s="32" t="str">
        <f>'web survey'!S362</f>
        <v/>
      </c>
      <c r="F364" s="30" t="str">
        <f>IF(B364="FU-ACInstall",VLOOKUP(VALUE('web survey'!E362),ref!$B$10:$C$12,2,0)&amp;" ("&amp;'web survey'!E362&amp;")",VLOOKUP(VALUE('web survey'!E362),ref!$E$13:$F$17,2,0)&amp;" ("&amp;'web survey'!E362&amp;")")</f>
        <v>Good (5)</v>
      </c>
      <c r="G364" s="32" t="str">
        <f>'web survey'!T362</f>
        <v/>
      </c>
      <c r="H364" s="30" t="e">
        <f>IF(B364="FU-ACInstall",VLOOKUP(VALUE('web survey'!F362),ref!$B$15:$C$17,2,0)&amp;" ("&amp;'web survey'!F362&amp;")",VLOOKUP(VALUE('web survey'!F362),ref!$E$20:$F$21,2,0)&amp;" ("&amp;'web survey'!F362&amp;")")</f>
        <v>#N/A</v>
      </c>
      <c r="I364" s="32" t="str">
        <f>'web survey'!U362</f>
        <v/>
      </c>
      <c r="J364" s="30" t="str">
        <f>IF(B364="FU-ACInstall","-",VLOOKUP(VALUE('web survey'!G362),ref!$E$24:$F$26,2,0)&amp;" ("&amp;'web survey'!G362&amp;")")</f>
        <v>Jelas (5)</v>
      </c>
      <c r="K364" s="28" t="str">
        <f>YEAR('web survey'!Z362)&amp;"-"&amp;IF(MONTH('web survey'!Z362)&lt;10,"0"&amp;MONTH('web survey'!Z362),MONTH('web survey'!Z362))&amp;"-"&amp;IF(DAY('web survey'!Z362)&lt;10,"0"&amp;DAY('web survey'!Z362),DAY('web survey'!Z362))&amp;" "&amp;IF(HOUR('web survey'!Z362)&lt;10,"0"&amp;HOUR('web survey'!Z362),HOUR('web survey'!Z362))&amp;":"&amp;IF(MINUTE('web survey'!Z362)&lt;10,"0"&amp;MINUTE('web survey'!Z362),MINUTE('web survey'!Z362))&amp;(":00'")</f>
        <v>2026-06-11 15:04:00'</v>
      </c>
      <c r="N364" s="22">
        <v>361</v>
      </c>
      <c r="O364" s="22" t="s">
        <v>27</v>
      </c>
      <c r="P364" s="22" t="s">
        <v>665</v>
      </c>
      <c r="Q364" s="22" t="s">
        <v>18</v>
      </c>
      <c r="R364" s="22" t="s">
        <v>17</v>
      </c>
      <c r="S364" s="22" t="s">
        <v>29</v>
      </c>
      <c r="T364" s="22" t="s">
        <v>17</v>
      </c>
      <c r="U364" s="22" t="e">
        <v>#N/A</v>
      </c>
      <c r="V364" s="22" t="s">
        <v>17</v>
      </c>
      <c r="W364" s="22" t="s">
        <v>34</v>
      </c>
      <c r="X364" s="22" t="s">
        <v>666</v>
      </c>
    </row>
    <row r="365" spans="1:24">
      <c r="A365" s="28">
        <f>IF(B365="","",ROW()-COUNTBLANK($B$4:B365)-3)</f>
        <v>362</v>
      </c>
      <c r="B365" s="28" t="str">
        <f>'web survey'!C363</f>
        <v>FU-Z1-Eng</v>
      </c>
      <c r="C365" s="29" t="str">
        <f>'web survey'!AA363</f>
        <v>1014A2602133</v>
      </c>
      <c r="D365" s="30" t="str">
        <f>IF(B365="FU-ACInstall",VLOOKUP(VALUE('web survey'!D363),ref!$B$6:$C$7,2,0)&amp;" ("&amp;'web survey'!D363&amp;")",VLOOKUP(VALUE('web survey'!D363),ref!$E$6:$F$10,2,0)&amp;" ("&amp;'web survey'!D363&amp;")")</f>
        <v>Not Good (-10)</v>
      </c>
      <c r="E365" s="32" t="str">
        <f>'web survey'!S363</f>
        <v/>
      </c>
      <c r="F365" s="30" t="str">
        <f>IF(B365="FU-ACInstall",VLOOKUP(VALUE('web survey'!E363),ref!$B$10:$C$12,2,0)&amp;" ("&amp;'web survey'!E363&amp;")",VLOOKUP(VALUE('web survey'!E363),ref!$E$13:$F$17,2,0)&amp;" ("&amp;'web survey'!E363&amp;")")</f>
        <v>Average (3)</v>
      </c>
      <c r="G365" s="32" t="str">
        <f>'web survey'!T363</f>
        <v/>
      </c>
      <c r="H365" s="30" t="str">
        <f>IF(B365="FU-ACInstall",VLOOKUP(VALUE('web survey'!F363),ref!$B$15:$C$17,2,0)&amp;" ("&amp;'web survey'!F363&amp;")",VLOOKUP(VALUE('web survey'!F363),ref!$E$20:$F$21,2,0)&amp;" ("&amp;'web survey'!F363&amp;")")</f>
        <v>Different with SAP (-10)</v>
      </c>
      <c r="I365" s="32" t="str">
        <f>'web survey'!U363</f>
        <v/>
      </c>
      <c r="J365" s="30" t="str">
        <f>IF(B365="FU-ACInstall","-",VLOOKUP(VALUE('web survey'!G363),ref!$E$24:$F$26,2,0)&amp;" ("&amp;'web survey'!G363&amp;")")</f>
        <v>Kurang jelas (3)</v>
      </c>
      <c r="K365" s="28" t="str">
        <f>YEAR('web survey'!Z363)&amp;"-"&amp;IF(MONTH('web survey'!Z363)&lt;10,"0"&amp;MONTH('web survey'!Z363),MONTH('web survey'!Z363))&amp;"-"&amp;IF(DAY('web survey'!Z363)&lt;10,"0"&amp;DAY('web survey'!Z363),DAY('web survey'!Z363))&amp;" "&amp;IF(HOUR('web survey'!Z363)&lt;10,"0"&amp;HOUR('web survey'!Z363),HOUR('web survey'!Z363))&amp;":"&amp;IF(MINUTE('web survey'!Z363)&lt;10,"0"&amp;MINUTE('web survey'!Z363),MINUTE('web survey'!Z363))&amp;(":00'")</f>
        <v>2026-06-11 15:04:00'</v>
      </c>
      <c r="N365" s="22">
        <v>362</v>
      </c>
      <c r="O365" s="22" t="s">
        <v>27</v>
      </c>
      <c r="P365" s="22" t="s">
        <v>667</v>
      </c>
      <c r="Q365" s="22" t="s">
        <v>33</v>
      </c>
      <c r="R365" s="22" t="s">
        <v>17</v>
      </c>
      <c r="S365" s="22" t="s">
        <v>204</v>
      </c>
      <c r="T365" s="22" t="s">
        <v>17</v>
      </c>
      <c r="U365" s="22" t="s">
        <v>87</v>
      </c>
      <c r="V365" s="22" t="s">
        <v>17</v>
      </c>
      <c r="W365" s="22" t="s">
        <v>154</v>
      </c>
      <c r="X365" s="22" t="s">
        <v>666</v>
      </c>
    </row>
    <row r="366" spans="1:24">
      <c r="A366" s="28">
        <f>IF(B366="","",ROW()-COUNTBLANK($B$4:B366)-3)</f>
        <v>363</v>
      </c>
      <c r="B366" s="28" t="str">
        <f>'web survey'!C364</f>
        <v>FU-Z1-Eng</v>
      </c>
      <c r="C366" s="29" t="str">
        <f>'web survey'!AA364</f>
        <v>1100355784</v>
      </c>
      <c r="D366" s="30" t="str">
        <f>IF(B366="FU-ACInstall",VLOOKUP(VALUE('web survey'!D364),ref!$B$6:$C$7,2,0)&amp;" ("&amp;'web survey'!D364&amp;")",VLOOKUP(VALUE('web survey'!D364),ref!$E$6:$F$10,2,0)&amp;" ("&amp;'web survey'!D364&amp;")")</f>
        <v>Good (10)</v>
      </c>
      <c r="E366" s="32" t="str">
        <f>'web survey'!S364</f>
        <v/>
      </c>
      <c r="F366" s="30" t="str">
        <f>IF(B366="FU-ACInstall",VLOOKUP(VALUE('web survey'!E364),ref!$B$10:$C$12,2,0)&amp;" ("&amp;'web survey'!E364&amp;")",VLOOKUP(VALUE('web survey'!E364),ref!$E$13:$F$17,2,0)&amp;" ("&amp;'web survey'!E364&amp;")")</f>
        <v>Very Good (10)</v>
      </c>
      <c r="G366" s="32" t="str">
        <f>'web survey'!T364</f>
        <v/>
      </c>
      <c r="H366" s="30" t="str">
        <f>IF(B366="FU-ACInstall",VLOOKUP(VALUE('web survey'!F364),ref!$B$15:$C$17,2,0)&amp;" ("&amp;'web survey'!F364&amp;")",VLOOKUP(VALUE('web survey'!F364),ref!$E$20:$F$21,2,0)&amp;" ("&amp;'web survey'!F364&amp;")")</f>
        <v>Appropriate with SAP / in Warranty (10)</v>
      </c>
      <c r="I366" s="32" t="str">
        <f>'web survey'!U364</f>
        <v/>
      </c>
      <c r="J366" s="30" t="str">
        <f>IF(B366="FU-ACInstall","-",VLOOKUP(VALUE('web survey'!G364),ref!$E$24:$F$26,2,0)&amp;" ("&amp;'web survey'!G364&amp;")")</f>
        <v>Jelas (5)</v>
      </c>
      <c r="K366" s="28" t="str">
        <f>YEAR('web survey'!Z364)&amp;"-"&amp;IF(MONTH('web survey'!Z364)&lt;10,"0"&amp;MONTH('web survey'!Z364),MONTH('web survey'!Z364))&amp;"-"&amp;IF(DAY('web survey'!Z364)&lt;10,"0"&amp;DAY('web survey'!Z364),DAY('web survey'!Z364))&amp;" "&amp;IF(HOUR('web survey'!Z364)&lt;10,"0"&amp;HOUR('web survey'!Z364),HOUR('web survey'!Z364))&amp;":"&amp;IF(MINUTE('web survey'!Z364)&lt;10,"0"&amp;MINUTE('web survey'!Z364),MINUTE('web survey'!Z364))&amp;(":00'")</f>
        <v>2026-06-11 15:03:00'</v>
      </c>
      <c r="N366" s="22">
        <v>363</v>
      </c>
      <c r="O366" s="22" t="s">
        <v>27</v>
      </c>
      <c r="P366" s="22" t="s">
        <v>668</v>
      </c>
      <c r="Q366" s="22" t="s">
        <v>18</v>
      </c>
      <c r="R366" s="22" t="s">
        <v>17</v>
      </c>
      <c r="S366" s="22" t="s">
        <v>37</v>
      </c>
      <c r="T366" s="22" t="s">
        <v>17</v>
      </c>
      <c r="U366" s="22" t="s">
        <v>30</v>
      </c>
      <c r="V366" s="22" t="s">
        <v>17</v>
      </c>
      <c r="W366" s="22" t="s">
        <v>34</v>
      </c>
      <c r="X366" s="22" t="s">
        <v>669</v>
      </c>
    </row>
    <row r="367" spans="1:24">
      <c r="A367" s="28">
        <f>IF(B367="","",ROW()-COUNTBLANK($B$4:B367)-3)</f>
        <v>364</v>
      </c>
      <c r="B367" s="28" t="str">
        <f>'web survey'!C365</f>
        <v>FU-Z1-Eng</v>
      </c>
      <c r="C367" s="29" t="str">
        <f>'web survey'!AA365</f>
        <v>204469324</v>
      </c>
      <c r="D367" s="30" t="str">
        <f>IF(B367="FU-ACInstall",VLOOKUP(VALUE('web survey'!D365),ref!$B$6:$C$7,2,0)&amp;" ("&amp;'web survey'!D365&amp;")",VLOOKUP(VALUE('web survey'!D365),ref!$E$6:$F$10,2,0)&amp;" ("&amp;'web survey'!D365&amp;")")</f>
        <v>Good (10)</v>
      </c>
      <c r="E367" s="32" t="str">
        <f>'web survey'!S365</f>
        <v/>
      </c>
      <c r="F367" s="30" t="str">
        <f>IF(B367="FU-ACInstall",VLOOKUP(VALUE('web survey'!E365),ref!$B$10:$C$12,2,0)&amp;" ("&amp;'web survey'!E365&amp;")",VLOOKUP(VALUE('web survey'!E365),ref!$E$13:$F$17,2,0)&amp;" ("&amp;'web survey'!E365&amp;")")</f>
        <v>Very Good (10)</v>
      </c>
      <c r="G367" s="32" t="str">
        <f>'web survey'!T365</f>
        <v/>
      </c>
      <c r="H367" s="30" t="str">
        <f>IF(B367="FU-ACInstall",VLOOKUP(VALUE('web survey'!F365),ref!$B$15:$C$17,2,0)&amp;" ("&amp;'web survey'!F365&amp;")",VLOOKUP(VALUE('web survey'!F365),ref!$E$20:$F$21,2,0)&amp;" ("&amp;'web survey'!F365&amp;")")</f>
        <v>Appropriate with SAP / in Warranty (10)</v>
      </c>
      <c r="I367" s="32" t="str">
        <f>'web survey'!U365</f>
        <v/>
      </c>
      <c r="J367" s="30" t="str">
        <f>IF(B367="FU-ACInstall","-",VLOOKUP(VALUE('web survey'!G365),ref!$E$24:$F$26,2,0)&amp;" ("&amp;'web survey'!G365&amp;")")</f>
        <v>Jelas (5)</v>
      </c>
      <c r="K367" s="28" t="str">
        <f>YEAR('web survey'!Z365)&amp;"-"&amp;IF(MONTH('web survey'!Z365)&lt;10,"0"&amp;MONTH('web survey'!Z365),MONTH('web survey'!Z365))&amp;"-"&amp;IF(DAY('web survey'!Z365)&lt;10,"0"&amp;DAY('web survey'!Z365),DAY('web survey'!Z365))&amp;" "&amp;IF(HOUR('web survey'!Z365)&lt;10,"0"&amp;HOUR('web survey'!Z365),HOUR('web survey'!Z365))&amp;":"&amp;IF(MINUTE('web survey'!Z365)&lt;10,"0"&amp;MINUTE('web survey'!Z365),MINUTE('web survey'!Z365))&amp;(":00'")</f>
        <v>2026-06-11 15:02:00'</v>
      </c>
      <c r="N367" s="22">
        <v>364</v>
      </c>
      <c r="O367" s="22" t="s">
        <v>27</v>
      </c>
      <c r="P367" s="22" t="s">
        <v>670</v>
      </c>
      <c r="Q367" s="22" t="s">
        <v>18</v>
      </c>
      <c r="R367" s="22" t="s">
        <v>17</v>
      </c>
      <c r="S367" s="22" t="s">
        <v>37</v>
      </c>
      <c r="T367" s="22" t="s">
        <v>17</v>
      </c>
      <c r="U367" s="22" t="s">
        <v>30</v>
      </c>
      <c r="V367" s="22" t="s">
        <v>17</v>
      </c>
      <c r="W367" s="22" t="s">
        <v>34</v>
      </c>
      <c r="X367" s="22" t="s">
        <v>671</v>
      </c>
    </row>
    <row r="368" spans="1:24">
      <c r="A368" s="28">
        <f>IF(B368="","",ROW()-COUNTBLANK($B$4:B368)-3)</f>
        <v>365</v>
      </c>
      <c r="B368" s="28" t="str">
        <f>'web survey'!C366</f>
        <v>FU-Z1-Eng</v>
      </c>
      <c r="C368" s="29" t="str">
        <f>'web survey'!AA366</f>
        <v>204470667</v>
      </c>
      <c r="D368" s="30" t="str">
        <f>IF(B368="FU-ACInstall",VLOOKUP(VALUE('web survey'!D366),ref!$B$6:$C$7,2,0)&amp;" ("&amp;'web survey'!D366&amp;")",VLOOKUP(VALUE('web survey'!D366),ref!$E$6:$F$10,2,0)&amp;" ("&amp;'web survey'!D366&amp;")")</f>
        <v>Good (10)</v>
      </c>
      <c r="E368" s="32" t="str">
        <f>'web survey'!S366</f>
        <v/>
      </c>
      <c r="F368" s="30" t="str">
        <f>IF(B368="FU-ACInstall",VLOOKUP(VALUE('web survey'!E366),ref!$B$10:$C$12,2,0)&amp;" ("&amp;'web survey'!E366&amp;")",VLOOKUP(VALUE('web survey'!E366),ref!$E$13:$F$17,2,0)&amp;" ("&amp;'web survey'!E366&amp;")")</f>
        <v>Very Good (10)</v>
      </c>
      <c r="G368" s="32" t="str">
        <f>'web survey'!T366</f>
        <v/>
      </c>
      <c r="H368" s="30" t="str">
        <f>IF(B368="FU-ACInstall",VLOOKUP(VALUE('web survey'!F366),ref!$B$15:$C$17,2,0)&amp;" ("&amp;'web survey'!F366&amp;")",VLOOKUP(VALUE('web survey'!F366),ref!$E$20:$F$21,2,0)&amp;" ("&amp;'web survey'!F366&amp;")")</f>
        <v>Appropriate with SAP / in Warranty (10)</v>
      </c>
      <c r="I368" s="32" t="str">
        <f>'web survey'!U366</f>
        <v/>
      </c>
      <c r="J368" s="30" t="str">
        <f>IF(B368="FU-ACInstall","-",VLOOKUP(VALUE('web survey'!G366),ref!$E$24:$F$26,2,0)&amp;" ("&amp;'web survey'!G366&amp;")")</f>
        <v>Jelas (5)</v>
      </c>
      <c r="K368" s="28" t="str">
        <f>YEAR('web survey'!Z366)&amp;"-"&amp;IF(MONTH('web survey'!Z366)&lt;10,"0"&amp;MONTH('web survey'!Z366),MONTH('web survey'!Z366))&amp;"-"&amp;IF(DAY('web survey'!Z366)&lt;10,"0"&amp;DAY('web survey'!Z366),DAY('web survey'!Z366))&amp;" "&amp;IF(HOUR('web survey'!Z366)&lt;10,"0"&amp;HOUR('web survey'!Z366),HOUR('web survey'!Z366))&amp;":"&amp;IF(MINUTE('web survey'!Z366)&lt;10,"0"&amp;MINUTE('web survey'!Z366),MINUTE('web survey'!Z366))&amp;(":00'")</f>
        <v>2026-06-11 15:02:00'</v>
      </c>
      <c r="N368" s="22">
        <v>365</v>
      </c>
      <c r="O368" s="22" t="s">
        <v>27</v>
      </c>
      <c r="P368" s="22" t="s">
        <v>672</v>
      </c>
      <c r="Q368" s="22" t="s">
        <v>18</v>
      </c>
      <c r="R368" s="22" t="s">
        <v>17</v>
      </c>
      <c r="S368" s="22" t="s">
        <v>37</v>
      </c>
      <c r="T368" s="22" t="s">
        <v>17</v>
      </c>
      <c r="U368" s="22" t="s">
        <v>30</v>
      </c>
      <c r="V368" s="22" t="s">
        <v>17</v>
      </c>
      <c r="W368" s="22" t="s">
        <v>34</v>
      </c>
      <c r="X368" s="22" t="s">
        <v>671</v>
      </c>
    </row>
    <row r="369" spans="1:24">
      <c r="A369" s="28">
        <f>IF(B369="","",ROW()-COUNTBLANK($B$4:B369)-3)</f>
        <v>366</v>
      </c>
      <c r="B369" s="28" t="str">
        <f>'web survey'!C367</f>
        <v>FU-Z1-Eng</v>
      </c>
      <c r="C369" s="29" t="str">
        <f>'web survey'!AA367</f>
        <v>204471175</v>
      </c>
      <c r="D369" s="30" t="str">
        <f>IF(B369="FU-ACInstall",VLOOKUP(VALUE('web survey'!D367),ref!$B$6:$C$7,2,0)&amp;" ("&amp;'web survey'!D367&amp;")",VLOOKUP(VALUE('web survey'!D367),ref!$E$6:$F$10,2,0)&amp;" ("&amp;'web survey'!D367&amp;")")</f>
        <v>Good (10)</v>
      </c>
      <c r="E369" s="32" t="str">
        <f>'web survey'!S367</f>
        <v/>
      </c>
      <c r="F369" s="30" t="str">
        <f>IF(B369="FU-ACInstall",VLOOKUP(VALUE('web survey'!E367),ref!$B$10:$C$12,2,0)&amp;" ("&amp;'web survey'!E367&amp;")",VLOOKUP(VALUE('web survey'!E367),ref!$E$13:$F$17,2,0)&amp;" ("&amp;'web survey'!E367&amp;")")</f>
        <v>Very Good (10)</v>
      </c>
      <c r="G369" s="32" t="str">
        <f>'web survey'!T367</f>
        <v/>
      </c>
      <c r="H369" s="30" t="str">
        <f>IF(B369="FU-ACInstall",VLOOKUP(VALUE('web survey'!F367),ref!$B$15:$C$17,2,0)&amp;" ("&amp;'web survey'!F367&amp;")",VLOOKUP(VALUE('web survey'!F367),ref!$E$20:$F$21,2,0)&amp;" ("&amp;'web survey'!F367&amp;")")</f>
        <v>Appropriate with SAP / in Warranty (10)</v>
      </c>
      <c r="I369" s="32" t="str">
        <f>'web survey'!U367</f>
        <v/>
      </c>
      <c r="J369" s="30" t="str">
        <f>IF(B369="FU-ACInstall","-",VLOOKUP(VALUE('web survey'!G367),ref!$E$24:$F$26,2,0)&amp;" ("&amp;'web survey'!G367&amp;")")</f>
        <v>Jelas (5)</v>
      </c>
      <c r="K369" s="28" t="str">
        <f>YEAR('web survey'!Z367)&amp;"-"&amp;IF(MONTH('web survey'!Z367)&lt;10,"0"&amp;MONTH('web survey'!Z367),MONTH('web survey'!Z367))&amp;"-"&amp;IF(DAY('web survey'!Z367)&lt;10,"0"&amp;DAY('web survey'!Z367),DAY('web survey'!Z367))&amp;" "&amp;IF(HOUR('web survey'!Z367)&lt;10,"0"&amp;HOUR('web survey'!Z367),HOUR('web survey'!Z367))&amp;":"&amp;IF(MINUTE('web survey'!Z367)&lt;10,"0"&amp;MINUTE('web survey'!Z367),MINUTE('web survey'!Z367))&amp;(":00'")</f>
        <v>2026-06-11 15:02:00'</v>
      </c>
      <c r="N369" s="22">
        <v>366</v>
      </c>
      <c r="O369" s="22" t="s">
        <v>27</v>
      </c>
      <c r="P369" s="22" t="s">
        <v>673</v>
      </c>
      <c r="Q369" s="22" t="s">
        <v>18</v>
      </c>
      <c r="R369" s="22" t="s">
        <v>17</v>
      </c>
      <c r="S369" s="22" t="s">
        <v>37</v>
      </c>
      <c r="T369" s="22" t="s">
        <v>17</v>
      </c>
      <c r="U369" s="22" t="s">
        <v>30</v>
      </c>
      <c r="V369" s="22" t="s">
        <v>17</v>
      </c>
      <c r="W369" s="22" t="s">
        <v>34</v>
      </c>
      <c r="X369" s="22" t="s">
        <v>671</v>
      </c>
    </row>
    <row r="370" spans="1:24">
      <c r="A370" s="28">
        <f>IF(B370="","",ROW()-COUNTBLANK($B$4:B370)-3)</f>
        <v>367</v>
      </c>
      <c r="B370" s="28" t="str">
        <f>'web survey'!C368</f>
        <v>FU-Z1-Eng</v>
      </c>
      <c r="C370" s="29" t="str">
        <f>'web survey'!AA368</f>
        <v>204471265</v>
      </c>
      <c r="D370" s="30" t="str">
        <f>IF(B370="FU-ACInstall",VLOOKUP(VALUE('web survey'!D368),ref!$B$6:$C$7,2,0)&amp;" ("&amp;'web survey'!D368&amp;")",VLOOKUP(VALUE('web survey'!D368),ref!$E$6:$F$10,2,0)&amp;" ("&amp;'web survey'!D368&amp;")")</f>
        <v>Good (10)</v>
      </c>
      <c r="E370" s="32" t="str">
        <f>'web survey'!S368</f>
        <v/>
      </c>
      <c r="F370" s="30" t="str">
        <f>IF(B370="FU-ACInstall",VLOOKUP(VALUE('web survey'!E368),ref!$B$10:$C$12,2,0)&amp;" ("&amp;'web survey'!E368&amp;")",VLOOKUP(VALUE('web survey'!E368),ref!$E$13:$F$17,2,0)&amp;" ("&amp;'web survey'!E368&amp;")")</f>
        <v>Very Good (10)</v>
      </c>
      <c r="G370" s="32" t="str">
        <f>'web survey'!T368</f>
        <v/>
      </c>
      <c r="H370" s="30" t="str">
        <f>IF(B370="FU-ACInstall",VLOOKUP(VALUE('web survey'!F368),ref!$B$15:$C$17,2,0)&amp;" ("&amp;'web survey'!F368&amp;")",VLOOKUP(VALUE('web survey'!F368),ref!$E$20:$F$21,2,0)&amp;" ("&amp;'web survey'!F368&amp;")")</f>
        <v>Appropriate with SAP / in Warranty (10)</v>
      </c>
      <c r="I370" s="32" t="str">
        <f>'web survey'!U368</f>
        <v/>
      </c>
      <c r="J370" s="30" t="str">
        <f>IF(B370="FU-ACInstall","-",VLOOKUP(VALUE('web survey'!G368),ref!$E$24:$F$26,2,0)&amp;" ("&amp;'web survey'!G368&amp;")")</f>
        <v>Jelas (5)</v>
      </c>
      <c r="K370" s="28" t="str">
        <f>YEAR('web survey'!Z368)&amp;"-"&amp;IF(MONTH('web survey'!Z368)&lt;10,"0"&amp;MONTH('web survey'!Z368),MONTH('web survey'!Z368))&amp;"-"&amp;IF(DAY('web survey'!Z368)&lt;10,"0"&amp;DAY('web survey'!Z368),DAY('web survey'!Z368))&amp;" "&amp;IF(HOUR('web survey'!Z368)&lt;10,"0"&amp;HOUR('web survey'!Z368),HOUR('web survey'!Z368))&amp;":"&amp;IF(MINUTE('web survey'!Z368)&lt;10,"0"&amp;MINUTE('web survey'!Z368),MINUTE('web survey'!Z368))&amp;(":00'")</f>
        <v>2026-06-11 15:02:00'</v>
      </c>
      <c r="N370" s="22">
        <v>367</v>
      </c>
      <c r="O370" s="22" t="s">
        <v>27</v>
      </c>
      <c r="P370" s="22" t="s">
        <v>674</v>
      </c>
      <c r="Q370" s="22" t="s">
        <v>18</v>
      </c>
      <c r="R370" s="22" t="s">
        <v>17</v>
      </c>
      <c r="S370" s="22" t="s">
        <v>37</v>
      </c>
      <c r="T370" s="22" t="s">
        <v>17</v>
      </c>
      <c r="U370" s="22" t="s">
        <v>30</v>
      </c>
      <c r="V370" s="22" t="s">
        <v>17</v>
      </c>
      <c r="W370" s="22" t="s">
        <v>34</v>
      </c>
      <c r="X370" s="22" t="s">
        <v>671</v>
      </c>
    </row>
    <row r="371" spans="1:24">
      <c r="A371" s="28">
        <f>IF(B371="","",ROW()-COUNTBLANK($B$4:B371)-3)</f>
        <v>368</v>
      </c>
      <c r="B371" s="28" t="str">
        <f>'web survey'!C369</f>
        <v>FU-Z1-Eng</v>
      </c>
      <c r="C371" s="29" t="str">
        <f>'web survey'!AA369</f>
        <v>2521A2600738</v>
      </c>
      <c r="D371" s="30" t="str">
        <f>IF(B371="FU-ACInstall",VLOOKUP(VALUE('web survey'!D369),ref!$B$6:$C$7,2,0)&amp;" ("&amp;'web survey'!D369&amp;")",VLOOKUP(VALUE('web survey'!D369),ref!$E$6:$F$10,2,0)&amp;" ("&amp;'web survey'!D369&amp;")")</f>
        <v>Good (10)</v>
      </c>
      <c r="E371" s="32" t="str">
        <f>'web survey'!S369</f>
        <v/>
      </c>
      <c r="F371" s="30" t="str">
        <f>IF(B371="FU-ACInstall",VLOOKUP(VALUE('web survey'!E369),ref!$B$10:$C$12,2,0)&amp;" ("&amp;'web survey'!E369&amp;")",VLOOKUP(VALUE('web survey'!E369),ref!$E$13:$F$17,2,0)&amp;" ("&amp;'web survey'!E369&amp;")")</f>
        <v>Very Good (10)</v>
      </c>
      <c r="G371" s="32" t="str">
        <f>'web survey'!T369</f>
        <v/>
      </c>
      <c r="H371" s="30" t="str">
        <f>IF(B371="FU-ACInstall",VLOOKUP(VALUE('web survey'!F369),ref!$B$15:$C$17,2,0)&amp;" ("&amp;'web survey'!F369&amp;")",VLOOKUP(VALUE('web survey'!F369),ref!$E$20:$F$21,2,0)&amp;" ("&amp;'web survey'!F369&amp;")")</f>
        <v>Appropriate with SAP / in Warranty (10)</v>
      </c>
      <c r="I371" s="32" t="str">
        <f>'web survey'!U369</f>
        <v/>
      </c>
      <c r="J371" s="30" t="str">
        <f>IF(B371="FU-ACInstall","-",VLOOKUP(VALUE('web survey'!G369),ref!$E$24:$F$26,2,0)&amp;" ("&amp;'web survey'!G369&amp;")")</f>
        <v>Jelas (5)</v>
      </c>
      <c r="K371" s="28" t="str">
        <f>YEAR('web survey'!Z369)&amp;"-"&amp;IF(MONTH('web survey'!Z369)&lt;10,"0"&amp;MONTH('web survey'!Z369),MONTH('web survey'!Z369))&amp;"-"&amp;IF(DAY('web survey'!Z369)&lt;10,"0"&amp;DAY('web survey'!Z369),DAY('web survey'!Z369))&amp;" "&amp;IF(HOUR('web survey'!Z369)&lt;10,"0"&amp;HOUR('web survey'!Z369),HOUR('web survey'!Z369))&amp;":"&amp;IF(MINUTE('web survey'!Z369)&lt;10,"0"&amp;MINUTE('web survey'!Z369),MINUTE('web survey'!Z369))&amp;(":00'")</f>
        <v>2026-06-11 15:01:00'</v>
      </c>
      <c r="N371" s="22">
        <v>368</v>
      </c>
      <c r="O371" s="22" t="s">
        <v>27</v>
      </c>
      <c r="P371" s="22" t="s">
        <v>675</v>
      </c>
      <c r="Q371" s="22" t="s">
        <v>18</v>
      </c>
      <c r="R371" s="22" t="s">
        <v>17</v>
      </c>
      <c r="S371" s="22" t="s">
        <v>37</v>
      </c>
      <c r="T371" s="22" t="s">
        <v>17</v>
      </c>
      <c r="U371" s="22" t="s">
        <v>30</v>
      </c>
      <c r="V371" s="22" t="s">
        <v>17</v>
      </c>
      <c r="W371" s="22" t="s">
        <v>34</v>
      </c>
      <c r="X371" s="22" t="s">
        <v>676</v>
      </c>
    </row>
    <row r="372" spans="1:24">
      <c r="A372" s="28">
        <f>IF(B372="","",ROW()-COUNTBLANK($B$4:B372)-3)</f>
        <v>369</v>
      </c>
      <c r="B372" s="28" t="str">
        <f>'web survey'!C370</f>
        <v>FU-Z1-Eng</v>
      </c>
      <c r="C372" s="29" t="str">
        <f>'web survey'!AA370</f>
        <v>204464438</v>
      </c>
      <c r="D372" s="30" t="str">
        <f>IF(B372="FU-ACInstall",VLOOKUP(VALUE('web survey'!D370),ref!$B$6:$C$7,2,0)&amp;" ("&amp;'web survey'!D370&amp;")",VLOOKUP(VALUE('web survey'!D370),ref!$E$6:$F$10,2,0)&amp;" ("&amp;'web survey'!D370&amp;")")</f>
        <v>Good (10)</v>
      </c>
      <c r="E372" s="32" t="str">
        <f>'web survey'!S370</f>
        <v/>
      </c>
      <c r="F372" s="30" t="str">
        <f>IF(B372="FU-ACInstall",VLOOKUP(VALUE('web survey'!E370),ref!$B$10:$C$12,2,0)&amp;" ("&amp;'web survey'!E370&amp;")",VLOOKUP(VALUE('web survey'!E370),ref!$E$13:$F$17,2,0)&amp;" ("&amp;'web survey'!E370&amp;")")</f>
        <v>Very Good (10)</v>
      </c>
      <c r="G372" s="32" t="str">
        <f>'web survey'!T370</f>
        <v/>
      </c>
      <c r="H372" s="30" t="str">
        <f>IF(B372="FU-ACInstall",VLOOKUP(VALUE('web survey'!F370),ref!$B$15:$C$17,2,0)&amp;" ("&amp;'web survey'!F370&amp;")",VLOOKUP(VALUE('web survey'!F370),ref!$E$20:$F$21,2,0)&amp;" ("&amp;'web survey'!F370&amp;")")</f>
        <v>Appropriate with SAP / in Warranty (10)</v>
      </c>
      <c r="I372" s="32" t="str">
        <f>'web survey'!U370</f>
        <v/>
      </c>
      <c r="J372" s="30" t="str">
        <f>IF(B372="FU-ACInstall","-",VLOOKUP(VALUE('web survey'!G370),ref!$E$24:$F$26,2,0)&amp;" ("&amp;'web survey'!G370&amp;")")</f>
        <v>Jelas (5)</v>
      </c>
      <c r="K372" s="28" t="str">
        <f>YEAR('web survey'!Z370)&amp;"-"&amp;IF(MONTH('web survey'!Z370)&lt;10,"0"&amp;MONTH('web survey'!Z370),MONTH('web survey'!Z370))&amp;"-"&amp;IF(DAY('web survey'!Z370)&lt;10,"0"&amp;DAY('web survey'!Z370),DAY('web survey'!Z370))&amp;" "&amp;IF(HOUR('web survey'!Z370)&lt;10,"0"&amp;HOUR('web survey'!Z370),HOUR('web survey'!Z370))&amp;":"&amp;IF(MINUTE('web survey'!Z370)&lt;10,"0"&amp;MINUTE('web survey'!Z370),MINUTE('web survey'!Z370))&amp;(":00'")</f>
        <v>2026-06-11 15:01:00'</v>
      </c>
      <c r="N372" s="22">
        <v>369</v>
      </c>
      <c r="O372" s="22" t="s">
        <v>27</v>
      </c>
      <c r="P372" s="22" t="s">
        <v>677</v>
      </c>
      <c r="Q372" s="22" t="s">
        <v>18</v>
      </c>
      <c r="R372" s="22" t="s">
        <v>17</v>
      </c>
      <c r="S372" s="22" t="s">
        <v>37</v>
      </c>
      <c r="T372" s="22" t="s">
        <v>17</v>
      </c>
      <c r="U372" s="22" t="s">
        <v>30</v>
      </c>
      <c r="V372" s="22" t="s">
        <v>17</v>
      </c>
      <c r="W372" s="22" t="s">
        <v>34</v>
      </c>
      <c r="X372" s="22" t="s">
        <v>676</v>
      </c>
    </row>
    <row r="373" spans="1:24">
      <c r="A373" s="28">
        <f>IF(B373="","",ROW()-COUNTBLANK($B$4:B373)-3)</f>
        <v>370</v>
      </c>
      <c r="B373" s="28" t="str">
        <f>'web survey'!C371</f>
        <v>FU-Z1-Eng</v>
      </c>
      <c r="C373" s="29" t="str">
        <f>'web survey'!AA371</f>
        <v>204470849</v>
      </c>
      <c r="D373" s="30" t="str">
        <f>IF(B373="FU-ACInstall",VLOOKUP(VALUE('web survey'!D371),ref!$B$6:$C$7,2,0)&amp;" ("&amp;'web survey'!D371&amp;")",VLOOKUP(VALUE('web survey'!D371),ref!$E$6:$F$10,2,0)&amp;" ("&amp;'web survey'!D371&amp;")")</f>
        <v>Good (10)</v>
      </c>
      <c r="E373" s="32" t="str">
        <f>'web survey'!S371</f>
        <v/>
      </c>
      <c r="F373" s="30" t="str">
        <f>IF(B373="FU-ACInstall",VLOOKUP(VALUE('web survey'!E371),ref!$B$10:$C$12,2,0)&amp;" ("&amp;'web survey'!E371&amp;")",VLOOKUP(VALUE('web survey'!E371),ref!$E$13:$F$17,2,0)&amp;" ("&amp;'web survey'!E371&amp;")")</f>
        <v>Very Good (10)</v>
      </c>
      <c r="G373" s="32" t="str">
        <f>'web survey'!T371</f>
        <v/>
      </c>
      <c r="H373" s="30" t="str">
        <f>IF(B373="FU-ACInstall",VLOOKUP(VALUE('web survey'!F371),ref!$B$15:$C$17,2,0)&amp;" ("&amp;'web survey'!F371&amp;")",VLOOKUP(VALUE('web survey'!F371),ref!$E$20:$F$21,2,0)&amp;" ("&amp;'web survey'!F371&amp;")")</f>
        <v>Appropriate with SAP / in Warranty (10)</v>
      </c>
      <c r="I373" s="32" t="str">
        <f>'web survey'!U371</f>
        <v/>
      </c>
      <c r="J373" s="30" t="str">
        <f>IF(B373="FU-ACInstall","-",VLOOKUP(VALUE('web survey'!G371),ref!$E$24:$F$26,2,0)&amp;" ("&amp;'web survey'!G371&amp;")")</f>
        <v>Jelas (5)</v>
      </c>
      <c r="K373" s="28" t="str">
        <f>YEAR('web survey'!Z371)&amp;"-"&amp;IF(MONTH('web survey'!Z371)&lt;10,"0"&amp;MONTH('web survey'!Z371),MONTH('web survey'!Z371))&amp;"-"&amp;IF(DAY('web survey'!Z371)&lt;10,"0"&amp;DAY('web survey'!Z371),DAY('web survey'!Z371))&amp;" "&amp;IF(HOUR('web survey'!Z371)&lt;10,"0"&amp;HOUR('web survey'!Z371),HOUR('web survey'!Z371))&amp;":"&amp;IF(MINUTE('web survey'!Z371)&lt;10,"0"&amp;MINUTE('web survey'!Z371),MINUTE('web survey'!Z371))&amp;(":00'")</f>
        <v>2026-06-11 15:01:00'</v>
      </c>
      <c r="N373" s="22">
        <v>370</v>
      </c>
      <c r="O373" s="22" t="s">
        <v>27</v>
      </c>
      <c r="P373" s="22" t="s">
        <v>678</v>
      </c>
      <c r="Q373" s="22" t="s">
        <v>18</v>
      </c>
      <c r="R373" s="22" t="s">
        <v>17</v>
      </c>
      <c r="S373" s="22" t="s">
        <v>37</v>
      </c>
      <c r="T373" s="22" t="s">
        <v>17</v>
      </c>
      <c r="U373" s="22" t="s">
        <v>30</v>
      </c>
      <c r="V373" s="22" t="s">
        <v>17</v>
      </c>
      <c r="W373" s="22" t="s">
        <v>34</v>
      </c>
      <c r="X373" s="22" t="s">
        <v>676</v>
      </c>
    </row>
    <row r="374" spans="1:24">
      <c r="A374" s="28">
        <f>IF(B374="","",ROW()-COUNTBLANK($B$4:B374)-3)</f>
        <v>371</v>
      </c>
      <c r="B374" s="28" t="str">
        <f>'web survey'!C372</f>
        <v>FU-Z1-Eng</v>
      </c>
      <c r="C374" s="29" t="str">
        <f>'web survey'!AA372</f>
        <v>204441327</v>
      </c>
      <c r="D374" s="30" t="str">
        <f>IF(B374="FU-ACInstall",VLOOKUP(VALUE('web survey'!D372),ref!$B$6:$C$7,2,0)&amp;" ("&amp;'web survey'!D372&amp;")",VLOOKUP(VALUE('web survey'!D372),ref!$E$6:$F$10,2,0)&amp;" ("&amp;'web survey'!D372&amp;")")</f>
        <v>Good (10)</v>
      </c>
      <c r="E374" s="32" t="str">
        <f>'web survey'!S372</f>
        <v/>
      </c>
      <c r="F374" s="30" t="str">
        <f>IF(B374="FU-ACInstall",VLOOKUP(VALUE('web survey'!E372),ref!$B$10:$C$12,2,0)&amp;" ("&amp;'web survey'!E372&amp;")",VLOOKUP(VALUE('web survey'!E372),ref!$E$13:$F$17,2,0)&amp;" ("&amp;'web survey'!E372&amp;")")</f>
        <v>Very Good (10)</v>
      </c>
      <c r="G374" s="32" t="str">
        <f>'web survey'!T372</f>
        <v/>
      </c>
      <c r="H374" s="30" t="str">
        <f>IF(B374="FU-ACInstall",VLOOKUP(VALUE('web survey'!F372),ref!$B$15:$C$17,2,0)&amp;" ("&amp;'web survey'!F372&amp;")",VLOOKUP(VALUE('web survey'!F372),ref!$E$20:$F$21,2,0)&amp;" ("&amp;'web survey'!F372&amp;")")</f>
        <v>Appropriate with SAP / in Warranty (10)</v>
      </c>
      <c r="I374" s="32" t="str">
        <f>'web survey'!U372</f>
        <v/>
      </c>
      <c r="J374" s="30" t="str">
        <f>IF(B374="FU-ACInstall","-",VLOOKUP(VALUE('web survey'!G372),ref!$E$24:$F$26,2,0)&amp;" ("&amp;'web survey'!G372&amp;")")</f>
        <v>Jelas (5)</v>
      </c>
      <c r="K374" s="28" t="str">
        <f>YEAR('web survey'!Z372)&amp;"-"&amp;IF(MONTH('web survey'!Z372)&lt;10,"0"&amp;MONTH('web survey'!Z372),MONTH('web survey'!Z372))&amp;"-"&amp;IF(DAY('web survey'!Z372)&lt;10,"0"&amp;DAY('web survey'!Z372),DAY('web survey'!Z372))&amp;" "&amp;IF(HOUR('web survey'!Z372)&lt;10,"0"&amp;HOUR('web survey'!Z372),HOUR('web survey'!Z372))&amp;":"&amp;IF(MINUTE('web survey'!Z372)&lt;10,"0"&amp;MINUTE('web survey'!Z372),MINUTE('web survey'!Z372))&amp;(":00'")</f>
        <v>2026-06-11 14:58:00'</v>
      </c>
      <c r="N374" s="22">
        <v>371</v>
      </c>
      <c r="O374" s="22" t="s">
        <v>27</v>
      </c>
      <c r="P374" s="22" t="s">
        <v>679</v>
      </c>
      <c r="Q374" s="22" t="s">
        <v>18</v>
      </c>
      <c r="R374" s="22" t="s">
        <v>17</v>
      </c>
      <c r="S374" s="22" t="s">
        <v>37</v>
      </c>
      <c r="T374" s="22" t="s">
        <v>17</v>
      </c>
      <c r="U374" s="22" t="s">
        <v>30</v>
      </c>
      <c r="V374" s="22" t="s">
        <v>17</v>
      </c>
      <c r="W374" s="22" t="s">
        <v>34</v>
      </c>
      <c r="X374" s="22" t="s">
        <v>680</v>
      </c>
    </row>
    <row r="375" spans="1:24">
      <c r="A375" s="28">
        <f>IF(B375="","",ROW()-COUNTBLANK($B$4:B375)-3)</f>
        <v>372</v>
      </c>
      <c r="B375" s="28" t="str">
        <f>'web survey'!C373</f>
        <v>FU-Z1-Eng</v>
      </c>
      <c r="C375" s="29" t="str">
        <f>'web survey'!AA373</f>
        <v>204457484</v>
      </c>
      <c r="D375" s="30" t="str">
        <f>IF(B375="FU-ACInstall",VLOOKUP(VALUE('web survey'!D373),ref!$B$6:$C$7,2,0)&amp;" ("&amp;'web survey'!D373&amp;")",VLOOKUP(VALUE('web survey'!D373),ref!$E$6:$F$10,2,0)&amp;" ("&amp;'web survey'!D373&amp;")")</f>
        <v>Good (10)</v>
      </c>
      <c r="E375" s="32" t="str">
        <f>'web survey'!S373</f>
        <v/>
      </c>
      <c r="F375" s="30" t="str">
        <f>IF(B375="FU-ACInstall",VLOOKUP(VALUE('web survey'!E373),ref!$B$10:$C$12,2,0)&amp;" ("&amp;'web survey'!E373&amp;")",VLOOKUP(VALUE('web survey'!E373),ref!$E$13:$F$17,2,0)&amp;" ("&amp;'web survey'!E373&amp;")")</f>
        <v>Very Good (10)</v>
      </c>
      <c r="G375" s="32" t="str">
        <f>'web survey'!T373</f>
        <v/>
      </c>
      <c r="H375" s="30" t="str">
        <f>IF(B375="FU-ACInstall",VLOOKUP(VALUE('web survey'!F373),ref!$B$15:$C$17,2,0)&amp;" ("&amp;'web survey'!F373&amp;")",VLOOKUP(VALUE('web survey'!F373),ref!$E$20:$F$21,2,0)&amp;" ("&amp;'web survey'!F373&amp;")")</f>
        <v>Appropriate with SAP / in Warranty (10)</v>
      </c>
      <c r="I375" s="32" t="str">
        <f>'web survey'!U373</f>
        <v/>
      </c>
      <c r="J375" s="30" t="str">
        <f>IF(B375="FU-ACInstall","-",VLOOKUP(VALUE('web survey'!G373),ref!$E$24:$F$26,2,0)&amp;" ("&amp;'web survey'!G373&amp;")")</f>
        <v>Jelas (5)</v>
      </c>
      <c r="K375" s="28" t="str">
        <f>YEAR('web survey'!Z373)&amp;"-"&amp;IF(MONTH('web survey'!Z373)&lt;10,"0"&amp;MONTH('web survey'!Z373),MONTH('web survey'!Z373))&amp;"-"&amp;IF(DAY('web survey'!Z373)&lt;10,"0"&amp;DAY('web survey'!Z373),DAY('web survey'!Z373))&amp;" "&amp;IF(HOUR('web survey'!Z373)&lt;10,"0"&amp;HOUR('web survey'!Z373),HOUR('web survey'!Z373))&amp;":"&amp;IF(MINUTE('web survey'!Z373)&lt;10,"0"&amp;MINUTE('web survey'!Z373),MINUTE('web survey'!Z373))&amp;(":00'")</f>
        <v>2026-06-11 14:44:00'</v>
      </c>
      <c r="N375" s="22">
        <v>372</v>
      </c>
      <c r="O375" s="22" t="s">
        <v>27</v>
      </c>
      <c r="P375" s="22" t="s">
        <v>681</v>
      </c>
      <c r="Q375" s="22" t="s">
        <v>18</v>
      </c>
      <c r="R375" s="22" t="s">
        <v>17</v>
      </c>
      <c r="S375" s="22" t="s">
        <v>37</v>
      </c>
      <c r="T375" s="22" t="s">
        <v>17</v>
      </c>
      <c r="U375" s="22" t="s">
        <v>30</v>
      </c>
      <c r="V375" s="22" t="s">
        <v>17</v>
      </c>
      <c r="W375" s="22" t="s">
        <v>34</v>
      </c>
      <c r="X375" s="22" t="s">
        <v>682</v>
      </c>
    </row>
    <row r="376" spans="1:24">
      <c r="A376" s="28">
        <f>IF(B376="","",ROW()-COUNTBLANK($B$4:B376)-3)</f>
        <v>373</v>
      </c>
      <c r="B376" s="28" t="str">
        <f>'web survey'!C374</f>
        <v>FU-Z1-Eng</v>
      </c>
      <c r="C376" s="29" t="str">
        <f>'web survey'!AA374</f>
        <v>204470206</v>
      </c>
      <c r="D376" s="30" t="str">
        <f>IF(B376="FU-ACInstall",VLOOKUP(VALUE('web survey'!D374),ref!$B$6:$C$7,2,0)&amp;" ("&amp;'web survey'!D374&amp;")",VLOOKUP(VALUE('web survey'!D374),ref!$E$6:$F$10,2,0)&amp;" ("&amp;'web survey'!D374&amp;")")</f>
        <v>Good (10)</v>
      </c>
      <c r="E376" s="32" t="str">
        <f>'web survey'!S374</f>
        <v/>
      </c>
      <c r="F376" s="30" t="str">
        <f>IF(B376="FU-ACInstall",VLOOKUP(VALUE('web survey'!E374),ref!$B$10:$C$12,2,0)&amp;" ("&amp;'web survey'!E374&amp;")",VLOOKUP(VALUE('web survey'!E374),ref!$E$13:$F$17,2,0)&amp;" ("&amp;'web survey'!E374&amp;")")</f>
        <v>Very Good (10)</v>
      </c>
      <c r="G376" s="32" t="str">
        <f>'web survey'!T374</f>
        <v/>
      </c>
      <c r="H376" s="30" t="str">
        <f>IF(B376="FU-ACInstall",VLOOKUP(VALUE('web survey'!F374),ref!$B$15:$C$17,2,0)&amp;" ("&amp;'web survey'!F374&amp;")",VLOOKUP(VALUE('web survey'!F374),ref!$E$20:$F$21,2,0)&amp;" ("&amp;'web survey'!F374&amp;")")</f>
        <v>Appropriate with SAP / in Warranty (10)</v>
      </c>
      <c r="I376" s="32" t="str">
        <f>'web survey'!U374</f>
        <v/>
      </c>
      <c r="J376" s="30" t="str">
        <f>IF(B376="FU-ACInstall","-",VLOOKUP(VALUE('web survey'!G374),ref!$E$24:$F$26,2,0)&amp;" ("&amp;'web survey'!G374&amp;")")</f>
        <v>Jelas (5)</v>
      </c>
      <c r="K376" s="28" t="str">
        <f>YEAR('web survey'!Z374)&amp;"-"&amp;IF(MONTH('web survey'!Z374)&lt;10,"0"&amp;MONTH('web survey'!Z374),MONTH('web survey'!Z374))&amp;"-"&amp;IF(DAY('web survey'!Z374)&lt;10,"0"&amp;DAY('web survey'!Z374),DAY('web survey'!Z374))&amp;" "&amp;IF(HOUR('web survey'!Z374)&lt;10,"0"&amp;HOUR('web survey'!Z374),HOUR('web survey'!Z374))&amp;":"&amp;IF(MINUTE('web survey'!Z374)&lt;10,"0"&amp;MINUTE('web survey'!Z374),MINUTE('web survey'!Z374))&amp;(":00'")</f>
        <v>2026-06-11 14:39:00'</v>
      </c>
      <c r="N376" s="22">
        <v>373</v>
      </c>
      <c r="O376" s="22" t="s">
        <v>27</v>
      </c>
      <c r="P376" s="22" t="s">
        <v>683</v>
      </c>
      <c r="Q376" s="22" t="s">
        <v>18</v>
      </c>
      <c r="R376" s="22" t="s">
        <v>17</v>
      </c>
      <c r="S376" s="22" t="s">
        <v>37</v>
      </c>
      <c r="T376" s="22" t="s">
        <v>17</v>
      </c>
      <c r="U376" s="22" t="s">
        <v>30</v>
      </c>
      <c r="V376" s="22" t="s">
        <v>17</v>
      </c>
      <c r="W376" s="22" t="s">
        <v>34</v>
      </c>
      <c r="X376" s="22" t="s">
        <v>684</v>
      </c>
    </row>
    <row r="377" spans="1:24">
      <c r="A377" s="28">
        <f>IF(B377="","",ROW()-COUNTBLANK($B$4:B377)-3)</f>
        <v>374</v>
      </c>
      <c r="B377" s="28" t="str">
        <f>'web survey'!C375</f>
        <v>FU-Z1-Eng</v>
      </c>
      <c r="C377" s="29" t="str">
        <f>'web survey'!AA375</f>
        <v>204456774</v>
      </c>
      <c r="D377" s="30" t="str">
        <f>IF(B377="FU-ACInstall",VLOOKUP(VALUE('web survey'!D375),ref!$B$6:$C$7,2,0)&amp;" ("&amp;'web survey'!D375&amp;")",VLOOKUP(VALUE('web survey'!D375),ref!$E$6:$F$10,2,0)&amp;" ("&amp;'web survey'!D375&amp;")")</f>
        <v>Good (10)</v>
      </c>
      <c r="E377" s="32" t="str">
        <f>'web survey'!S375</f>
        <v/>
      </c>
      <c r="F377" s="30" t="str">
        <f>IF(B377="FU-ACInstall",VLOOKUP(VALUE('web survey'!E375),ref!$B$10:$C$12,2,0)&amp;" ("&amp;'web survey'!E375&amp;")",VLOOKUP(VALUE('web survey'!E375),ref!$E$13:$F$17,2,0)&amp;" ("&amp;'web survey'!E375&amp;")")</f>
        <v>Good (5)</v>
      </c>
      <c r="G377" s="32" t="str">
        <f>'web survey'!T375</f>
        <v/>
      </c>
      <c r="H377" s="30" t="str">
        <f>IF(B377="FU-ACInstall",VLOOKUP(VALUE('web survey'!F375),ref!$B$15:$C$17,2,0)&amp;" ("&amp;'web survey'!F375&amp;")",VLOOKUP(VALUE('web survey'!F375),ref!$E$20:$F$21,2,0)&amp;" ("&amp;'web survey'!F375&amp;")")</f>
        <v>Appropriate with SAP / in Warranty (10)</v>
      </c>
      <c r="I377" s="32" t="str">
        <f>'web survey'!U375</f>
        <v/>
      </c>
      <c r="J377" s="30" t="str">
        <f>IF(B377="FU-ACInstall","-",VLOOKUP(VALUE('web survey'!G375),ref!$E$24:$F$26,2,0)&amp;" ("&amp;'web survey'!G375&amp;")")</f>
        <v>Jelas (5)</v>
      </c>
      <c r="K377" s="28" t="str">
        <f>YEAR('web survey'!Z375)&amp;"-"&amp;IF(MONTH('web survey'!Z375)&lt;10,"0"&amp;MONTH('web survey'!Z375),MONTH('web survey'!Z375))&amp;"-"&amp;IF(DAY('web survey'!Z375)&lt;10,"0"&amp;DAY('web survey'!Z375),DAY('web survey'!Z375))&amp;" "&amp;IF(HOUR('web survey'!Z375)&lt;10,"0"&amp;HOUR('web survey'!Z375),HOUR('web survey'!Z375))&amp;":"&amp;IF(MINUTE('web survey'!Z375)&lt;10,"0"&amp;MINUTE('web survey'!Z375),MINUTE('web survey'!Z375))&amp;(":00'")</f>
        <v>2026-06-11 14:09:00'</v>
      </c>
      <c r="N377" s="22">
        <v>374</v>
      </c>
      <c r="O377" s="22" t="s">
        <v>27</v>
      </c>
      <c r="P377" s="22" t="s">
        <v>685</v>
      </c>
      <c r="Q377" s="22" t="s">
        <v>18</v>
      </c>
      <c r="R377" s="22" t="s">
        <v>17</v>
      </c>
      <c r="S377" s="22" t="s">
        <v>29</v>
      </c>
      <c r="T377" s="22" t="s">
        <v>17</v>
      </c>
      <c r="U377" s="22" t="s">
        <v>30</v>
      </c>
      <c r="V377" s="22" t="s">
        <v>17</v>
      </c>
      <c r="W377" s="22" t="s">
        <v>34</v>
      </c>
      <c r="X377" s="22" t="s">
        <v>686</v>
      </c>
    </row>
    <row r="378" spans="1:24">
      <c r="A378" s="28">
        <f>IF(B378="","",ROW()-COUNTBLANK($B$4:B378)-3)</f>
        <v>375</v>
      </c>
      <c r="B378" s="28" t="str">
        <f>'web survey'!C376</f>
        <v>FU-Z1-Eng</v>
      </c>
      <c r="C378" s="29" t="str">
        <f>'web survey'!AA376</f>
        <v>1214A2603153</v>
      </c>
      <c r="D378" s="30" t="str">
        <f>IF(B378="FU-ACInstall",VLOOKUP(VALUE('web survey'!D376),ref!$B$6:$C$7,2,0)&amp;" ("&amp;'web survey'!D376&amp;")",VLOOKUP(VALUE('web survey'!D376),ref!$E$6:$F$10,2,0)&amp;" ("&amp;'web survey'!D376&amp;")")</f>
        <v>Good (10)</v>
      </c>
      <c r="E378" s="32" t="str">
        <f>'web survey'!S376</f>
        <v/>
      </c>
      <c r="F378" s="30" t="str">
        <f>IF(B378="FU-ACInstall",VLOOKUP(VALUE('web survey'!E376),ref!$B$10:$C$12,2,0)&amp;" ("&amp;'web survey'!E376&amp;")",VLOOKUP(VALUE('web survey'!E376),ref!$E$13:$F$17,2,0)&amp;" ("&amp;'web survey'!E376&amp;")")</f>
        <v>Good (5)</v>
      </c>
      <c r="G378" s="32" t="str">
        <f>'web survey'!T376</f>
        <v/>
      </c>
      <c r="H378" s="30" t="str">
        <f>IF(B378="FU-ACInstall",VLOOKUP(VALUE('web survey'!F376),ref!$B$15:$C$17,2,0)&amp;" ("&amp;'web survey'!F376&amp;")",VLOOKUP(VALUE('web survey'!F376),ref!$E$20:$F$21,2,0)&amp;" ("&amp;'web survey'!F376&amp;")")</f>
        <v>Appropriate with SAP / in Warranty (10)</v>
      </c>
      <c r="I378" s="32" t="str">
        <f>'web survey'!U376</f>
        <v/>
      </c>
      <c r="J378" s="30" t="str">
        <f>IF(B378="FU-ACInstall","-",VLOOKUP(VALUE('web survey'!G376),ref!$E$24:$F$26,2,0)&amp;" ("&amp;'web survey'!G376&amp;")")</f>
        <v>Jelas (5)</v>
      </c>
      <c r="K378" s="28" t="str">
        <f>YEAR('web survey'!Z376)&amp;"-"&amp;IF(MONTH('web survey'!Z376)&lt;10,"0"&amp;MONTH('web survey'!Z376),MONTH('web survey'!Z376))&amp;"-"&amp;IF(DAY('web survey'!Z376)&lt;10,"0"&amp;DAY('web survey'!Z376),DAY('web survey'!Z376))&amp;" "&amp;IF(HOUR('web survey'!Z376)&lt;10,"0"&amp;HOUR('web survey'!Z376),HOUR('web survey'!Z376))&amp;":"&amp;IF(MINUTE('web survey'!Z376)&lt;10,"0"&amp;MINUTE('web survey'!Z376),MINUTE('web survey'!Z376))&amp;(":00'")</f>
        <v>2026-06-11 14:08:00'</v>
      </c>
      <c r="N378" s="22">
        <v>375</v>
      </c>
      <c r="O378" s="22" t="s">
        <v>27</v>
      </c>
      <c r="P378" s="22" t="s">
        <v>687</v>
      </c>
      <c r="Q378" s="22" t="s">
        <v>18</v>
      </c>
      <c r="R378" s="22" t="s">
        <v>17</v>
      </c>
      <c r="S378" s="22" t="s">
        <v>29</v>
      </c>
      <c r="T378" s="22" t="s">
        <v>17</v>
      </c>
      <c r="U378" s="22" t="s">
        <v>30</v>
      </c>
      <c r="V378" s="22" t="s">
        <v>17</v>
      </c>
      <c r="W378" s="22" t="s">
        <v>34</v>
      </c>
      <c r="X378" s="22" t="s">
        <v>688</v>
      </c>
    </row>
    <row r="379" spans="1:24">
      <c r="A379" s="28">
        <f>IF(B379="","",ROW()-COUNTBLANK($B$4:B379)-3)</f>
        <v>376</v>
      </c>
      <c r="B379" s="28" t="str">
        <f>'web survey'!C377</f>
        <v>FU-Z1-Eng</v>
      </c>
      <c r="C379" s="29" t="str">
        <f>'web survey'!AA377</f>
        <v>204451589</v>
      </c>
      <c r="D379" s="30" t="str">
        <f>IF(B379="FU-ACInstall",VLOOKUP(VALUE('web survey'!D377),ref!$B$6:$C$7,2,0)&amp;" ("&amp;'web survey'!D377&amp;")",VLOOKUP(VALUE('web survey'!D377),ref!$E$6:$F$10,2,0)&amp;" ("&amp;'web survey'!D377&amp;")")</f>
        <v>Good (10)</v>
      </c>
      <c r="E379" s="32" t="str">
        <f>'web survey'!S377</f>
        <v/>
      </c>
      <c r="F379" s="30" t="str">
        <f>IF(B379="FU-ACInstall",VLOOKUP(VALUE('web survey'!E377),ref!$B$10:$C$12,2,0)&amp;" ("&amp;'web survey'!E377&amp;")",VLOOKUP(VALUE('web survey'!E377),ref!$E$13:$F$17,2,0)&amp;" ("&amp;'web survey'!E377&amp;")")</f>
        <v>Very Good (10)</v>
      </c>
      <c r="G379" s="32" t="str">
        <f>'web survey'!T377</f>
        <v/>
      </c>
      <c r="H379" s="30" t="str">
        <f>IF(B379="FU-ACInstall",VLOOKUP(VALUE('web survey'!F377),ref!$B$15:$C$17,2,0)&amp;" ("&amp;'web survey'!F377&amp;")",VLOOKUP(VALUE('web survey'!F377),ref!$E$20:$F$21,2,0)&amp;" ("&amp;'web survey'!F377&amp;")")</f>
        <v>Appropriate with SAP / in Warranty (10)</v>
      </c>
      <c r="I379" s="32" t="str">
        <f>'web survey'!U377</f>
        <v/>
      </c>
      <c r="J379" s="30" t="e">
        <f>IF(B379="FU-ACInstall","-",VLOOKUP(VALUE('web survey'!G377),ref!$E$24:$F$26,2,0)&amp;" ("&amp;'web survey'!G377&amp;")")</f>
        <v>#N/A</v>
      </c>
      <c r="K379" s="28" t="str">
        <f>YEAR('web survey'!Z377)&amp;"-"&amp;IF(MONTH('web survey'!Z377)&lt;10,"0"&amp;MONTH('web survey'!Z377),MONTH('web survey'!Z377))&amp;"-"&amp;IF(DAY('web survey'!Z377)&lt;10,"0"&amp;DAY('web survey'!Z377),DAY('web survey'!Z377))&amp;" "&amp;IF(HOUR('web survey'!Z377)&lt;10,"0"&amp;HOUR('web survey'!Z377),HOUR('web survey'!Z377))&amp;":"&amp;IF(MINUTE('web survey'!Z377)&lt;10,"0"&amp;MINUTE('web survey'!Z377),MINUTE('web survey'!Z377))&amp;(":00'")</f>
        <v>2026-06-11 14:01:00'</v>
      </c>
      <c r="N379" s="22">
        <v>376</v>
      </c>
      <c r="O379" s="22" t="s">
        <v>27</v>
      </c>
      <c r="P379" s="22" t="s">
        <v>689</v>
      </c>
      <c r="Q379" s="22" t="s">
        <v>18</v>
      </c>
      <c r="R379" s="22" t="s">
        <v>17</v>
      </c>
      <c r="S379" s="22" t="s">
        <v>37</v>
      </c>
      <c r="T379" s="22" t="s">
        <v>17</v>
      </c>
      <c r="U379" s="22" t="s">
        <v>30</v>
      </c>
      <c r="V379" s="22" t="s">
        <v>17</v>
      </c>
      <c r="W379" s="22" t="e">
        <v>#N/A</v>
      </c>
      <c r="X379" s="22" t="s">
        <v>690</v>
      </c>
    </row>
    <row r="380" spans="1:24">
      <c r="A380" s="28">
        <f>IF(B380="","",ROW()-COUNTBLANK($B$4:B380)-3)</f>
        <v>377</v>
      </c>
      <c r="B380" s="28" t="str">
        <f>'web survey'!C378</f>
        <v>FU-Z1-Eng</v>
      </c>
      <c r="C380" s="29" t="str">
        <f>'web survey'!AA378</f>
        <v>204467230</v>
      </c>
      <c r="D380" s="30" t="str">
        <f>IF(B380="FU-ACInstall",VLOOKUP(VALUE('web survey'!D378),ref!$B$6:$C$7,2,0)&amp;" ("&amp;'web survey'!D378&amp;")",VLOOKUP(VALUE('web survey'!D378),ref!$E$6:$F$10,2,0)&amp;" ("&amp;'web survey'!D378&amp;")")</f>
        <v>Good (10)</v>
      </c>
      <c r="E380" s="32" t="str">
        <f>'web survey'!S378</f>
        <v/>
      </c>
      <c r="F380" s="30" t="str">
        <f>IF(B380="FU-ACInstall",VLOOKUP(VALUE('web survey'!E378),ref!$B$10:$C$12,2,0)&amp;" ("&amp;'web survey'!E378&amp;")",VLOOKUP(VALUE('web survey'!E378),ref!$E$13:$F$17,2,0)&amp;" ("&amp;'web survey'!E378&amp;")")</f>
        <v>Good (5)</v>
      </c>
      <c r="G380" s="32" t="str">
        <f>'web survey'!T378</f>
        <v/>
      </c>
      <c r="H380" s="30" t="str">
        <f>IF(B380="FU-ACInstall",VLOOKUP(VALUE('web survey'!F378),ref!$B$15:$C$17,2,0)&amp;" ("&amp;'web survey'!F378&amp;")",VLOOKUP(VALUE('web survey'!F378),ref!$E$20:$F$21,2,0)&amp;" ("&amp;'web survey'!F378&amp;")")</f>
        <v>Appropriate with SAP / in Warranty (10)</v>
      </c>
      <c r="I380" s="32" t="str">
        <f>'web survey'!U378</f>
        <v/>
      </c>
      <c r="J380" s="30" t="str">
        <f>IF(B380="FU-ACInstall","-",VLOOKUP(VALUE('web survey'!G378),ref!$E$24:$F$26,2,0)&amp;" ("&amp;'web survey'!G378&amp;")")</f>
        <v>Jelas (5)</v>
      </c>
      <c r="K380" s="28" t="str">
        <f>YEAR('web survey'!Z378)&amp;"-"&amp;IF(MONTH('web survey'!Z378)&lt;10,"0"&amp;MONTH('web survey'!Z378),MONTH('web survey'!Z378))&amp;"-"&amp;IF(DAY('web survey'!Z378)&lt;10,"0"&amp;DAY('web survey'!Z378),DAY('web survey'!Z378))&amp;" "&amp;IF(HOUR('web survey'!Z378)&lt;10,"0"&amp;HOUR('web survey'!Z378),HOUR('web survey'!Z378))&amp;":"&amp;IF(MINUTE('web survey'!Z378)&lt;10,"0"&amp;MINUTE('web survey'!Z378),MINUTE('web survey'!Z378))&amp;(":00'")</f>
        <v>2026-06-11 13:59:00'</v>
      </c>
      <c r="N380" s="22">
        <v>377</v>
      </c>
      <c r="O380" s="22" t="s">
        <v>27</v>
      </c>
      <c r="P380" s="22" t="s">
        <v>691</v>
      </c>
      <c r="Q380" s="22" t="s">
        <v>18</v>
      </c>
      <c r="R380" s="22" t="s">
        <v>17</v>
      </c>
      <c r="S380" s="22" t="s">
        <v>29</v>
      </c>
      <c r="T380" s="22" t="s">
        <v>17</v>
      </c>
      <c r="U380" s="22" t="s">
        <v>30</v>
      </c>
      <c r="V380" s="22" t="s">
        <v>17</v>
      </c>
      <c r="W380" s="22" t="s">
        <v>34</v>
      </c>
      <c r="X380" s="22" t="s">
        <v>692</v>
      </c>
    </row>
    <row r="381" spans="1:24">
      <c r="A381" s="28">
        <f>IF(B381="","",ROW()-COUNTBLANK($B$4:B381)-3)</f>
        <v>378</v>
      </c>
      <c r="B381" s="28" t="str">
        <f>'web survey'!C379</f>
        <v>FU-Z1-Eng</v>
      </c>
      <c r="C381" s="29" t="str">
        <f>'web survey'!AA379</f>
        <v>204455179</v>
      </c>
      <c r="D381" s="30" t="str">
        <f>IF(B381="FU-ACInstall",VLOOKUP(VALUE('web survey'!D379),ref!$B$6:$C$7,2,0)&amp;" ("&amp;'web survey'!D379&amp;")",VLOOKUP(VALUE('web survey'!D379),ref!$E$6:$F$10,2,0)&amp;" ("&amp;'web survey'!D379&amp;")")</f>
        <v>Good (10)</v>
      </c>
      <c r="E381" s="32" t="str">
        <f>'web survey'!S379</f>
        <v/>
      </c>
      <c r="F381" s="30" t="str">
        <f>IF(B381="FU-ACInstall",VLOOKUP(VALUE('web survey'!E379),ref!$B$10:$C$12,2,0)&amp;" ("&amp;'web survey'!E379&amp;")",VLOOKUP(VALUE('web survey'!E379),ref!$E$13:$F$17,2,0)&amp;" ("&amp;'web survey'!E379&amp;")")</f>
        <v>Very Good (10)</v>
      </c>
      <c r="G381" s="32" t="str">
        <f>'web survey'!T379</f>
        <v/>
      </c>
      <c r="H381" s="30" t="str">
        <f>IF(B381="FU-ACInstall",VLOOKUP(VALUE('web survey'!F379),ref!$B$15:$C$17,2,0)&amp;" ("&amp;'web survey'!F379&amp;")",VLOOKUP(VALUE('web survey'!F379),ref!$E$20:$F$21,2,0)&amp;" ("&amp;'web survey'!F379&amp;")")</f>
        <v>Appropriate with SAP / in Warranty (10)</v>
      </c>
      <c r="I381" s="32" t="str">
        <f>'web survey'!U379</f>
        <v/>
      </c>
      <c r="J381" s="30" t="str">
        <f>IF(B381="FU-ACInstall","-",VLOOKUP(VALUE('web survey'!G379),ref!$E$24:$F$26,2,0)&amp;" ("&amp;'web survey'!G379&amp;")")</f>
        <v>Jelas (5)</v>
      </c>
      <c r="K381" s="28" t="str">
        <f>YEAR('web survey'!Z379)&amp;"-"&amp;IF(MONTH('web survey'!Z379)&lt;10,"0"&amp;MONTH('web survey'!Z379),MONTH('web survey'!Z379))&amp;"-"&amp;IF(DAY('web survey'!Z379)&lt;10,"0"&amp;DAY('web survey'!Z379),DAY('web survey'!Z379))&amp;" "&amp;IF(HOUR('web survey'!Z379)&lt;10,"0"&amp;HOUR('web survey'!Z379),HOUR('web survey'!Z379))&amp;":"&amp;IF(MINUTE('web survey'!Z379)&lt;10,"0"&amp;MINUTE('web survey'!Z379),MINUTE('web survey'!Z379))&amp;(":00'")</f>
        <v>2026-06-11 13:52:00'</v>
      </c>
      <c r="N381" s="22">
        <v>378</v>
      </c>
      <c r="O381" s="22" t="s">
        <v>27</v>
      </c>
      <c r="P381" s="22" t="s">
        <v>693</v>
      </c>
      <c r="Q381" s="22" t="s">
        <v>18</v>
      </c>
      <c r="R381" s="22" t="s">
        <v>17</v>
      </c>
      <c r="S381" s="22" t="s">
        <v>37</v>
      </c>
      <c r="T381" s="22" t="s">
        <v>17</v>
      </c>
      <c r="U381" s="22" t="s">
        <v>30</v>
      </c>
      <c r="V381" s="22" t="s">
        <v>17</v>
      </c>
      <c r="W381" s="22" t="s">
        <v>34</v>
      </c>
      <c r="X381" s="22" t="s">
        <v>694</v>
      </c>
    </row>
    <row r="382" spans="1:24">
      <c r="A382" s="28">
        <f>IF(B382="","",ROW()-COUNTBLANK($B$4:B382)-3)</f>
        <v>379</v>
      </c>
      <c r="B382" s="28">
        <f>'web survey'!C380</f>
        <v>0</v>
      </c>
      <c r="C382" s="29">
        <f>'web survey'!AA380</f>
        <v>0</v>
      </c>
      <c r="D382" s="30" t="e">
        <f>IF(B382="FU-ACInstall",VLOOKUP(VALUE('web survey'!D380),ref!$B$6:$C$7,2,0)&amp;" ("&amp;'web survey'!D380&amp;")",VLOOKUP(VALUE('web survey'!D380),ref!$E$6:$F$10,2,0)&amp;" ("&amp;'web survey'!D380&amp;")")</f>
        <v>#N/A</v>
      </c>
      <c r="E382" s="32">
        <f>'web survey'!S380</f>
        <v>0</v>
      </c>
      <c r="F382" s="30" t="e">
        <f>IF(B382="FU-ACInstall",VLOOKUP(VALUE('web survey'!E380),ref!$B$10:$C$12,2,0)&amp;" ("&amp;'web survey'!E380&amp;")",VLOOKUP(VALUE('web survey'!E380),ref!$E$13:$F$17,2,0)&amp;" ("&amp;'web survey'!E380&amp;")")</f>
        <v>#N/A</v>
      </c>
      <c r="G382" s="32">
        <f>'web survey'!T380</f>
        <v>0</v>
      </c>
      <c r="H382" s="30" t="e">
        <f>IF(B382="FU-ACInstall",VLOOKUP(VALUE('web survey'!F380),ref!$B$15:$C$17,2,0)&amp;" ("&amp;'web survey'!F380&amp;")",VLOOKUP(VALUE('web survey'!F380),ref!$E$20:$F$21,2,0)&amp;" ("&amp;'web survey'!F380&amp;")")</f>
        <v>#N/A</v>
      </c>
      <c r="I382" s="32">
        <f>'web survey'!U380</f>
        <v>0</v>
      </c>
      <c r="J382" s="30" t="e">
        <f>IF(B382="FU-ACInstall","-",VLOOKUP(VALUE('web survey'!G380),ref!$E$24:$F$26,2,0)&amp;" ("&amp;'web survey'!G380&amp;")")</f>
        <v>#N/A</v>
      </c>
      <c r="K382" s="28" t="str">
        <f>YEAR('web survey'!Z380)&amp;"-"&amp;IF(MONTH('web survey'!Z380)&lt;10,"0"&amp;MONTH('web survey'!Z380),MONTH('web survey'!Z380))&amp;"-"&amp;IF(DAY('web survey'!Z380)&lt;10,"0"&amp;DAY('web survey'!Z380),DAY('web survey'!Z380))&amp;" "&amp;IF(HOUR('web survey'!Z380)&lt;10,"0"&amp;HOUR('web survey'!Z380),HOUR('web survey'!Z380))&amp;":"&amp;IF(MINUTE('web survey'!Z380)&lt;10,"0"&amp;MINUTE('web survey'!Z380),MINUTE('web survey'!Z380))&amp;(":00'")</f>
        <v>1900-01-00 00:00:00'</v>
      </c>
      <c r="N382" s="22">
        <v>379</v>
      </c>
      <c r="O382" s="22">
        <v>0</v>
      </c>
      <c r="P382" s="22">
        <v>0</v>
      </c>
      <c r="Q382" s="22" t="e">
        <v>#N/A</v>
      </c>
      <c r="R382" s="22">
        <v>0</v>
      </c>
      <c r="S382" s="22" t="e">
        <v>#N/A</v>
      </c>
      <c r="T382" s="22">
        <v>0</v>
      </c>
      <c r="U382" s="22" t="e">
        <v>#N/A</v>
      </c>
      <c r="V382" s="22">
        <v>0</v>
      </c>
      <c r="W382" s="22" t="e">
        <v>#N/A</v>
      </c>
      <c r="X382" s="22" t="s">
        <v>695</v>
      </c>
    </row>
    <row r="383" spans="1:24">
      <c r="A383" s="28">
        <f>IF(B383="","",ROW()-COUNTBLANK($B$4:B383)-3)</f>
        <v>380</v>
      </c>
      <c r="B383" s="28">
        <f>'web survey'!C381</f>
        <v>0</v>
      </c>
      <c r="C383" s="29">
        <f>'web survey'!AA381</f>
        <v>0</v>
      </c>
      <c r="D383" s="30" t="e">
        <f>IF(B383="FU-ACInstall",VLOOKUP(VALUE('web survey'!D381),ref!$B$6:$C$7,2,0)&amp;" ("&amp;'web survey'!D381&amp;")",VLOOKUP(VALUE('web survey'!D381),ref!$E$6:$F$10,2,0)&amp;" ("&amp;'web survey'!D381&amp;")")</f>
        <v>#N/A</v>
      </c>
      <c r="E383" s="32">
        <f>'web survey'!S381</f>
        <v>0</v>
      </c>
      <c r="F383" s="30" t="e">
        <f>IF(B383="FU-ACInstall",VLOOKUP(VALUE('web survey'!E381),ref!$B$10:$C$12,2,0)&amp;" ("&amp;'web survey'!E381&amp;")",VLOOKUP(VALUE('web survey'!E381),ref!$E$13:$F$17,2,0)&amp;" ("&amp;'web survey'!E381&amp;")")</f>
        <v>#N/A</v>
      </c>
      <c r="G383" s="32">
        <f>'web survey'!T381</f>
        <v>0</v>
      </c>
      <c r="H383" s="30" t="e">
        <f>IF(B383="FU-ACInstall",VLOOKUP(VALUE('web survey'!F381),ref!$B$15:$C$17,2,0)&amp;" ("&amp;'web survey'!F381&amp;")",VLOOKUP(VALUE('web survey'!F381),ref!$E$20:$F$21,2,0)&amp;" ("&amp;'web survey'!F381&amp;")")</f>
        <v>#N/A</v>
      </c>
      <c r="I383" s="32">
        <f>'web survey'!U381</f>
        <v>0</v>
      </c>
      <c r="J383" s="30" t="e">
        <f>IF(B383="FU-ACInstall","-",VLOOKUP(VALUE('web survey'!G381),ref!$E$24:$F$26,2,0)&amp;" ("&amp;'web survey'!G381&amp;")")</f>
        <v>#N/A</v>
      </c>
      <c r="K383" s="28" t="str">
        <f>YEAR('web survey'!Z381)&amp;"-"&amp;IF(MONTH('web survey'!Z381)&lt;10,"0"&amp;MONTH('web survey'!Z381),MONTH('web survey'!Z381))&amp;"-"&amp;IF(DAY('web survey'!Z381)&lt;10,"0"&amp;DAY('web survey'!Z381),DAY('web survey'!Z381))&amp;" "&amp;IF(HOUR('web survey'!Z381)&lt;10,"0"&amp;HOUR('web survey'!Z381),HOUR('web survey'!Z381))&amp;":"&amp;IF(MINUTE('web survey'!Z381)&lt;10,"0"&amp;MINUTE('web survey'!Z381),MINUTE('web survey'!Z381))&amp;(":00'")</f>
        <v>1900-01-00 00:00:00'</v>
      </c>
      <c r="N383" s="22">
        <v>380</v>
      </c>
      <c r="O383" s="22">
        <v>0</v>
      </c>
      <c r="P383" s="22">
        <v>0</v>
      </c>
      <c r="Q383" s="22" t="e">
        <v>#N/A</v>
      </c>
      <c r="R383" s="22">
        <v>0</v>
      </c>
      <c r="S383" s="22" t="e">
        <v>#N/A</v>
      </c>
      <c r="T383" s="22">
        <v>0</v>
      </c>
      <c r="U383" s="22" t="e">
        <v>#N/A</v>
      </c>
      <c r="V383" s="22">
        <v>0</v>
      </c>
      <c r="W383" s="22" t="e">
        <v>#N/A</v>
      </c>
      <c r="X383" s="22" t="s">
        <v>695</v>
      </c>
    </row>
    <row r="384" spans="1:24">
      <c r="A384" s="28">
        <f>IF(B384="","",ROW()-COUNTBLANK($B$4:B384)-3)</f>
        <v>381</v>
      </c>
      <c r="B384" s="28">
        <f>'web survey'!C382</f>
        <v>0</v>
      </c>
      <c r="C384" s="29">
        <f>'web survey'!AA382</f>
        <v>0</v>
      </c>
      <c r="D384" s="30" t="e">
        <f>IF(B384="FU-ACInstall",VLOOKUP(VALUE('web survey'!D382),ref!$B$6:$C$7,2,0)&amp;" ("&amp;'web survey'!D382&amp;")",VLOOKUP(VALUE('web survey'!D382),ref!$E$6:$F$10,2,0)&amp;" ("&amp;'web survey'!D382&amp;")")</f>
        <v>#N/A</v>
      </c>
      <c r="E384" s="32">
        <f>'web survey'!S382</f>
        <v>0</v>
      </c>
      <c r="F384" s="30" t="e">
        <f>IF(B384="FU-ACInstall",VLOOKUP(VALUE('web survey'!E382),ref!$B$10:$C$12,2,0)&amp;" ("&amp;'web survey'!E382&amp;")",VLOOKUP(VALUE('web survey'!E382),ref!$E$13:$F$17,2,0)&amp;" ("&amp;'web survey'!E382&amp;")")</f>
        <v>#N/A</v>
      </c>
      <c r="G384" s="32">
        <f>'web survey'!T382</f>
        <v>0</v>
      </c>
      <c r="H384" s="30" t="e">
        <f>IF(B384="FU-ACInstall",VLOOKUP(VALUE('web survey'!F382),ref!$B$15:$C$17,2,0)&amp;" ("&amp;'web survey'!F382&amp;")",VLOOKUP(VALUE('web survey'!F382),ref!$E$20:$F$21,2,0)&amp;" ("&amp;'web survey'!F382&amp;")")</f>
        <v>#N/A</v>
      </c>
      <c r="I384" s="32">
        <f>'web survey'!U382</f>
        <v>0</v>
      </c>
      <c r="J384" s="30" t="e">
        <f>IF(B384="FU-ACInstall","-",VLOOKUP(VALUE('web survey'!G382),ref!$E$24:$F$26,2,0)&amp;" ("&amp;'web survey'!G382&amp;")")</f>
        <v>#N/A</v>
      </c>
      <c r="K384" s="28" t="str">
        <f>YEAR('web survey'!Z382)&amp;"-"&amp;IF(MONTH('web survey'!Z382)&lt;10,"0"&amp;MONTH('web survey'!Z382),MONTH('web survey'!Z382))&amp;"-"&amp;IF(DAY('web survey'!Z382)&lt;10,"0"&amp;DAY('web survey'!Z382),DAY('web survey'!Z382))&amp;" "&amp;IF(HOUR('web survey'!Z382)&lt;10,"0"&amp;HOUR('web survey'!Z382),HOUR('web survey'!Z382))&amp;":"&amp;IF(MINUTE('web survey'!Z382)&lt;10,"0"&amp;MINUTE('web survey'!Z382),MINUTE('web survey'!Z382))&amp;(":00'")</f>
        <v>1900-01-00 00:00:00'</v>
      </c>
      <c r="N384" s="22">
        <v>381</v>
      </c>
      <c r="O384" s="22">
        <v>0</v>
      </c>
      <c r="P384" s="22">
        <v>0</v>
      </c>
      <c r="Q384" s="22" t="e">
        <v>#N/A</v>
      </c>
      <c r="R384" s="22">
        <v>0</v>
      </c>
      <c r="S384" s="22" t="e">
        <v>#N/A</v>
      </c>
      <c r="T384" s="22">
        <v>0</v>
      </c>
      <c r="U384" s="22" t="e">
        <v>#N/A</v>
      </c>
      <c r="V384" s="22">
        <v>0</v>
      </c>
      <c r="W384" s="22" t="e">
        <v>#N/A</v>
      </c>
      <c r="X384" s="22" t="s">
        <v>695</v>
      </c>
    </row>
    <row r="385" spans="1:24">
      <c r="A385" s="28">
        <f>IF(B385="","",ROW()-COUNTBLANK($B$4:B385)-3)</f>
        <v>382</v>
      </c>
      <c r="B385" s="28">
        <f>'web survey'!C383</f>
        <v>0</v>
      </c>
      <c r="C385" s="29">
        <f>'web survey'!AA383</f>
        <v>0</v>
      </c>
      <c r="D385" s="30" t="e">
        <f>IF(B385="FU-ACInstall",VLOOKUP(VALUE('web survey'!D383),ref!$B$6:$C$7,2,0)&amp;" ("&amp;'web survey'!D383&amp;")",VLOOKUP(VALUE('web survey'!D383),ref!$E$6:$F$10,2,0)&amp;" ("&amp;'web survey'!D383&amp;")")</f>
        <v>#N/A</v>
      </c>
      <c r="E385" s="32">
        <f>'web survey'!S383</f>
        <v>0</v>
      </c>
      <c r="F385" s="30" t="e">
        <f>IF(B385="FU-ACInstall",VLOOKUP(VALUE('web survey'!E383),ref!$B$10:$C$12,2,0)&amp;" ("&amp;'web survey'!E383&amp;")",VLOOKUP(VALUE('web survey'!E383),ref!$E$13:$F$17,2,0)&amp;" ("&amp;'web survey'!E383&amp;")")</f>
        <v>#N/A</v>
      </c>
      <c r="G385" s="32">
        <f>'web survey'!T383</f>
        <v>0</v>
      </c>
      <c r="H385" s="30" t="e">
        <f>IF(B385="FU-ACInstall",VLOOKUP(VALUE('web survey'!F383),ref!$B$15:$C$17,2,0)&amp;" ("&amp;'web survey'!F383&amp;")",VLOOKUP(VALUE('web survey'!F383),ref!$E$20:$F$21,2,0)&amp;" ("&amp;'web survey'!F383&amp;")")</f>
        <v>#N/A</v>
      </c>
      <c r="I385" s="32">
        <f>'web survey'!U383</f>
        <v>0</v>
      </c>
      <c r="J385" s="30" t="e">
        <f>IF(B385="FU-ACInstall","-",VLOOKUP(VALUE('web survey'!G383),ref!$E$24:$F$26,2,0)&amp;" ("&amp;'web survey'!G383&amp;")")</f>
        <v>#N/A</v>
      </c>
      <c r="K385" s="28" t="str">
        <f>YEAR('web survey'!Z383)&amp;"-"&amp;IF(MONTH('web survey'!Z383)&lt;10,"0"&amp;MONTH('web survey'!Z383),MONTH('web survey'!Z383))&amp;"-"&amp;IF(DAY('web survey'!Z383)&lt;10,"0"&amp;DAY('web survey'!Z383),DAY('web survey'!Z383))&amp;" "&amp;IF(HOUR('web survey'!Z383)&lt;10,"0"&amp;HOUR('web survey'!Z383),HOUR('web survey'!Z383))&amp;":"&amp;IF(MINUTE('web survey'!Z383)&lt;10,"0"&amp;MINUTE('web survey'!Z383),MINUTE('web survey'!Z383))&amp;(":00'")</f>
        <v>1900-01-00 00:00:00'</v>
      </c>
      <c r="N385" s="22">
        <v>382</v>
      </c>
      <c r="O385" s="22">
        <v>0</v>
      </c>
      <c r="P385" s="22">
        <v>0</v>
      </c>
      <c r="Q385" s="22" t="e">
        <v>#N/A</v>
      </c>
      <c r="R385" s="22">
        <v>0</v>
      </c>
      <c r="S385" s="22" t="e">
        <v>#N/A</v>
      </c>
      <c r="T385" s="22">
        <v>0</v>
      </c>
      <c r="U385" s="22" t="e">
        <v>#N/A</v>
      </c>
      <c r="V385" s="22">
        <v>0</v>
      </c>
      <c r="W385" s="22" t="e">
        <v>#N/A</v>
      </c>
      <c r="X385" s="22" t="s">
        <v>695</v>
      </c>
    </row>
    <row r="386" spans="1:24">
      <c r="A386" s="28">
        <f>IF(B386="","",ROW()-COUNTBLANK($B$4:B386)-3)</f>
        <v>383</v>
      </c>
      <c r="B386" s="28">
        <f>'web survey'!C384</f>
        <v>0</v>
      </c>
      <c r="C386" s="29">
        <f>'web survey'!AA384</f>
        <v>0</v>
      </c>
      <c r="D386" s="30" t="e">
        <f>IF(B386="FU-ACInstall",VLOOKUP(VALUE('web survey'!D384),ref!$B$6:$C$7,2,0)&amp;" ("&amp;'web survey'!D384&amp;")",VLOOKUP(VALUE('web survey'!D384),ref!$E$6:$F$10,2,0)&amp;" ("&amp;'web survey'!D384&amp;")")</f>
        <v>#N/A</v>
      </c>
      <c r="E386" s="32">
        <f>'web survey'!S384</f>
        <v>0</v>
      </c>
      <c r="F386" s="30" t="e">
        <f>IF(B386="FU-ACInstall",VLOOKUP(VALUE('web survey'!E384),ref!$B$10:$C$12,2,0)&amp;" ("&amp;'web survey'!E384&amp;")",VLOOKUP(VALUE('web survey'!E384),ref!$E$13:$F$17,2,0)&amp;" ("&amp;'web survey'!E384&amp;")")</f>
        <v>#N/A</v>
      </c>
      <c r="G386" s="32">
        <f>'web survey'!T384</f>
        <v>0</v>
      </c>
      <c r="H386" s="30" t="e">
        <f>IF(B386="FU-ACInstall",VLOOKUP(VALUE('web survey'!F384),ref!$B$15:$C$17,2,0)&amp;" ("&amp;'web survey'!F384&amp;")",VLOOKUP(VALUE('web survey'!F384),ref!$E$20:$F$21,2,0)&amp;" ("&amp;'web survey'!F384&amp;")")</f>
        <v>#N/A</v>
      </c>
      <c r="I386" s="32">
        <f>'web survey'!U384</f>
        <v>0</v>
      </c>
      <c r="J386" s="30" t="e">
        <f>IF(B386="FU-ACInstall","-",VLOOKUP(VALUE('web survey'!G384),ref!$E$24:$F$26,2,0)&amp;" ("&amp;'web survey'!G384&amp;")")</f>
        <v>#N/A</v>
      </c>
      <c r="K386" s="28" t="str">
        <f>YEAR('web survey'!Z384)&amp;"-"&amp;IF(MONTH('web survey'!Z384)&lt;10,"0"&amp;MONTH('web survey'!Z384),MONTH('web survey'!Z384))&amp;"-"&amp;IF(DAY('web survey'!Z384)&lt;10,"0"&amp;DAY('web survey'!Z384),DAY('web survey'!Z384))&amp;" "&amp;IF(HOUR('web survey'!Z384)&lt;10,"0"&amp;HOUR('web survey'!Z384),HOUR('web survey'!Z384))&amp;":"&amp;IF(MINUTE('web survey'!Z384)&lt;10,"0"&amp;MINUTE('web survey'!Z384),MINUTE('web survey'!Z384))&amp;(":00'")</f>
        <v>1900-01-00 00:00:00'</v>
      </c>
      <c r="N386" s="22">
        <v>383</v>
      </c>
      <c r="O386" s="22">
        <v>0</v>
      </c>
      <c r="P386" s="22">
        <v>0</v>
      </c>
      <c r="Q386" s="22" t="e">
        <v>#N/A</v>
      </c>
      <c r="R386" s="22">
        <v>0</v>
      </c>
      <c r="S386" s="22" t="e">
        <v>#N/A</v>
      </c>
      <c r="T386" s="22">
        <v>0</v>
      </c>
      <c r="U386" s="22" t="e">
        <v>#N/A</v>
      </c>
      <c r="V386" s="22">
        <v>0</v>
      </c>
      <c r="W386" s="22" t="e">
        <v>#N/A</v>
      </c>
      <c r="X386" s="22" t="s">
        <v>695</v>
      </c>
    </row>
    <row r="387" spans="1:24">
      <c r="A387" s="28">
        <f>IF(B387="","",ROW()-COUNTBLANK($B$4:B387)-3)</f>
        <v>384</v>
      </c>
      <c r="B387" s="28">
        <f>'web survey'!C385</f>
        <v>0</v>
      </c>
      <c r="C387" s="29">
        <f>'web survey'!AA385</f>
        <v>0</v>
      </c>
      <c r="D387" s="30" t="e">
        <f>IF(B387="FU-ACInstall",VLOOKUP(VALUE('web survey'!D385),ref!$B$6:$C$7,2,0)&amp;" ("&amp;'web survey'!D385&amp;")",VLOOKUP(VALUE('web survey'!D385),ref!$E$6:$F$10,2,0)&amp;" ("&amp;'web survey'!D385&amp;")")</f>
        <v>#N/A</v>
      </c>
      <c r="E387" s="32">
        <f>'web survey'!S385</f>
        <v>0</v>
      </c>
      <c r="F387" s="30" t="e">
        <f>IF(B387="FU-ACInstall",VLOOKUP(VALUE('web survey'!E385),ref!$B$10:$C$12,2,0)&amp;" ("&amp;'web survey'!E385&amp;")",VLOOKUP(VALUE('web survey'!E385),ref!$E$13:$F$17,2,0)&amp;" ("&amp;'web survey'!E385&amp;")")</f>
        <v>#N/A</v>
      </c>
      <c r="G387" s="32">
        <f>'web survey'!T385</f>
        <v>0</v>
      </c>
      <c r="H387" s="30" t="e">
        <f>IF(B387="FU-ACInstall",VLOOKUP(VALUE('web survey'!F385),ref!$B$15:$C$17,2,0)&amp;" ("&amp;'web survey'!F385&amp;")",VLOOKUP(VALUE('web survey'!F385),ref!$E$20:$F$21,2,0)&amp;" ("&amp;'web survey'!F385&amp;")")</f>
        <v>#N/A</v>
      </c>
      <c r="I387" s="32">
        <f>'web survey'!U385</f>
        <v>0</v>
      </c>
      <c r="J387" s="30" t="e">
        <f>IF(B387="FU-ACInstall","-",VLOOKUP(VALUE('web survey'!G385),ref!$E$24:$F$26,2,0)&amp;" ("&amp;'web survey'!G385&amp;")")</f>
        <v>#N/A</v>
      </c>
      <c r="K387" s="28" t="str">
        <f>YEAR('web survey'!Z385)&amp;"-"&amp;IF(MONTH('web survey'!Z385)&lt;10,"0"&amp;MONTH('web survey'!Z385),MONTH('web survey'!Z385))&amp;"-"&amp;IF(DAY('web survey'!Z385)&lt;10,"0"&amp;DAY('web survey'!Z385),DAY('web survey'!Z385))&amp;" "&amp;IF(HOUR('web survey'!Z385)&lt;10,"0"&amp;HOUR('web survey'!Z385),HOUR('web survey'!Z385))&amp;":"&amp;IF(MINUTE('web survey'!Z385)&lt;10,"0"&amp;MINUTE('web survey'!Z385),MINUTE('web survey'!Z385))&amp;(":00'")</f>
        <v>1900-01-00 00:00:00'</v>
      </c>
      <c r="N387" s="22">
        <v>384</v>
      </c>
      <c r="O387" s="22">
        <v>0</v>
      </c>
      <c r="P387" s="22">
        <v>0</v>
      </c>
      <c r="Q387" s="22" t="e">
        <v>#N/A</v>
      </c>
      <c r="R387" s="22">
        <v>0</v>
      </c>
      <c r="S387" s="22" t="e">
        <v>#N/A</v>
      </c>
      <c r="T387" s="22">
        <v>0</v>
      </c>
      <c r="U387" s="22" t="e">
        <v>#N/A</v>
      </c>
      <c r="V387" s="22">
        <v>0</v>
      </c>
      <c r="W387" s="22" t="e">
        <v>#N/A</v>
      </c>
      <c r="X387" s="22" t="s">
        <v>695</v>
      </c>
    </row>
    <row r="388" spans="1:24">
      <c r="A388" s="28">
        <f>IF(B388="","",ROW()-COUNTBLANK($B$4:B388)-3)</f>
        <v>385</v>
      </c>
      <c r="B388" s="28">
        <f>'web survey'!C386</f>
        <v>0</v>
      </c>
      <c r="C388" s="29">
        <f>'web survey'!AA386</f>
        <v>0</v>
      </c>
      <c r="D388" s="30" t="e">
        <f>IF(B388="FU-ACInstall",VLOOKUP(VALUE('web survey'!D386),ref!$B$6:$C$7,2,0)&amp;" ("&amp;'web survey'!D386&amp;")",VLOOKUP(VALUE('web survey'!D386),ref!$E$6:$F$10,2,0)&amp;" ("&amp;'web survey'!D386&amp;")")</f>
        <v>#N/A</v>
      </c>
      <c r="E388" s="32">
        <f>'web survey'!S386</f>
        <v>0</v>
      </c>
      <c r="F388" s="30" t="e">
        <f>IF(B388="FU-ACInstall",VLOOKUP(VALUE('web survey'!E386),ref!$B$10:$C$12,2,0)&amp;" ("&amp;'web survey'!E386&amp;")",VLOOKUP(VALUE('web survey'!E386),ref!$E$13:$F$17,2,0)&amp;" ("&amp;'web survey'!E386&amp;")")</f>
        <v>#N/A</v>
      </c>
      <c r="G388" s="32">
        <f>'web survey'!T386</f>
        <v>0</v>
      </c>
      <c r="H388" s="30" t="e">
        <f>IF(B388="FU-ACInstall",VLOOKUP(VALUE('web survey'!F386),ref!$B$15:$C$17,2,0)&amp;" ("&amp;'web survey'!F386&amp;")",VLOOKUP(VALUE('web survey'!F386),ref!$E$20:$F$21,2,0)&amp;" ("&amp;'web survey'!F386&amp;")")</f>
        <v>#N/A</v>
      </c>
      <c r="I388" s="32">
        <f>'web survey'!U386</f>
        <v>0</v>
      </c>
      <c r="J388" s="30" t="e">
        <f>IF(B388="FU-ACInstall","-",VLOOKUP(VALUE('web survey'!G386),ref!$E$24:$F$26,2,0)&amp;" ("&amp;'web survey'!G386&amp;")")</f>
        <v>#N/A</v>
      </c>
      <c r="K388" s="28" t="str">
        <f>YEAR('web survey'!Z386)&amp;"-"&amp;IF(MONTH('web survey'!Z386)&lt;10,"0"&amp;MONTH('web survey'!Z386),MONTH('web survey'!Z386))&amp;"-"&amp;IF(DAY('web survey'!Z386)&lt;10,"0"&amp;DAY('web survey'!Z386),DAY('web survey'!Z386))&amp;" "&amp;IF(HOUR('web survey'!Z386)&lt;10,"0"&amp;HOUR('web survey'!Z386),HOUR('web survey'!Z386))&amp;":"&amp;IF(MINUTE('web survey'!Z386)&lt;10,"0"&amp;MINUTE('web survey'!Z386),MINUTE('web survey'!Z386))&amp;(":00'")</f>
        <v>1900-01-00 00:00:00'</v>
      </c>
      <c r="N388" s="22">
        <v>385</v>
      </c>
      <c r="O388" s="22">
        <v>0</v>
      </c>
      <c r="P388" s="22">
        <v>0</v>
      </c>
      <c r="Q388" s="22" t="e">
        <v>#N/A</v>
      </c>
      <c r="R388" s="22">
        <v>0</v>
      </c>
      <c r="S388" s="22" t="e">
        <v>#N/A</v>
      </c>
      <c r="T388" s="22">
        <v>0</v>
      </c>
      <c r="U388" s="22" t="e">
        <v>#N/A</v>
      </c>
      <c r="V388" s="22">
        <v>0</v>
      </c>
      <c r="W388" s="22" t="e">
        <v>#N/A</v>
      </c>
      <c r="X388" s="22" t="s">
        <v>695</v>
      </c>
    </row>
    <row r="389" spans="1:24">
      <c r="A389" s="28">
        <f>IF(B389="","",ROW()-COUNTBLANK($B$4:B389)-3)</f>
        <v>386</v>
      </c>
      <c r="B389" s="28">
        <f>'web survey'!C387</f>
        <v>0</v>
      </c>
      <c r="C389" s="29">
        <f>'web survey'!AA387</f>
        <v>0</v>
      </c>
      <c r="D389" s="30" t="e">
        <f>IF(B389="FU-ACInstall",VLOOKUP(VALUE('web survey'!D387),ref!$B$6:$C$7,2,0)&amp;" ("&amp;'web survey'!D387&amp;")",VLOOKUP(VALUE('web survey'!D387),ref!$E$6:$F$10,2,0)&amp;" ("&amp;'web survey'!D387&amp;")")</f>
        <v>#N/A</v>
      </c>
      <c r="E389" s="32">
        <f>'web survey'!S387</f>
        <v>0</v>
      </c>
      <c r="F389" s="30" t="e">
        <f>IF(B389="FU-ACInstall",VLOOKUP(VALUE('web survey'!E387),ref!$B$10:$C$12,2,0)&amp;" ("&amp;'web survey'!E387&amp;")",VLOOKUP(VALUE('web survey'!E387),ref!$E$13:$F$17,2,0)&amp;" ("&amp;'web survey'!E387&amp;")")</f>
        <v>#N/A</v>
      </c>
      <c r="G389" s="32">
        <f>'web survey'!T387</f>
        <v>0</v>
      </c>
      <c r="H389" s="30" t="e">
        <f>IF(B389="FU-ACInstall",VLOOKUP(VALUE('web survey'!F387),ref!$B$15:$C$17,2,0)&amp;" ("&amp;'web survey'!F387&amp;")",VLOOKUP(VALUE('web survey'!F387),ref!$E$20:$F$21,2,0)&amp;" ("&amp;'web survey'!F387&amp;")")</f>
        <v>#N/A</v>
      </c>
      <c r="I389" s="32">
        <f>'web survey'!U387</f>
        <v>0</v>
      </c>
      <c r="J389" s="30" t="e">
        <f>IF(B389="FU-ACInstall","-",VLOOKUP(VALUE('web survey'!G387),ref!$E$24:$F$26,2,0)&amp;" ("&amp;'web survey'!G387&amp;")")</f>
        <v>#N/A</v>
      </c>
      <c r="K389" s="28" t="str">
        <f>YEAR('web survey'!Z387)&amp;"-"&amp;IF(MONTH('web survey'!Z387)&lt;10,"0"&amp;MONTH('web survey'!Z387),MONTH('web survey'!Z387))&amp;"-"&amp;IF(DAY('web survey'!Z387)&lt;10,"0"&amp;DAY('web survey'!Z387),DAY('web survey'!Z387))&amp;" "&amp;IF(HOUR('web survey'!Z387)&lt;10,"0"&amp;HOUR('web survey'!Z387),HOUR('web survey'!Z387))&amp;":"&amp;IF(MINUTE('web survey'!Z387)&lt;10,"0"&amp;MINUTE('web survey'!Z387),MINUTE('web survey'!Z387))&amp;(":00'")</f>
        <v>1900-01-00 00:00:00'</v>
      </c>
      <c r="N389" s="22">
        <v>386</v>
      </c>
      <c r="O389" s="22">
        <v>0</v>
      </c>
      <c r="P389" s="22">
        <v>0</v>
      </c>
      <c r="Q389" s="22" t="e">
        <v>#N/A</v>
      </c>
      <c r="R389" s="22">
        <v>0</v>
      </c>
      <c r="S389" s="22" t="e">
        <v>#N/A</v>
      </c>
      <c r="T389" s="22">
        <v>0</v>
      </c>
      <c r="U389" s="22" t="e">
        <v>#N/A</v>
      </c>
      <c r="V389" s="22">
        <v>0</v>
      </c>
      <c r="W389" s="22" t="e">
        <v>#N/A</v>
      </c>
      <c r="X389" s="22" t="s">
        <v>695</v>
      </c>
    </row>
    <row r="390" spans="1:24">
      <c r="A390" s="28">
        <f>IF(B390="","",ROW()-COUNTBLANK($B$4:B390)-3)</f>
        <v>387</v>
      </c>
      <c r="B390" s="28">
        <f>'web survey'!C388</f>
        <v>0</v>
      </c>
      <c r="C390" s="29">
        <f>'web survey'!AA388</f>
        <v>0</v>
      </c>
      <c r="D390" s="30" t="e">
        <f>IF(B390="FU-ACInstall",VLOOKUP(VALUE('web survey'!D388),ref!$B$6:$C$7,2,0)&amp;" ("&amp;'web survey'!D388&amp;")",VLOOKUP(VALUE('web survey'!D388),ref!$E$6:$F$10,2,0)&amp;" ("&amp;'web survey'!D388&amp;")")</f>
        <v>#N/A</v>
      </c>
      <c r="E390" s="32">
        <f>'web survey'!S388</f>
        <v>0</v>
      </c>
      <c r="F390" s="30" t="e">
        <f>IF(B390="FU-ACInstall",VLOOKUP(VALUE('web survey'!E388),ref!$B$10:$C$12,2,0)&amp;" ("&amp;'web survey'!E388&amp;")",VLOOKUP(VALUE('web survey'!E388),ref!$E$13:$F$17,2,0)&amp;" ("&amp;'web survey'!E388&amp;")")</f>
        <v>#N/A</v>
      </c>
      <c r="G390" s="32">
        <f>'web survey'!T388</f>
        <v>0</v>
      </c>
      <c r="H390" s="30" t="e">
        <f>IF(B390="FU-ACInstall",VLOOKUP(VALUE('web survey'!F388),ref!$B$15:$C$17,2,0)&amp;" ("&amp;'web survey'!F388&amp;")",VLOOKUP(VALUE('web survey'!F388),ref!$E$20:$F$21,2,0)&amp;" ("&amp;'web survey'!F388&amp;")")</f>
        <v>#N/A</v>
      </c>
      <c r="I390" s="32">
        <f>'web survey'!U388</f>
        <v>0</v>
      </c>
      <c r="J390" s="30" t="e">
        <f>IF(B390="FU-ACInstall","-",VLOOKUP(VALUE('web survey'!G388),ref!$E$24:$F$26,2,0)&amp;" ("&amp;'web survey'!G388&amp;")")</f>
        <v>#N/A</v>
      </c>
      <c r="K390" s="28" t="str">
        <f>YEAR('web survey'!Z388)&amp;"-"&amp;IF(MONTH('web survey'!Z388)&lt;10,"0"&amp;MONTH('web survey'!Z388),MONTH('web survey'!Z388))&amp;"-"&amp;IF(DAY('web survey'!Z388)&lt;10,"0"&amp;DAY('web survey'!Z388),DAY('web survey'!Z388))&amp;" "&amp;IF(HOUR('web survey'!Z388)&lt;10,"0"&amp;HOUR('web survey'!Z388),HOUR('web survey'!Z388))&amp;":"&amp;IF(MINUTE('web survey'!Z388)&lt;10,"0"&amp;MINUTE('web survey'!Z388),MINUTE('web survey'!Z388))&amp;(":00'")</f>
        <v>1900-01-00 00:00:00'</v>
      </c>
      <c r="N390" s="22">
        <v>387</v>
      </c>
      <c r="O390" s="22">
        <v>0</v>
      </c>
      <c r="P390" s="22">
        <v>0</v>
      </c>
      <c r="Q390" s="22" t="e">
        <v>#N/A</v>
      </c>
      <c r="R390" s="22">
        <v>0</v>
      </c>
      <c r="S390" s="22" t="e">
        <v>#N/A</v>
      </c>
      <c r="T390" s="22">
        <v>0</v>
      </c>
      <c r="U390" s="22" t="e">
        <v>#N/A</v>
      </c>
      <c r="V390" s="22">
        <v>0</v>
      </c>
      <c r="W390" s="22" t="e">
        <v>#N/A</v>
      </c>
      <c r="X390" s="22" t="s">
        <v>695</v>
      </c>
    </row>
    <row r="391" spans="1:24">
      <c r="A391" s="28">
        <f>IF(B391="","",ROW()-COUNTBLANK($B$4:B391)-3)</f>
        <v>388</v>
      </c>
      <c r="B391" s="28">
        <f>'web survey'!C389</f>
        <v>0</v>
      </c>
      <c r="C391" s="29">
        <f>'web survey'!AA389</f>
        <v>0</v>
      </c>
      <c r="D391" s="30" t="e">
        <f>IF(B391="FU-ACInstall",VLOOKUP(VALUE('web survey'!D389),ref!$B$6:$C$7,2,0)&amp;" ("&amp;'web survey'!D389&amp;")",VLOOKUP(VALUE('web survey'!D389),ref!$E$6:$F$10,2,0)&amp;" ("&amp;'web survey'!D389&amp;")")</f>
        <v>#N/A</v>
      </c>
      <c r="E391" s="32">
        <f>'web survey'!S389</f>
        <v>0</v>
      </c>
      <c r="F391" s="30" t="e">
        <f>IF(B391="FU-ACInstall",VLOOKUP(VALUE('web survey'!E389),ref!$B$10:$C$12,2,0)&amp;" ("&amp;'web survey'!E389&amp;")",VLOOKUP(VALUE('web survey'!E389),ref!$E$13:$F$17,2,0)&amp;" ("&amp;'web survey'!E389&amp;")")</f>
        <v>#N/A</v>
      </c>
      <c r="G391" s="32">
        <f>'web survey'!T389</f>
        <v>0</v>
      </c>
      <c r="H391" s="30" t="e">
        <f>IF(B391="FU-ACInstall",VLOOKUP(VALUE('web survey'!F389),ref!$B$15:$C$17,2,0)&amp;" ("&amp;'web survey'!F389&amp;")",VLOOKUP(VALUE('web survey'!F389),ref!$E$20:$F$21,2,0)&amp;" ("&amp;'web survey'!F389&amp;")")</f>
        <v>#N/A</v>
      </c>
      <c r="I391" s="32">
        <f>'web survey'!U389</f>
        <v>0</v>
      </c>
      <c r="J391" s="30" t="e">
        <f>IF(B391="FU-ACInstall","-",VLOOKUP(VALUE('web survey'!G389),ref!$E$24:$F$26,2,0)&amp;" ("&amp;'web survey'!G389&amp;")")</f>
        <v>#N/A</v>
      </c>
      <c r="K391" s="28" t="str">
        <f>YEAR('web survey'!Z389)&amp;"-"&amp;IF(MONTH('web survey'!Z389)&lt;10,"0"&amp;MONTH('web survey'!Z389),MONTH('web survey'!Z389))&amp;"-"&amp;IF(DAY('web survey'!Z389)&lt;10,"0"&amp;DAY('web survey'!Z389),DAY('web survey'!Z389))&amp;" "&amp;IF(HOUR('web survey'!Z389)&lt;10,"0"&amp;HOUR('web survey'!Z389),HOUR('web survey'!Z389))&amp;":"&amp;IF(MINUTE('web survey'!Z389)&lt;10,"0"&amp;MINUTE('web survey'!Z389),MINUTE('web survey'!Z389))&amp;(":00'")</f>
        <v>1900-01-00 00:00:00'</v>
      </c>
      <c r="N391" s="22">
        <v>388</v>
      </c>
      <c r="O391" s="22">
        <v>0</v>
      </c>
      <c r="P391" s="22">
        <v>0</v>
      </c>
      <c r="Q391" s="22" t="e">
        <v>#N/A</v>
      </c>
      <c r="R391" s="22">
        <v>0</v>
      </c>
      <c r="S391" s="22" t="e">
        <v>#N/A</v>
      </c>
      <c r="T391" s="22">
        <v>0</v>
      </c>
      <c r="U391" s="22" t="e">
        <v>#N/A</v>
      </c>
      <c r="V391" s="22">
        <v>0</v>
      </c>
      <c r="W391" s="22" t="e">
        <v>#N/A</v>
      </c>
      <c r="X391" s="22" t="s">
        <v>695</v>
      </c>
    </row>
    <row r="392" spans="1:24">
      <c r="A392" s="28">
        <f>IF(B392="","",ROW()-COUNTBLANK($B$4:B392)-3)</f>
        <v>389</v>
      </c>
      <c r="B392" s="28">
        <f>'web survey'!C390</f>
        <v>0</v>
      </c>
      <c r="C392" s="29">
        <f>'web survey'!AA390</f>
        <v>0</v>
      </c>
      <c r="D392" s="30" t="e">
        <f>IF(B392="FU-ACInstall",VLOOKUP(VALUE('web survey'!D390),ref!$B$6:$C$7,2,0)&amp;" ("&amp;'web survey'!D390&amp;")",VLOOKUP(VALUE('web survey'!D390),ref!$E$6:$F$10,2,0)&amp;" ("&amp;'web survey'!D390&amp;")")</f>
        <v>#N/A</v>
      </c>
      <c r="E392" s="32">
        <f>'web survey'!S390</f>
        <v>0</v>
      </c>
      <c r="F392" s="30" t="e">
        <f>IF(B392="FU-ACInstall",VLOOKUP(VALUE('web survey'!E390),ref!$B$10:$C$12,2,0)&amp;" ("&amp;'web survey'!E390&amp;")",VLOOKUP(VALUE('web survey'!E390),ref!$E$13:$F$17,2,0)&amp;" ("&amp;'web survey'!E390&amp;")")</f>
        <v>#N/A</v>
      </c>
      <c r="G392" s="32">
        <f>'web survey'!T390</f>
        <v>0</v>
      </c>
      <c r="H392" s="30" t="e">
        <f>IF(B392="FU-ACInstall",VLOOKUP(VALUE('web survey'!F390),ref!$B$15:$C$17,2,0)&amp;" ("&amp;'web survey'!F390&amp;")",VLOOKUP(VALUE('web survey'!F390),ref!$E$20:$F$21,2,0)&amp;" ("&amp;'web survey'!F390&amp;")")</f>
        <v>#N/A</v>
      </c>
      <c r="I392" s="32">
        <f>'web survey'!U390</f>
        <v>0</v>
      </c>
      <c r="J392" s="30" t="e">
        <f>IF(B392="FU-ACInstall","-",VLOOKUP(VALUE('web survey'!G390),ref!$E$24:$F$26,2,0)&amp;" ("&amp;'web survey'!G390&amp;")")</f>
        <v>#N/A</v>
      </c>
      <c r="K392" s="28" t="str">
        <f>YEAR('web survey'!Z390)&amp;"-"&amp;IF(MONTH('web survey'!Z390)&lt;10,"0"&amp;MONTH('web survey'!Z390),MONTH('web survey'!Z390))&amp;"-"&amp;IF(DAY('web survey'!Z390)&lt;10,"0"&amp;DAY('web survey'!Z390),DAY('web survey'!Z390))&amp;" "&amp;IF(HOUR('web survey'!Z390)&lt;10,"0"&amp;HOUR('web survey'!Z390),HOUR('web survey'!Z390))&amp;":"&amp;IF(MINUTE('web survey'!Z390)&lt;10,"0"&amp;MINUTE('web survey'!Z390),MINUTE('web survey'!Z390))&amp;(":00'")</f>
        <v>1900-01-00 00:00:00'</v>
      </c>
      <c r="N392" s="22">
        <v>389</v>
      </c>
      <c r="O392" s="22">
        <v>0</v>
      </c>
      <c r="P392" s="22">
        <v>0</v>
      </c>
      <c r="Q392" s="22" t="e">
        <v>#N/A</v>
      </c>
      <c r="R392" s="22">
        <v>0</v>
      </c>
      <c r="S392" s="22" t="e">
        <v>#N/A</v>
      </c>
      <c r="T392" s="22">
        <v>0</v>
      </c>
      <c r="U392" s="22" t="e">
        <v>#N/A</v>
      </c>
      <c r="V392" s="22">
        <v>0</v>
      </c>
      <c r="W392" s="22" t="e">
        <v>#N/A</v>
      </c>
      <c r="X392" s="22" t="s">
        <v>695</v>
      </c>
    </row>
    <row r="393" spans="1:24">
      <c r="A393" s="28">
        <f>IF(B393="","",ROW()-COUNTBLANK($B$4:B393)-3)</f>
        <v>390</v>
      </c>
      <c r="B393" s="28">
        <f>'web survey'!C391</f>
        <v>0</v>
      </c>
      <c r="C393" s="29">
        <f>'web survey'!AA391</f>
        <v>0</v>
      </c>
      <c r="D393" s="30" t="e">
        <f>IF(B393="FU-ACInstall",VLOOKUP(VALUE('web survey'!D391),ref!$B$6:$C$7,2,0)&amp;" ("&amp;'web survey'!D391&amp;")",VLOOKUP(VALUE('web survey'!D391),ref!$E$6:$F$10,2,0)&amp;" ("&amp;'web survey'!D391&amp;")")</f>
        <v>#N/A</v>
      </c>
      <c r="E393" s="32">
        <f>'web survey'!S391</f>
        <v>0</v>
      </c>
      <c r="F393" s="30" t="e">
        <f>IF(B393="FU-ACInstall",VLOOKUP(VALUE('web survey'!E391),ref!$B$10:$C$12,2,0)&amp;" ("&amp;'web survey'!E391&amp;")",VLOOKUP(VALUE('web survey'!E391),ref!$E$13:$F$17,2,0)&amp;" ("&amp;'web survey'!E391&amp;")")</f>
        <v>#N/A</v>
      </c>
      <c r="G393" s="32">
        <f>'web survey'!T391</f>
        <v>0</v>
      </c>
      <c r="H393" s="30" t="e">
        <f>IF(B393="FU-ACInstall",VLOOKUP(VALUE('web survey'!F391),ref!$B$15:$C$17,2,0)&amp;" ("&amp;'web survey'!F391&amp;")",VLOOKUP(VALUE('web survey'!F391),ref!$E$20:$F$21,2,0)&amp;" ("&amp;'web survey'!F391&amp;")")</f>
        <v>#N/A</v>
      </c>
      <c r="I393" s="32">
        <f>'web survey'!U391</f>
        <v>0</v>
      </c>
      <c r="J393" s="30" t="e">
        <f>IF(B393="FU-ACInstall","-",VLOOKUP(VALUE('web survey'!G391),ref!$E$24:$F$26,2,0)&amp;" ("&amp;'web survey'!G391&amp;")")</f>
        <v>#N/A</v>
      </c>
      <c r="K393" s="28" t="str">
        <f>YEAR('web survey'!Z391)&amp;"-"&amp;IF(MONTH('web survey'!Z391)&lt;10,"0"&amp;MONTH('web survey'!Z391),MONTH('web survey'!Z391))&amp;"-"&amp;IF(DAY('web survey'!Z391)&lt;10,"0"&amp;DAY('web survey'!Z391),DAY('web survey'!Z391))&amp;" "&amp;IF(HOUR('web survey'!Z391)&lt;10,"0"&amp;HOUR('web survey'!Z391),HOUR('web survey'!Z391))&amp;":"&amp;IF(MINUTE('web survey'!Z391)&lt;10,"0"&amp;MINUTE('web survey'!Z391),MINUTE('web survey'!Z391))&amp;(":00'")</f>
        <v>1900-01-00 00:00:00'</v>
      </c>
      <c r="N393" s="22">
        <v>390</v>
      </c>
      <c r="O393" s="22">
        <v>0</v>
      </c>
      <c r="P393" s="22">
        <v>0</v>
      </c>
      <c r="Q393" s="22" t="e">
        <v>#N/A</v>
      </c>
      <c r="R393" s="22">
        <v>0</v>
      </c>
      <c r="S393" s="22" t="e">
        <v>#N/A</v>
      </c>
      <c r="T393" s="22">
        <v>0</v>
      </c>
      <c r="U393" s="22" t="e">
        <v>#N/A</v>
      </c>
      <c r="V393" s="22">
        <v>0</v>
      </c>
      <c r="W393" s="22" t="e">
        <v>#N/A</v>
      </c>
      <c r="X393" s="22" t="s">
        <v>695</v>
      </c>
    </row>
    <row r="394" spans="1:24">
      <c r="A394" s="28">
        <f>IF(B394="","",ROW()-COUNTBLANK($B$4:B394)-3)</f>
        <v>391</v>
      </c>
      <c r="B394" s="28">
        <f>'web survey'!C392</f>
        <v>0</v>
      </c>
      <c r="C394" s="29">
        <f>'web survey'!AA392</f>
        <v>0</v>
      </c>
      <c r="D394" s="30" t="e">
        <f>IF(B394="FU-ACInstall",VLOOKUP(VALUE('web survey'!D392),ref!$B$6:$C$7,2,0)&amp;" ("&amp;'web survey'!D392&amp;")",VLOOKUP(VALUE('web survey'!D392),ref!$E$6:$F$10,2,0)&amp;" ("&amp;'web survey'!D392&amp;")")</f>
        <v>#N/A</v>
      </c>
      <c r="E394" s="32">
        <f>'web survey'!S392</f>
        <v>0</v>
      </c>
      <c r="F394" s="30" t="e">
        <f>IF(B394="FU-ACInstall",VLOOKUP(VALUE('web survey'!E392),ref!$B$10:$C$12,2,0)&amp;" ("&amp;'web survey'!E392&amp;")",VLOOKUP(VALUE('web survey'!E392),ref!$E$13:$F$17,2,0)&amp;" ("&amp;'web survey'!E392&amp;")")</f>
        <v>#N/A</v>
      </c>
      <c r="G394" s="32">
        <f>'web survey'!T392</f>
        <v>0</v>
      </c>
      <c r="H394" s="30" t="e">
        <f>IF(B394="FU-ACInstall",VLOOKUP(VALUE('web survey'!F392),ref!$B$15:$C$17,2,0)&amp;" ("&amp;'web survey'!F392&amp;")",VLOOKUP(VALUE('web survey'!F392),ref!$E$20:$F$21,2,0)&amp;" ("&amp;'web survey'!F392&amp;")")</f>
        <v>#N/A</v>
      </c>
      <c r="I394" s="32">
        <f>'web survey'!U392</f>
        <v>0</v>
      </c>
      <c r="J394" s="30" t="e">
        <f>IF(B394="FU-ACInstall","-",VLOOKUP(VALUE('web survey'!G392),ref!$E$24:$F$26,2,0)&amp;" ("&amp;'web survey'!G392&amp;")")</f>
        <v>#N/A</v>
      </c>
      <c r="K394" s="28" t="str">
        <f>YEAR('web survey'!Z392)&amp;"-"&amp;IF(MONTH('web survey'!Z392)&lt;10,"0"&amp;MONTH('web survey'!Z392),MONTH('web survey'!Z392))&amp;"-"&amp;IF(DAY('web survey'!Z392)&lt;10,"0"&amp;DAY('web survey'!Z392),DAY('web survey'!Z392))&amp;" "&amp;IF(HOUR('web survey'!Z392)&lt;10,"0"&amp;HOUR('web survey'!Z392),HOUR('web survey'!Z392))&amp;":"&amp;IF(MINUTE('web survey'!Z392)&lt;10,"0"&amp;MINUTE('web survey'!Z392),MINUTE('web survey'!Z392))&amp;(":00'")</f>
        <v>1900-01-00 00:00:00'</v>
      </c>
      <c r="N394" s="22">
        <v>391</v>
      </c>
      <c r="O394" s="22">
        <v>0</v>
      </c>
      <c r="P394" s="22">
        <v>0</v>
      </c>
      <c r="Q394" s="22" t="e">
        <v>#N/A</v>
      </c>
      <c r="R394" s="22">
        <v>0</v>
      </c>
      <c r="S394" s="22" t="e">
        <v>#N/A</v>
      </c>
      <c r="T394" s="22">
        <v>0</v>
      </c>
      <c r="U394" s="22" t="e">
        <v>#N/A</v>
      </c>
      <c r="V394" s="22">
        <v>0</v>
      </c>
      <c r="W394" s="22" t="e">
        <v>#N/A</v>
      </c>
      <c r="X394" s="22" t="s">
        <v>695</v>
      </c>
    </row>
    <row r="395" spans="1:24">
      <c r="A395" s="28">
        <f>IF(B395="","",ROW()-COUNTBLANK($B$4:B395)-3)</f>
        <v>392</v>
      </c>
      <c r="B395" s="28">
        <f>'web survey'!C393</f>
        <v>0</v>
      </c>
      <c r="C395" s="29">
        <f>'web survey'!AA393</f>
        <v>0</v>
      </c>
      <c r="D395" s="30" t="e">
        <f>IF(B395="FU-ACInstall",VLOOKUP(VALUE('web survey'!D393),ref!$B$6:$C$7,2,0)&amp;" ("&amp;'web survey'!D393&amp;")",VLOOKUP(VALUE('web survey'!D393),ref!$E$6:$F$10,2,0)&amp;" ("&amp;'web survey'!D393&amp;")")</f>
        <v>#N/A</v>
      </c>
      <c r="E395" s="32">
        <f>'web survey'!S393</f>
        <v>0</v>
      </c>
      <c r="F395" s="30" t="e">
        <f>IF(B395="FU-ACInstall",VLOOKUP(VALUE('web survey'!E393),ref!$B$10:$C$12,2,0)&amp;" ("&amp;'web survey'!E393&amp;")",VLOOKUP(VALUE('web survey'!E393),ref!$E$13:$F$17,2,0)&amp;" ("&amp;'web survey'!E393&amp;")")</f>
        <v>#N/A</v>
      </c>
      <c r="G395" s="32">
        <f>'web survey'!T393</f>
        <v>0</v>
      </c>
      <c r="H395" s="30" t="e">
        <f>IF(B395="FU-ACInstall",VLOOKUP(VALUE('web survey'!F393),ref!$B$15:$C$17,2,0)&amp;" ("&amp;'web survey'!F393&amp;")",VLOOKUP(VALUE('web survey'!F393),ref!$E$20:$F$21,2,0)&amp;" ("&amp;'web survey'!F393&amp;")")</f>
        <v>#N/A</v>
      </c>
      <c r="I395" s="32">
        <f>'web survey'!U393</f>
        <v>0</v>
      </c>
      <c r="J395" s="30" t="e">
        <f>IF(B395="FU-ACInstall","-",VLOOKUP(VALUE('web survey'!G393),ref!$E$24:$F$26,2,0)&amp;" ("&amp;'web survey'!G393&amp;")")</f>
        <v>#N/A</v>
      </c>
      <c r="K395" s="28" t="str">
        <f>YEAR('web survey'!Z393)&amp;"-"&amp;IF(MONTH('web survey'!Z393)&lt;10,"0"&amp;MONTH('web survey'!Z393),MONTH('web survey'!Z393))&amp;"-"&amp;IF(DAY('web survey'!Z393)&lt;10,"0"&amp;DAY('web survey'!Z393),DAY('web survey'!Z393))&amp;" "&amp;IF(HOUR('web survey'!Z393)&lt;10,"0"&amp;HOUR('web survey'!Z393),HOUR('web survey'!Z393))&amp;":"&amp;IF(MINUTE('web survey'!Z393)&lt;10,"0"&amp;MINUTE('web survey'!Z393),MINUTE('web survey'!Z393))&amp;(":00'")</f>
        <v>1900-01-00 00:00:00'</v>
      </c>
      <c r="N395" s="22">
        <v>392</v>
      </c>
      <c r="O395" s="22">
        <v>0</v>
      </c>
      <c r="P395" s="22">
        <v>0</v>
      </c>
      <c r="Q395" s="22" t="e">
        <v>#N/A</v>
      </c>
      <c r="R395" s="22">
        <v>0</v>
      </c>
      <c r="S395" s="22" t="e">
        <v>#N/A</v>
      </c>
      <c r="T395" s="22">
        <v>0</v>
      </c>
      <c r="U395" s="22" t="e">
        <v>#N/A</v>
      </c>
      <c r="V395" s="22">
        <v>0</v>
      </c>
      <c r="W395" s="22" t="e">
        <v>#N/A</v>
      </c>
      <c r="X395" s="22" t="s">
        <v>695</v>
      </c>
    </row>
    <row r="396" spans="1:24">
      <c r="A396" s="28">
        <f>IF(B396="","",ROW()-COUNTBLANK($B$4:B396)-3)</f>
        <v>393</v>
      </c>
      <c r="B396" s="28">
        <f>'web survey'!C394</f>
        <v>0</v>
      </c>
      <c r="C396" s="29">
        <f>'web survey'!AA394</f>
        <v>0</v>
      </c>
      <c r="D396" s="30" t="e">
        <f>IF(B396="FU-ACInstall",VLOOKUP(VALUE('web survey'!D394),ref!$B$6:$C$7,2,0)&amp;" ("&amp;'web survey'!D394&amp;")",VLOOKUP(VALUE('web survey'!D394),ref!$E$6:$F$10,2,0)&amp;" ("&amp;'web survey'!D394&amp;")")</f>
        <v>#N/A</v>
      </c>
      <c r="E396" s="32">
        <f>'web survey'!S394</f>
        <v>0</v>
      </c>
      <c r="F396" s="30" t="e">
        <f>IF(B396="FU-ACInstall",VLOOKUP(VALUE('web survey'!E394),ref!$B$10:$C$12,2,0)&amp;" ("&amp;'web survey'!E394&amp;")",VLOOKUP(VALUE('web survey'!E394),ref!$E$13:$F$17,2,0)&amp;" ("&amp;'web survey'!E394&amp;")")</f>
        <v>#N/A</v>
      </c>
      <c r="G396" s="32">
        <f>'web survey'!T394</f>
        <v>0</v>
      </c>
      <c r="H396" s="30" t="e">
        <f>IF(B396="FU-ACInstall",VLOOKUP(VALUE('web survey'!F394),ref!$B$15:$C$17,2,0)&amp;" ("&amp;'web survey'!F394&amp;")",VLOOKUP(VALUE('web survey'!F394),ref!$E$20:$F$21,2,0)&amp;" ("&amp;'web survey'!F394&amp;")")</f>
        <v>#N/A</v>
      </c>
      <c r="I396" s="32">
        <f>'web survey'!U394</f>
        <v>0</v>
      </c>
      <c r="J396" s="30" t="e">
        <f>IF(B396="FU-ACInstall","-",VLOOKUP(VALUE('web survey'!G394),ref!$E$24:$F$26,2,0)&amp;" ("&amp;'web survey'!G394&amp;")")</f>
        <v>#N/A</v>
      </c>
      <c r="K396" s="28" t="str">
        <f>YEAR('web survey'!Z394)&amp;"-"&amp;IF(MONTH('web survey'!Z394)&lt;10,"0"&amp;MONTH('web survey'!Z394),MONTH('web survey'!Z394))&amp;"-"&amp;IF(DAY('web survey'!Z394)&lt;10,"0"&amp;DAY('web survey'!Z394),DAY('web survey'!Z394))&amp;" "&amp;IF(HOUR('web survey'!Z394)&lt;10,"0"&amp;HOUR('web survey'!Z394),HOUR('web survey'!Z394))&amp;":"&amp;IF(MINUTE('web survey'!Z394)&lt;10,"0"&amp;MINUTE('web survey'!Z394),MINUTE('web survey'!Z394))&amp;(":00'")</f>
        <v>1900-01-00 00:00:00'</v>
      </c>
      <c r="N396" s="22">
        <v>393</v>
      </c>
      <c r="O396" s="22">
        <v>0</v>
      </c>
      <c r="P396" s="22">
        <v>0</v>
      </c>
      <c r="Q396" s="22" t="e">
        <v>#N/A</v>
      </c>
      <c r="R396" s="22">
        <v>0</v>
      </c>
      <c r="S396" s="22" t="e">
        <v>#N/A</v>
      </c>
      <c r="T396" s="22">
        <v>0</v>
      </c>
      <c r="U396" s="22" t="e">
        <v>#N/A</v>
      </c>
      <c r="V396" s="22">
        <v>0</v>
      </c>
      <c r="W396" s="22" t="e">
        <v>#N/A</v>
      </c>
      <c r="X396" s="22" t="s">
        <v>695</v>
      </c>
    </row>
    <row r="397" spans="1:24">
      <c r="A397" s="28">
        <f>IF(B397="","",ROW()-COUNTBLANK($B$4:B397)-3)</f>
        <v>394</v>
      </c>
      <c r="B397" s="28">
        <f>'web survey'!C395</f>
        <v>0</v>
      </c>
      <c r="C397" s="29">
        <f>'web survey'!AA395</f>
        <v>0</v>
      </c>
      <c r="D397" s="30" t="e">
        <f>IF(B397="FU-ACInstall",VLOOKUP(VALUE('web survey'!D395),ref!$B$6:$C$7,2,0)&amp;" ("&amp;'web survey'!D395&amp;")",VLOOKUP(VALUE('web survey'!D395),ref!$E$6:$F$10,2,0)&amp;" ("&amp;'web survey'!D395&amp;")")</f>
        <v>#N/A</v>
      </c>
      <c r="E397" s="32">
        <f>'web survey'!S395</f>
        <v>0</v>
      </c>
      <c r="F397" s="30" t="e">
        <f>IF(B397="FU-ACInstall",VLOOKUP(VALUE('web survey'!E395),ref!$B$10:$C$12,2,0)&amp;" ("&amp;'web survey'!E395&amp;")",VLOOKUP(VALUE('web survey'!E395),ref!$E$13:$F$17,2,0)&amp;" ("&amp;'web survey'!E395&amp;")")</f>
        <v>#N/A</v>
      </c>
      <c r="G397" s="32">
        <f>'web survey'!T395</f>
        <v>0</v>
      </c>
      <c r="H397" s="30" t="e">
        <f>IF(B397="FU-ACInstall",VLOOKUP(VALUE('web survey'!F395),ref!$B$15:$C$17,2,0)&amp;" ("&amp;'web survey'!F395&amp;")",VLOOKUP(VALUE('web survey'!F395),ref!$E$20:$F$21,2,0)&amp;" ("&amp;'web survey'!F395&amp;")")</f>
        <v>#N/A</v>
      </c>
      <c r="I397" s="32">
        <f>'web survey'!U395</f>
        <v>0</v>
      </c>
      <c r="J397" s="30" t="e">
        <f>IF(B397="FU-ACInstall","-",VLOOKUP(VALUE('web survey'!G395),ref!$E$24:$F$26,2,0)&amp;" ("&amp;'web survey'!G395&amp;")")</f>
        <v>#N/A</v>
      </c>
      <c r="K397" s="28" t="str">
        <f>YEAR('web survey'!Z395)&amp;"-"&amp;IF(MONTH('web survey'!Z395)&lt;10,"0"&amp;MONTH('web survey'!Z395),MONTH('web survey'!Z395))&amp;"-"&amp;IF(DAY('web survey'!Z395)&lt;10,"0"&amp;DAY('web survey'!Z395),DAY('web survey'!Z395))&amp;" "&amp;IF(HOUR('web survey'!Z395)&lt;10,"0"&amp;HOUR('web survey'!Z395),HOUR('web survey'!Z395))&amp;":"&amp;IF(MINUTE('web survey'!Z395)&lt;10,"0"&amp;MINUTE('web survey'!Z395),MINUTE('web survey'!Z395))&amp;(":00'")</f>
        <v>1900-01-00 00:00:00'</v>
      </c>
      <c r="N397" s="22">
        <v>394</v>
      </c>
      <c r="O397" s="22">
        <v>0</v>
      </c>
      <c r="P397" s="22">
        <v>0</v>
      </c>
      <c r="Q397" s="22" t="e">
        <v>#N/A</v>
      </c>
      <c r="R397" s="22">
        <v>0</v>
      </c>
      <c r="S397" s="22" t="e">
        <v>#N/A</v>
      </c>
      <c r="T397" s="22">
        <v>0</v>
      </c>
      <c r="U397" s="22" t="e">
        <v>#N/A</v>
      </c>
      <c r="V397" s="22">
        <v>0</v>
      </c>
      <c r="W397" s="22" t="e">
        <v>#N/A</v>
      </c>
      <c r="X397" s="22" t="s">
        <v>695</v>
      </c>
    </row>
    <row r="398" spans="1:24">
      <c r="A398" s="28">
        <f>IF(B398="","",ROW()-COUNTBLANK($B$4:B398)-3)</f>
        <v>395</v>
      </c>
      <c r="B398" s="28">
        <f>'web survey'!C396</f>
        <v>0</v>
      </c>
      <c r="C398" s="29">
        <f>'web survey'!AA396</f>
        <v>0</v>
      </c>
      <c r="D398" s="30" t="e">
        <f>IF(B398="FU-ACInstall",VLOOKUP(VALUE('web survey'!D396),ref!$B$6:$C$7,2,0)&amp;" ("&amp;'web survey'!D396&amp;")",VLOOKUP(VALUE('web survey'!D396),ref!$E$6:$F$10,2,0)&amp;" ("&amp;'web survey'!D396&amp;")")</f>
        <v>#N/A</v>
      </c>
      <c r="E398" s="32">
        <f>'web survey'!S396</f>
        <v>0</v>
      </c>
      <c r="F398" s="30" t="e">
        <f>IF(B398="FU-ACInstall",VLOOKUP(VALUE('web survey'!E396),ref!$B$10:$C$12,2,0)&amp;" ("&amp;'web survey'!E396&amp;")",VLOOKUP(VALUE('web survey'!E396),ref!$E$13:$F$17,2,0)&amp;" ("&amp;'web survey'!E396&amp;")")</f>
        <v>#N/A</v>
      </c>
      <c r="G398" s="32">
        <f>'web survey'!T396</f>
        <v>0</v>
      </c>
      <c r="H398" s="30" t="e">
        <f>IF(B398="FU-ACInstall",VLOOKUP(VALUE('web survey'!F396),ref!$B$15:$C$17,2,0)&amp;" ("&amp;'web survey'!F396&amp;")",VLOOKUP(VALUE('web survey'!F396),ref!$E$20:$F$21,2,0)&amp;" ("&amp;'web survey'!F396&amp;")")</f>
        <v>#N/A</v>
      </c>
      <c r="I398" s="32">
        <f>'web survey'!U396</f>
        <v>0</v>
      </c>
      <c r="J398" s="30" t="e">
        <f>IF(B398="FU-ACInstall","-",VLOOKUP(VALUE('web survey'!G396),ref!$E$24:$F$26,2,0)&amp;" ("&amp;'web survey'!G396&amp;")")</f>
        <v>#N/A</v>
      </c>
      <c r="K398" s="28" t="str">
        <f>YEAR('web survey'!Z396)&amp;"-"&amp;IF(MONTH('web survey'!Z396)&lt;10,"0"&amp;MONTH('web survey'!Z396),MONTH('web survey'!Z396))&amp;"-"&amp;IF(DAY('web survey'!Z396)&lt;10,"0"&amp;DAY('web survey'!Z396),DAY('web survey'!Z396))&amp;" "&amp;IF(HOUR('web survey'!Z396)&lt;10,"0"&amp;HOUR('web survey'!Z396),HOUR('web survey'!Z396))&amp;":"&amp;IF(MINUTE('web survey'!Z396)&lt;10,"0"&amp;MINUTE('web survey'!Z396),MINUTE('web survey'!Z396))&amp;(":00'")</f>
        <v>1900-01-00 00:00:00'</v>
      </c>
      <c r="N398" s="22">
        <v>395</v>
      </c>
      <c r="O398" s="22">
        <v>0</v>
      </c>
      <c r="P398" s="22">
        <v>0</v>
      </c>
      <c r="Q398" s="22" t="e">
        <v>#N/A</v>
      </c>
      <c r="R398" s="22">
        <v>0</v>
      </c>
      <c r="S398" s="22" t="e">
        <v>#N/A</v>
      </c>
      <c r="T398" s="22">
        <v>0</v>
      </c>
      <c r="U398" s="22" t="e">
        <v>#N/A</v>
      </c>
      <c r="V398" s="22">
        <v>0</v>
      </c>
      <c r="W398" s="22" t="e">
        <v>#N/A</v>
      </c>
      <c r="X398" s="22" t="s">
        <v>695</v>
      </c>
    </row>
    <row r="399" spans="1:24">
      <c r="A399" s="28">
        <f>IF(B399="","",ROW()-COUNTBLANK($B$4:B399)-3)</f>
        <v>396</v>
      </c>
      <c r="B399" s="28">
        <f>'web survey'!C397</f>
        <v>0</v>
      </c>
      <c r="C399" s="29">
        <f>'web survey'!AA397</f>
        <v>0</v>
      </c>
      <c r="D399" s="30" t="e">
        <f>IF(B399="FU-ACInstall",VLOOKUP(VALUE('web survey'!D397),ref!$B$6:$C$7,2,0)&amp;" ("&amp;'web survey'!D397&amp;")",VLOOKUP(VALUE('web survey'!D397),ref!$E$6:$F$10,2,0)&amp;" ("&amp;'web survey'!D397&amp;")")</f>
        <v>#N/A</v>
      </c>
      <c r="E399" s="32">
        <f>'web survey'!S397</f>
        <v>0</v>
      </c>
      <c r="F399" s="30" t="e">
        <f>IF(B399="FU-ACInstall",VLOOKUP(VALUE('web survey'!E397),ref!$B$10:$C$12,2,0)&amp;" ("&amp;'web survey'!E397&amp;")",VLOOKUP(VALUE('web survey'!E397),ref!$E$13:$F$17,2,0)&amp;" ("&amp;'web survey'!E397&amp;")")</f>
        <v>#N/A</v>
      </c>
      <c r="G399" s="32">
        <f>'web survey'!T397</f>
        <v>0</v>
      </c>
      <c r="H399" s="30" t="e">
        <f>IF(B399="FU-ACInstall",VLOOKUP(VALUE('web survey'!F397),ref!$B$15:$C$17,2,0)&amp;" ("&amp;'web survey'!F397&amp;")",VLOOKUP(VALUE('web survey'!F397),ref!$E$20:$F$21,2,0)&amp;" ("&amp;'web survey'!F397&amp;")")</f>
        <v>#N/A</v>
      </c>
      <c r="I399" s="32">
        <f>'web survey'!U397</f>
        <v>0</v>
      </c>
      <c r="J399" s="30" t="e">
        <f>IF(B399="FU-ACInstall","-",VLOOKUP(VALUE('web survey'!G397),ref!$E$24:$F$26,2,0)&amp;" ("&amp;'web survey'!G397&amp;")")</f>
        <v>#N/A</v>
      </c>
      <c r="K399" s="28" t="str">
        <f>YEAR('web survey'!Z397)&amp;"-"&amp;IF(MONTH('web survey'!Z397)&lt;10,"0"&amp;MONTH('web survey'!Z397),MONTH('web survey'!Z397))&amp;"-"&amp;IF(DAY('web survey'!Z397)&lt;10,"0"&amp;DAY('web survey'!Z397),DAY('web survey'!Z397))&amp;" "&amp;IF(HOUR('web survey'!Z397)&lt;10,"0"&amp;HOUR('web survey'!Z397),HOUR('web survey'!Z397))&amp;":"&amp;IF(MINUTE('web survey'!Z397)&lt;10,"0"&amp;MINUTE('web survey'!Z397),MINUTE('web survey'!Z397))&amp;(":00'")</f>
        <v>1900-01-00 00:00:00'</v>
      </c>
      <c r="N399" s="22">
        <v>396</v>
      </c>
      <c r="O399" s="22">
        <v>0</v>
      </c>
      <c r="P399" s="22">
        <v>0</v>
      </c>
      <c r="Q399" s="22" t="e">
        <v>#N/A</v>
      </c>
      <c r="R399" s="22">
        <v>0</v>
      </c>
      <c r="S399" s="22" t="e">
        <v>#N/A</v>
      </c>
      <c r="T399" s="22">
        <v>0</v>
      </c>
      <c r="U399" s="22" t="e">
        <v>#N/A</v>
      </c>
      <c r="V399" s="22">
        <v>0</v>
      </c>
      <c r="W399" s="22" t="e">
        <v>#N/A</v>
      </c>
      <c r="X399" s="22" t="s">
        <v>695</v>
      </c>
    </row>
    <row r="400" spans="1:24">
      <c r="A400" s="28">
        <f>IF(B400="","",ROW()-COUNTBLANK($B$4:B400)-3)</f>
        <v>397</v>
      </c>
      <c r="B400" s="28">
        <f>'web survey'!C398</f>
        <v>0</v>
      </c>
      <c r="C400" s="29">
        <f>'web survey'!AA398</f>
        <v>0</v>
      </c>
      <c r="D400" s="30" t="e">
        <f>IF(B400="FU-ACInstall",VLOOKUP(VALUE('web survey'!D398),ref!$B$6:$C$7,2,0)&amp;" ("&amp;'web survey'!D398&amp;")",VLOOKUP(VALUE('web survey'!D398),ref!$E$6:$F$10,2,0)&amp;" ("&amp;'web survey'!D398&amp;")")</f>
        <v>#N/A</v>
      </c>
      <c r="E400" s="32">
        <f>'web survey'!S398</f>
        <v>0</v>
      </c>
      <c r="F400" s="30" t="e">
        <f>IF(B400="FU-ACInstall",VLOOKUP(VALUE('web survey'!E398),ref!$B$10:$C$12,2,0)&amp;" ("&amp;'web survey'!E398&amp;")",VLOOKUP(VALUE('web survey'!E398),ref!$E$13:$F$17,2,0)&amp;" ("&amp;'web survey'!E398&amp;")")</f>
        <v>#N/A</v>
      </c>
      <c r="G400" s="32">
        <f>'web survey'!T398</f>
        <v>0</v>
      </c>
      <c r="H400" s="30" t="e">
        <f>IF(B400="FU-ACInstall",VLOOKUP(VALUE('web survey'!F398),ref!$B$15:$C$17,2,0)&amp;" ("&amp;'web survey'!F398&amp;")",VLOOKUP(VALUE('web survey'!F398),ref!$E$20:$F$21,2,0)&amp;" ("&amp;'web survey'!F398&amp;")")</f>
        <v>#N/A</v>
      </c>
      <c r="I400" s="32">
        <f>'web survey'!U398</f>
        <v>0</v>
      </c>
      <c r="J400" s="30" t="e">
        <f>IF(B400="FU-ACInstall","-",VLOOKUP(VALUE('web survey'!G398),ref!$E$24:$F$26,2,0)&amp;" ("&amp;'web survey'!G398&amp;")")</f>
        <v>#N/A</v>
      </c>
      <c r="K400" s="28" t="str">
        <f>YEAR('web survey'!Z398)&amp;"-"&amp;IF(MONTH('web survey'!Z398)&lt;10,"0"&amp;MONTH('web survey'!Z398),MONTH('web survey'!Z398))&amp;"-"&amp;IF(DAY('web survey'!Z398)&lt;10,"0"&amp;DAY('web survey'!Z398),DAY('web survey'!Z398))&amp;" "&amp;IF(HOUR('web survey'!Z398)&lt;10,"0"&amp;HOUR('web survey'!Z398),HOUR('web survey'!Z398))&amp;":"&amp;IF(MINUTE('web survey'!Z398)&lt;10,"0"&amp;MINUTE('web survey'!Z398),MINUTE('web survey'!Z398))&amp;(":00'")</f>
        <v>1900-01-00 00:00:00'</v>
      </c>
      <c r="N400" s="22">
        <v>397</v>
      </c>
      <c r="O400" s="22">
        <v>0</v>
      </c>
      <c r="P400" s="22">
        <v>0</v>
      </c>
      <c r="Q400" s="22" t="e">
        <v>#N/A</v>
      </c>
      <c r="R400" s="22">
        <v>0</v>
      </c>
      <c r="S400" s="22" t="e">
        <v>#N/A</v>
      </c>
      <c r="T400" s="22">
        <v>0</v>
      </c>
      <c r="U400" s="22" t="e">
        <v>#N/A</v>
      </c>
      <c r="V400" s="22">
        <v>0</v>
      </c>
      <c r="W400" s="22" t="e">
        <v>#N/A</v>
      </c>
      <c r="X400" s="22" t="s">
        <v>695</v>
      </c>
    </row>
    <row r="401" spans="1:24">
      <c r="A401" s="28">
        <f>IF(B401="","",ROW()-COUNTBLANK($B$4:B401)-3)</f>
        <v>398</v>
      </c>
      <c r="B401" s="28">
        <f>'web survey'!C399</f>
        <v>0</v>
      </c>
      <c r="C401" s="29">
        <f>'web survey'!AA399</f>
        <v>0</v>
      </c>
      <c r="D401" s="30" t="e">
        <f>IF(B401="FU-ACInstall",VLOOKUP(VALUE('web survey'!D399),ref!$B$6:$C$7,2,0)&amp;" ("&amp;'web survey'!D399&amp;")",VLOOKUP(VALUE('web survey'!D399),ref!$E$6:$F$10,2,0)&amp;" ("&amp;'web survey'!D399&amp;")")</f>
        <v>#N/A</v>
      </c>
      <c r="E401" s="32">
        <f>'web survey'!S399</f>
        <v>0</v>
      </c>
      <c r="F401" s="30" t="e">
        <f>IF(B401="FU-ACInstall",VLOOKUP(VALUE('web survey'!E399),ref!$B$10:$C$12,2,0)&amp;" ("&amp;'web survey'!E399&amp;")",VLOOKUP(VALUE('web survey'!E399),ref!$E$13:$F$17,2,0)&amp;" ("&amp;'web survey'!E399&amp;")")</f>
        <v>#N/A</v>
      </c>
      <c r="G401" s="32">
        <f>'web survey'!T399</f>
        <v>0</v>
      </c>
      <c r="H401" s="30" t="e">
        <f>IF(B401="FU-ACInstall",VLOOKUP(VALUE('web survey'!F399),ref!$B$15:$C$17,2,0)&amp;" ("&amp;'web survey'!F399&amp;")",VLOOKUP(VALUE('web survey'!F399),ref!$E$20:$F$21,2,0)&amp;" ("&amp;'web survey'!F399&amp;")")</f>
        <v>#N/A</v>
      </c>
      <c r="I401" s="32">
        <f>'web survey'!U399</f>
        <v>0</v>
      </c>
      <c r="J401" s="30" t="e">
        <f>IF(B401="FU-ACInstall","-",VLOOKUP(VALUE('web survey'!G399),ref!$E$24:$F$26,2,0)&amp;" ("&amp;'web survey'!G399&amp;")")</f>
        <v>#N/A</v>
      </c>
      <c r="K401" s="28" t="str">
        <f>YEAR('web survey'!Z399)&amp;"-"&amp;IF(MONTH('web survey'!Z399)&lt;10,"0"&amp;MONTH('web survey'!Z399),MONTH('web survey'!Z399))&amp;"-"&amp;IF(DAY('web survey'!Z399)&lt;10,"0"&amp;DAY('web survey'!Z399),DAY('web survey'!Z399))&amp;" "&amp;IF(HOUR('web survey'!Z399)&lt;10,"0"&amp;HOUR('web survey'!Z399),HOUR('web survey'!Z399))&amp;":"&amp;IF(MINUTE('web survey'!Z399)&lt;10,"0"&amp;MINUTE('web survey'!Z399),MINUTE('web survey'!Z399))&amp;(":00'")</f>
        <v>1900-01-00 00:00:00'</v>
      </c>
      <c r="N401" s="22">
        <v>398</v>
      </c>
      <c r="O401" s="22">
        <v>0</v>
      </c>
      <c r="P401" s="22">
        <v>0</v>
      </c>
      <c r="Q401" s="22" t="e">
        <v>#N/A</v>
      </c>
      <c r="R401" s="22">
        <v>0</v>
      </c>
      <c r="S401" s="22" t="e">
        <v>#N/A</v>
      </c>
      <c r="T401" s="22">
        <v>0</v>
      </c>
      <c r="U401" s="22" t="e">
        <v>#N/A</v>
      </c>
      <c r="V401" s="22">
        <v>0</v>
      </c>
      <c r="W401" s="22" t="e">
        <v>#N/A</v>
      </c>
      <c r="X401" s="22" t="s">
        <v>695</v>
      </c>
    </row>
  </sheetData>
  <autoFilter ref="A3:K203">
    <sortState ref="A3:K203">
      <sortCondition ref="K3:K1528"/>
    </sortState>
    <extLst/>
  </autoFilter>
  <mergeCells count="2">
    <mergeCell ref="Q1:X2"/>
    <mergeCell ref="N1:P2"/>
  </mergeCells>
  <printOptions horizontalCentered="1"/>
  <pageMargins left="0.118110236220472" right="0.118110236220472" top="0.354330708661417" bottom="0.15748031496063" header="0.31496062992126" footer="0.31496062992126"/>
  <pageSetup paperSize="9" scale="64" fitToHeight="8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1524"/>
  <sheetViews>
    <sheetView workbookViewId="0">
      <selection activeCell="A2" sqref="A2:AD380"/>
    </sheetView>
  </sheetViews>
  <sheetFormatPr defaultColWidth="9" defaultRowHeight="15"/>
  <cols>
    <col min="1" max="2" width="8.88333333333333" style="4"/>
    <col min="3" max="3" width="12" style="4" customWidth="1"/>
    <col min="4" max="18" width="8.88333333333333" style="4"/>
    <col min="19" max="25" width="10" style="4" customWidth="1"/>
    <col min="26" max="26" width="16" style="4" customWidth="1"/>
    <col min="27" max="27" width="8.88333333333333" style="4"/>
    <col min="28" max="28" width="9.33333333333333" style="4" customWidth="1"/>
    <col min="29" max="29" width="9.55833333333333" style="4" customWidth="1"/>
    <col min="30" max="30" width="17.5583333333333" style="4" customWidth="1"/>
    <col min="31" max="16384" width="8.88333333333333" style="4"/>
  </cols>
  <sheetData>
    <row r="1" spans="1:30">
      <c r="A1" s="20" t="s">
        <v>696</v>
      </c>
      <c r="B1" s="20" t="s">
        <v>697</v>
      </c>
      <c r="C1" s="20" t="s">
        <v>698</v>
      </c>
      <c r="D1" s="20" t="s">
        <v>699</v>
      </c>
      <c r="E1" s="20" t="s">
        <v>700</v>
      </c>
      <c r="F1" s="20" t="s">
        <v>701</v>
      </c>
      <c r="G1" s="20" t="s">
        <v>702</v>
      </c>
      <c r="H1" s="20" t="s">
        <v>703</v>
      </c>
      <c r="I1" s="20" t="s">
        <v>704</v>
      </c>
      <c r="J1" s="20" t="s">
        <v>705</v>
      </c>
      <c r="K1" s="20" t="s">
        <v>706</v>
      </c>
      <c r="L1" s="20" t="s">
        <v>707</v>
      </c>
      <c r="M1" s="20" t="s">
        <v>708</v>
      </c>
      <c r="N1" s="20" t="s">
        <v>709</v>
      </c>
      <c r="O1" s="20" t="s">
        <v>710</v>
      </c>
      <c r="P1" s="20" t="s">
        <v>711</v>
      </c>
      <c r="Q1" s="20" t="s">
        <v>712</v>
      </c>
      <c r="R1" s="20" t="s">
        <v>713</v>
      </c>
      <c r="S1" s="20" t="s">
        <v>714</v>
      </c>
      <c r="T1" s="20" t="s">
        <v>715</v>
      </c>
      <c r="U1" s="20" t="s">
        <v>716</v>
      </c>
      <c r="V1" s="20" t="s">
        <v>717</v>
      </c>
      <c r="W1" s="20" t="s">
        <v>718</v>
      </c>
      <c r="X1" s="20" t="s">
        <v>719</v>
      </c>
      <c r="Y1" s="20" t="s">
        <v>720</v>
      </c>
      <c r="Z1" s="20" t="s">
        <v>721</v>
      </c>
      <c r="AA1" s="20" t="s">
        <v>722</v>
      </c>
      <c r="AB1" s="20" t="s">
        <v>723</v>
      </c>
      <c r="AC1" s="20" t="s">
        <v>724</v>
      </c>
      <c r="AD1" s="20" t="s">
        <v>725</v>
      </c>
    </row>
    <row r="2" spans="1:30">
      <c r="A2" s="21">
        <v>211276</v>
      </c>
      <c r="B2" s="21" t="s">
        <v>726</v>
      </c>
      <c r="C2" s="21" t="s">
        <v>14</v>
      </c>
      <c r="D2" s="21" t="s">
        <v>727</v>
      </c>
      <c r="E2" s="21" t="s">
        <v>727</v>
      </c>
      <c r="F2" s="21" t="s">
        <v>727</v>
      </c>
      <c r="G2" s="21" t="s">
        <v>17</v>
      </c>
      <c r="H2" s="21" t="s">
        <v>17</v>
      </c>
      <c r="I2" s="21" t="s">
        <v>17</v>
      </c>
      <c r="J2" s="21" t="s">
        <v>17</v>
      </c>
      <c r="K2" s="21">
        <v>30</v>
      </c>
      <c r="L2" s="21" t="s">
        <v>728</v>
      </c>
      <c r="M2" s="21" t="s">
        <v>729</v>
      </c>
      <c r="N2" s="21" t="s">
        <v>730</v>
      </c>
      <c r="O2" s="21" t="s">
        <v>17</v>
      </c>
      <c r="P2" s="21" t="s">
        <v>17</v>
      </c>
      <c r="Q2" s="21" t="s">
        <v>17</v>
      </c>
      <c r="R2" s="21" t="s">
        <v>17</v>
      </c>
      <c r="S2" s="21" t="s">
        <v>17</v>
      </c>
      <c r="T2" s="21" t="s">
        <v>17</v>
      </c>
      <c r="U2" s="21" t="s">
        <v>17</v>
      </c>
      <c r="V2" s="21" t="s">
        <v>17</v>
      </c>
      <c r="W2" s="21" t="s">
        <v>17</v>
      </c>
      <c r="X2" s="21" t="s">
        <v>17</v>
      </c>
      <c r="Y2" s="21" t="s">
        <v>17</v>
      </c>
      <c r="Z2" s="21" t="s">
        <v>731</v>
      </c>
      <c r="AA2" s="21" t="s">
        <v>15</v>
      </c>
      <c r="AB2" s="21" t="s">
        <v>732</v>
      </c>
      <c r="AC2" s="21" t="s">
        <v>733</v>
      </c>
      <c r="AD2" s="21" t="s">
        <v>734</v>
      </c>
    </row>
    <row r="3" spans="1:30">
      <c r="A3" s="21">
        <v>211270</v>
      </c>
      <c r="B3" s="21" t="s">
        <v>726</v>
      </c>
      <c r="C3" s="21" t="s">
        <v>14</v>
      </c>
      <c r="D3" s="21" t="s">
        <v>727</v>
      </c>
      <c r="E3" s="21" t="s">
        <v>727</v>
      </c>
      <c r="F3" s="21" t="s">
        <v>727</v>
      </c>
      <c r="G3" s="21" t="s">
        <v>17</v>
      </c>
      <c r="H3" s="21" t="s">
        <v>17</v>
      </c>
      <c r="I3" s="21" t="s">
        <v>17</v>
      </c>
      <c r="J3" s="21" t="s">
        <v>17</v>
      </c>
      <c r="K3" s="21">
        <v>30</v>
      </c>
      <c r="L3" s="21" t="s">
        <v>728</v>
      </c>
      <c r="M3" s="21" t="s">
        <v>729</v>
      </c>
      <c r="N3" s="21" t="s">
        <v>730</v>
      </c>
      <c r="O3" s="21" t="s">
        <v>17</v>
      </c>
      <c r="P3" s="21" t="s">
        <v>17</v>
      </c>
      <c r="Q3" s="21" t="s">
        <v>17</v>
      </c>
      <c r="R3" s="21" t="s">
        <v>17</v>
      </c>
      <c r="S3" s="21" t="s">
        <v>17</v>
      </c>
      <c r="T3" s="21" t="s">
        <v>17</v>
      </c>
      <c r="U3" s="21" t="s">
        <v>17</v>
      </c>
      <c r="V3" s="21" t="s">
        <v>17</v>
      </c>
      <c r="W3" s="21" t="s">
        <v>17</v>
      </c>
      <c r="X3" s="21" t="s">
        <v>17</v>
      </c>
      <c r="Y3" s="21" t="s">
        <v>17</v>
      </c>
      <c r="Z3" s="21" t="s">
        <v>735</v>
      </c>
      <c r="AA3" s="21" t="s">
        <v>21</v>
      </c>
      <c r="AB3" s="21" t="s">
        <v>736</v>
      </c>
      <c r="AC3" s="21" t="s">
        <v>737</v>
      </c>
      <c r="AD3" s="21" t="s">
        <v>738</v>
      </c>
    </row>
    <row r="4" spans="1:30">
      <c r="A4" s="21">
        <v>211127</v>
      </c>
      <c r="B4" s="21" t="s">
        <v>726</v>
      </c>
      <c r="C4" s="21" t="s">
        <v>14</v>
      </c>
      <c r="D4" s="21" t="s">
        <v>727</v>
      </c>
      <c r="E4" s="21" t="s">
        <v>727</v>
      </c>
      <c r="F4" s="21" t="s">
        <v>727</v>
      </c>
      <c r="G4" s="21" t="s">
        <v>17</v>
      </c>
      <c r="H4" s="21" t="s">
        <v>17</v>
      </c>
      <c r="I4" s="21" t="s">
        <v>17</v>
      </c>
      <c r="J4" s="21" t="s">
        <v>17</v>
      </c>
      <c r="K4" s="21">
        <v>30</v>
      </c>
      <c r="L4" s="21" t="s">
        <v>728</v>
      </c>
      <c r="M4" s="21" t="s">
        <v>729</v>
      </c>
      <c r="N4" s="21" t="s">
        <v>730</v>
      </c>
      <c r="O4" s="21" t="s">
        <v>17</v>
      </c>
      <c r="P4" s="21" t="s">
        <v>17</v>
      </c>
      <c r="Q4" s="21" t="s">
        <v>17</v>
      </c>
      <c r="R4" s="21" t="s">
        <v>17</v>
      </c>
      <c r="S4" s="21" t="s">
        <v>17</v>
      </c>
      <c r="T4" s="21" t="s">
        <v>17</v>
      </c>
      <c r="U4" s="21" t="s">
        <v>17</v>
      </c>
      <c r="V4" s="21" t="s">
        <v>17</v>
      </c>
      <c r="W4" s="21" t="s">
        <v>17</v>
      </c>
      <c r="X4" s="21" t="s">
        <v>17</v>
      </c>
      <c r="Y4" s="21" t="s">
        <v>17</v>
      </c>
      <c r="Z4" s="21" t="s">
        <v>739</v>
      </c>
      <c r="AA4" s="21" t="s">
        <v>23</v>
      </c>
      <c r="AB4" s="21" t="s">
        <v>740</v>
      </c>
      <c r="AC4" s="21" t="s">
        <v>741</v>
      </c>
      <c r="AD4" s="21" t="s">
        <v>742</v>
      </c>
    </row>
    <row r="5" spans="1:30">
      <c r="A5" s="21">
        <v>210982</v>
      </c>
      <c r="B5" s="21" t="s">
        <v>726</v>
      </c>
      <c r="C5" s="21" t="s">
        <v>14</v>
      </c>
      <c r="D5" s="21" t="s">
        <v>727</v>
      </c>
      <c r="E5" s="21" t="s">
        <v>727</v>
      </c>
      <c r="F5" s="21" t="s">
        <v>727</v>
      </c>
      <c r="G5" s="21" t="s">
        <v>17</v>
      </c>
      <c r="H5" s="21" t="s">
        <v>17</v>
      </c>
      <c r="I5" s="21" t="s">
        <v>17</v>
      </c>
      <c r="J5" s="21" t="s">
        <v>17</v>
      </c>
      <c r="K5" s="21">
        <v>30</v>
      </c>
      <c r="L5" s="21" t="s">
        <v>728</v>
      </c>
      <c r="M5" s="21" t="s">
        <v>729</v>
      </c>
      <c r="N5" s="21" t="s">
        <v>730</v>
      </c>
      <c r="O5" s="21" t="s">
        <v>17</v>
      </c>
      <c r="P5" s="21" t="s">
        <v>17</v>
      </c>
      <c r="Q5" s="21" t="s">
        <v>17</v>
      </c>
      <c r="R5" s="21" t="s">
        <v>17</v>
      </c>
      <c r="S5" s="21" t="s">
        <v>17</v>
      </c>
      <c r="T5" s="21" t="s">
        <v>17</v>
      </c>
      <c r="U5" s="21" t="s">
        <v>17</v>
      </c>
      <c r="V5" s="21" t="s">
        <v>17</v>
      </c>
      <c r="W5" s="21" t="s">
        <v>17</v>
      </c>
      <c r="X5" s="21" t="s">
        <v>17</v>
      </c>
      <c r="Y5" s="21" t="s">
        <v>17</v>
      </c>
      <c r="Z5" s="21" t="s">
        <v>743</v>
      </c>
      <c r="AA5" s="21" t="s">
        <v>25</v>
      </c>
      <c r="AB5" s="21" t="s">
        <v>744</v>
      </c>
      <c r="AC5" s="21" t="s">
        <v>745</v>
      </c>
      <c r="AD5" s="21" t="s">
        <v>746</v>
      </c>
    </row>
    <row r="6" spans="1:30">
      <c r="A6" s="21">
        <v>211462</v>
      </c>
      <c r="B6" s="21" t="s">
        <v>726</v>
      </c>
      <c r="C6" s="21" t="s">
        <v>27</v>
      </c>
      <c r="D6" s="21" t="s">
        <v>727</v>
      </c>
      <c r="E6" s="21" t="s">
        <v>747</v>
      </c>
      <c r="F6" s="21" t="s">
        <v>727</v>
      </c>
      <c r="G6" s="21" t="s">
        <v>727</v>
      </c>
      <c r="H6" s="21" t="s">
        <v>17</v>
      </c>
      <c r="I6" s="21" t="s">
        <v>17</v>
      </c>
      <c r="J6" s="21" t="s">
        <v>17</v>
      </c>
      <c r="K6" s="21">
        <v>35</v>
      </c>
      <c r="L6" s="21" t="s">
        <v>730</v>
      </c>
      <c r="M6" s="21" t="s">
        <v>730</v>
      </c>
      <c r="N6" s="21" t="s">
        <v>748</v>
      </c>
      <c r="O6" s="21" t="s">
        <v>748</v>
      </c>
      <c r="P6" s="21" t="s">
        <v>17</v>
      </c>
      <c r="Q6" s="21" t="s">
        <v>17</v>
      </c>
      <c r="R6" s="21" t="s">
        <v>17</v>
      </c>
      <c r="S6" s="21" t="s">
        <v>17</v>
      </c>
      <c r="T6" s="21" t="s">
        <v>17</v>
      </c>
      <c r="U6" s="21" t="s">
        <v>17</v>
      </c>
      <c r="V6" s="21" t="s">
        <v>17</v>
      </c>
      <c r="W6" s="21" t="s">
        <v>17</v>
      </c>
      <c r="X6" s="21" t="s">
        <v>17</v>
      </c>
      <c r="Y6" s="21" t="s">
        <v>17</v>
      </c>
      <c r="Z6" s="21" t="s">
        <v>749</v>
      </c>
      <c r="AA6" s="21" t="s">
        <v>28</v>
      </c>
      <c r="AB6" s="21" t="s">
        <v>740</v>
      </c>
      <c r="AC6" s="21" t="s">
        <v>750</v>
      </c>
      <c r="AD6" s="21" t="s">
        <v>751</v>
      </c>
    </row>
    <row r="7" spans="1:30">
      <c r="A7" s="21">
        <v>211448</v>
      </c>
      <c r="B7" s="21" t="s">
        <v>726</v>
      </c>
      <c r="C7" s="21" t="s">
        <v>27</v>
      </c>
      <c r="D7" s="21" t="s">
        <v>752</v>
      </c>
      <c r="E7" s="21" t="s">
        <v>747</v>
      </c>
      <c r="F7" s="21" t="s">
        <v>727</v>
      </c>
      <c r="G7" s="21" t="s">
        <v>747</v>
      </c>
      <c r="H7" s="21" t="s">
        <v>17</v>
      </c>
      <c r="I7" s="21" t="s">
        <v>17</v>
      </c>
      <c r="J7" s="21" t="s">
        <v>17</v>
      </c>
      <c r="K7" s="21">
        <v>10</v>
      </c>
      <c r="L7" s="21" t="s">
        <v>753</v>
      </c>
      <c r="M7" s="21" t="s">
        <v>730</v>
      </c>
      <c r="N7" s="21" t="s">
        <v>748</v>
      </c>
      <c r="O7" s="21" t="s">
        <v>754</v>
      </c>
      <c r="P7" s="21" t="s">
        <v>17</v>
      </c>
      <c r="Q7" s="21" t="s">
        <v>17</v>
      </c>
      <c r="R7" s="21" t="s">
        <v>17</v>
      </c>
      <c r="S7" s="21" t="s">
        <v>17</v>
      </c>
      <c r="T7" s="21" t="s">
        <v>17</v>
      </c>
      <c r="U7" s="21" t="s">
        <v>17</v>
      </c>
      <c r="V7" s="21" t="s">
        <v>17</v>
      </c>
      <c r="W7" s="21" t="s">
        <v>17</v>
      </c>
      <c r="X7" s="21" t="s">
        <v>17</v>
      </c>
      <c r="Y7" s="21" t="s">
        <v>17</v>
      </c>
      <c r="Z7" s="21" t="s">
        <v>755</v>
      </c>
      <c r="AA7" s="21" t="s">
        <v>32</v>
      </c>
      <c r="AB7" s="21" t="s">
        <v>740</v>
      </c>
      <c r="AC7" s="21" t="s">
        <v>756</v>
      </c>
      <c r="AD7" s="21" t="s">
        <v>757</v>
      </c>
    </row>
    <row r="8" spans="1:30">
      <c r="A8" s="21">
        <v>211444</v>
      </c>
      <c r="B8" s="21" t="s">
        <v>726</v>
      </c>
      <c r="C8" s="21" t="s">
        <v>27</v>
      </c>
      <c r="D8" s="21" t="s">
        <v>727</v>
      </c>
      <c r="E8" s="21" t="s">
        <v>727</v>
      </c>
      <c r="F8" s="21" t="s">
        <v>727</v>
      </c>
      <c r="G8" s="21" t="s">
        <v>747</v>
      </c>
      <c r="H8" s="21" t="s">
        <v>17</v>
      </c>
      <c r="I8" s="21" t="s">
        <v>17</v>
      </c>
      <c r="J8" s="21" t="s">
        <v>17</v>
      </c>
      <c r="K8" s="21">
        <v>35</v>
      </c>
      <c r="L8" s="21" t="s">
        <v>730</v>
      </c>
      <c r="M8" s="21" t="s">
        <v>758</v>
      </c>
      <c r="N8" s="21" t="s">
        <v>748</v>
      </c>
      <c r="O8" s="21" t="s">
        <v>754</v>
      </c>
      <c r="P8" s="21" t="s">
        <v>17</v>
      </c>
      <c r="Q8" s="21" t="s">
        <v>17</v>
      </c>
      <c r="R8" s="21" t="s">
        <v>17</v>
      </c>
      <c r="S8" s="21" t="s">
        <v>17</v>
      </c>
      <c r="T8" s="21" t="s">
        <v>17</v>
      </c>
      <c r="U8" s="21" t="s">
        <v>17</v>
      </c>
      <c r="V8" s="21" t="s">
        <v>17</v>
      </c>
      <c r="W8" s="21" t="s">
        <v>17</v>
      </c>
      <c r="X8" s="21" t="s">
        <v>17</v>
      </c>
      <c r="Y8" s="21" t="s">
        <v>17</v>
      </c>
      <c r="Z8" s="21" t="s">
        <v>759</v>
      </c>
      <c r="AA8" s="21" t="s">
        <v>36</v>
      </c>
      <c r="AB8" s="21" t="s">
        <v>760</v>
      </c>
      <c r="AC8" s="21" t="s">
        <v>761</v>
      </c>
      <c r="AD8" s="21" t="s">
        <v>762</v>
      </c>
    </row>
    <row r="9" spans="1:30">
      <c r="A9" s="21">
        <v>211430</v>
      </c>
      <c r="B9" s="21" t="s">
        <v>726</v>
      </c>
      <c r="C9" s="21" t="s">
        <v>27</v>
      </c>
      <c r="D9" s="21" t="s">
        <v>727</v>
      </c>
      <c r="E9" s="21" t="s">
        <v>727</v>
      </c>
      <c r="F9" s="21" t="s">
        <v>727</v>
      </c>
      <c r="G9" s="21" t="s">
        <v>747</v>
      </c>
      <c r="H9" s="21" t="s">
        <v>17</v>
      </c>
      <c r="I9" s="21" t="s">
        <v>17</v>
      </c>
      <c r="J9" s="21" t="s">
        <v>17</v>
      </c>
      <c r="K9" s="21">
        <v>35</v>
      </c>
      <c r="L9" s="21" t="s">
        <v>730</v>
      </c>
      <c r="M9" s="21" t="s">
        <v>758</v>
      </c>
      <c r="N9" s="21" t="s">
        <v>748</v>
      </c>
      <c r="O9" s="21" t="s">
        <v>754</v>
      </c>
      <c r="P9" s="21" t="s">
        <v>17</v>
      </c>
      <c r="Q9" s="21" t="s">
        <v>17</v>
      </c>
      <c r="R9" s="21" t="s">
        <v>17</v>
      </c>
      <c r="S9" s="21" t="s">
        <v>17</v>
      </c>
      <c r="T9" s="21" t="s">
        <v>17</v>
      </c>
      <c r="U9" s="21" t="s">
        <v>17</v>
      </c>
      <c r="V9" s="21" t="s">
        <v>17</v>
      </c>
      <c r="W9" s="21" t="s">
        <v>17</v>
      </c>
      <c r="X9" s="21" t="s">
        <v>17</v>
      </c>
      <c r="Y9" s="21" t="s">
        <v>17</v>
      </c>
      <c r="Z9" s="21" t="s">
        <v>763</v>
      </c>
      <c r="AA9" s="21" t="s">
        <v>39</v>
      </c>
      <c r="AB9" s="21" t="s">
        <v>740</v>
      </c>
      <c r="AC9" s="21" t="s">
        <v>764</v>
      </c>
      <c r="AD9" s="21" t="s">
        <v>765</v>
      </c>
    </row>
    <row r="10" spans="1:30">
      <c r="A10" s="21">
        <v>211428</v>
      </c>
      <c r="B10" s="21" t="s">
        <v>726</v>
      </c>
      <c r="C10" s="21" t="s">
        <v>27</v>
      </c>
      <c r="D10" s="21" t="s">
        <v>727</v>
      </c>
      <c r="E10" s="21" t="s">
        <v>727</v>
      </c>
      <c r="F10" s="21" t="s">
        <v>727</v>
      </c>
      <c r="G10" s="21" t="s">
        <v>747</v>
      </c>
      <c r="H10" s="21" t="s">
        <v>17</v>
      </c>
      <c r="I10" s="21" t="s">
        <v>17</v>
      </c>
      <c r="J10" s="21" t="s">
        <v>17</v>
      </c>
      <c r="K10" s="21">
        <v>35</v>
      </c>
      <c r="L10" s="21" t="s">
        <v>730</v>
      </c>
      <c r="M10" s="21" t="s">
        <v>758</v>
      </c>
      <c r="N10" s="21" t="s">
        <v>748</v>
      </c>
      <c r="O10" s="21" t="s">
        <v>754</v>
      </c>
      <c r="P10" s="21" t="s">
        <v>17</v>
      </c>
      <c r="Q10" s="21" t="s">
        <v>17</v>
      </c>
      <c r="R10" s="21" t="s">
        <v>17</v>
      </c>
      <c r="S10" s="21" t="s">
        <v>17</v>
      </c>
      <c r="T10" s="21" t="s">
        <v>17</v>
      </c>
      <c r="U10" s="21" t="s">
        <v>17</v>
      </c>
      <c r="V10" s="21" t="s">
        <v>17</v>
      </c>
      <c r="W10" s="21" t="s">
        <v>17</v>
      </c>
      <c r="X10" s="21" t="s">
        <v>17</v>
      </c>
      <c r="Y10" s="21" t="s">
        <v>17</v>
      </c>
      <c r="Z10" s="21" t="s">
        <v>766</v>
      </c>
      <c r="AA10" s="21" t="s">
        <v>41</v>
      </c>
      <c r="AB10" s="21" t="s">
        <v>767</v>
      </c>
      <c r="AC10" s="21" t="s">
        <v>768</v>
      </c>
      <c r="AD10" s="21" t="s">
        <v>769</v>
      </c>
    </row>
    <row r="11" spans="1:30">
      <c r="A11" s="21">
        <v>211427</v>
      </c>
      <c r="B11" s="21" t="s">
        <v>726</v>
      </c>
      <c r="C11" s="21" t="s">
        <v>27</v>
      </c>
      <c r="D11" s="21" t="s">
        <v>727</v>
      </c>
      <c r="E11" s="21" t="s">
        <v>727</v>
      </c>
      <c r="F11" s="21" t="s">
        <v>727</v>
      </c>
      <c r="G11" s="21" t="s">
        <v>747</v>
      </c>
      <c r="H11" s="21" t="s">
        <v>17</v>
      </c>
      <c r="I11" s="21" t="s">
        <v>17</v>
      </c>
      <c r="J11" s="21" t="s">
        <v>17</v>
      </c>
      <c r="K11" s="21">
        <v>35</v>
      </c>
      <c r="L11" s="21" t="s">
        <v>730</v>
      </c>
      <c r="M11" s="21" t="s">
        <v>758</v>
      </c>
      <c r="N11" s="21" t="s">
        <v>748</v>
      </c>
      <c r="O11" s="21" t="s">
        <v>754</v>
      </c>
      <c r="P11" s="21" t="s">
        <v>17</v>
      </c>
      <c r="Q11" s="21" t="s">
        <v>17</v>
      </c>
      <c r="R11" s="21" t="s">
        <v>17</v>
      </c>
      <c r="S11" s="21" t="s">
        <v>17</v>
      </c>
      <c r="T11" s="21" t="s">
        <v>17</v>
      </c>
      <c r="U11" s="21" t="s">
        <v>17</v>
      </c>
      <c r="V11" s="21" t="s">
        <v>17</v>
      </c>
      <c r="W11" s="21" t="s">
        <v>17</v>
      </c>
      <c r="X11" s="21" t="s">
        <v>17</v>
      </c>
      <c r="Y11" s="21" t="s">
        <v>17</v>
      </c>
      <c r="Z11" s="21" t="s">
        <v>770</v>
      </c>
      <c r="AA11" s="21" t="s">
        <v>43</v>
      </c>
      <c r="AB11" s="21" t="s">
        <v>740</v>
      </c>
      <c r="AC11" s="21" t="s">
        <v>771</v>
      </c>
      <c r="AD11" s="21" t="s">
        <v>772</v>
      </c>
    </row>
    <row r="12" spans="1:30">
      <c r="A12" s="21">
        <v>211421</v>
      </c>
      <c r="B12" s="21" t="s">
        <v>726</v>
      </c>
      <c r="C12" s="21" t="s">
        <v>27</v>
      </c>
      <c r="D12" s="21" t="s">
        <v>727</v>
      </c>
      <c r="E12" s="21" t="s">
        <v>727</v>
      </c>
      <c r="F12" s="21" t="s">
        <v>727</v>
      </c>
      <c r="G12" s="21" t="s">
        <v>747</v>
      </c>
      <c r="H12" s="21" t="s">
        <v>17</v>
      </c>
      <c r="I12" s="21" t="s">
        <v>17</v>
      </c>
      <c r="J12" s="21" t="s">
        <v>17</v>
      </c>
      <c r="K12" s="21">
        <v>35</v>
      </c>
      <c r="L12" s="21" t="s">
        <v>730</v>
      </c>
      <c r="M12" s="21" t="s">
        <v>758</v>
      </c>
      <c r="N12" s="21" t="s">
        <v>748</v>
      </c>
      <c r="O12" s="21" t="s">
        <v>754</v>
      </c>
      <c r="P12" s="21" t="s">
        <v>17</v>
      </c>
      <c r="Q12" s="21" t="s">
        <v>17</v>
      </c>
      <c r="R12" s="21" t="s">
        <v>17</v>
      </c>
      <c r="S12" s="21" t="s">
        <v>17</v>
      </c>
      <c r="T12" s="21" t="s">
        <v>17</v>
      </c>
      <c r="U12" s="21" t="s">
        <v>17</v>
      </c>
      <c r="V12" s="21" t="s">
        <v>17</v>
      </c>
      <c r="W12" s="21" t="s">
        <v>17</v>
      </c>
      <c r="X12" s="21" t="s">
        <v>17</v>
      </c>
      <c r="Y12" s="21" t="s">
        <v>17</v>
      </c>
      <c r="Z12" s="21" t="s">
        <v>773</v>
      </c>
      <c r="AA12" s="21" t="s">
        <v>45</v>
      </c>
      <c r="AB12" s="21" t="s">
        <v>774</v>
      </c>
      <c r="AC12" s="21" t="s">
        <v>775</v>
      </c>
      <c r="AD12" s="21" t="s">
        <v>776</v>
      </c>
    </row>
    <row r="13" spans="1:30">
      <c r="A13" s="21">
        <v>211412</v>
      </c>
      <c r="B13" s="21" t="s">
        <v>726</v>
      </c>
      <c r="C13" s="21" t="s">
        <v>27</v>
      </c>
      <c r="D13" s="21" t="s">
        <v>727</v>
      </c>
      <c r="E13" s="21" t="s">
        <v>727</v>
      </c>
      <c r="F13" s="21" t="s">
        <v>727</v>
      </c>
      <c r="G13" s="21" t="s">
        <v>747</v>
      </c>
      <c r="H13" s="21" t="s">
        <v>17</v>
      </c>
      <c r="I13" s="21" t="s">
        <v>17</v>
      </c>
      <c r="J13" s="21" t="s">
        <v>17</v>
      </c>
      <c r="K13" s="21">
        <v>35</v>
      </c>
      <c r="L13" s="21" t="s">
        <v>730</v>
      </c>
      <c r="M13" s="21" t="s">
        <v>758</v>
      </c>
      <c r="N13" s="21" t="s">
        <v>748</v>
      </c>
      <c r="O13" s="21" t="s">
        <v>754</v>
      </c>
      <c r="P13" s="21" t="s">
        <v>17</v>
      </c>
      <c r="Q13" s="21" t="s">
        <v>17</v>
      </c>
      <c r="R13" s="21" t="s">
        <v>17</v>
      </c>
      <c r="S13" s="21" t="s">
        <v>17</v>
      </c>
      <c r="T13" s="21" t="s">
        <v>17</v>
      </c>
      <c r="U13" s="21" t="s">
        <v>17</v>
      </c>
      <c r="V13" s="21" t="s">
        <v>17</v>
      </c>
      <c r="W13" s="21" t="s">
        <v>17</v>
      </c>
      <c r="X13" s="21" t="s">
        <v>17</v>
      </c>
      <c r="Y13" s="21" t="s">
        <v>17</v>
      </c>
      <c r="Z13" s="21" t="s">
        <v>777</v>
      </c>
      <c r="AA13" s="21" t="s">
        <v>47</v>
      </c>
      <c r="AB13" s="21" t="s">
        <v>740</v>
      </c>
      <c r="AC13" s="21" t="s">
        <v>778</v>
      </c>
      <c r="AD13" s="21" t="s">
        <v>779</v>
      </c>
    </row>
    <row r="14" spans="1:30">
      <c r="A14" s="21">
        <v>211406</v>
      </c>
      <c r="B14" s="21" t="s">
        <v>726</v>
      </c>
      <c r="C14" s="21" t="s">
        <v>27</v>
      </c>
      <c r="D14" s="21" t="s">
        <v>727</v>
      </c>
      <c r="E14" s="21" t="s">
        <v>747</v>
      </c>
      <c r="F14" s="21" t="s">
        <v>727</v>
      </c>
      <c r="G14" s="21" t="s">
        <v>780</v>
      </c>
      <c r="H14" s="21" t="s">
        <v>17</v>
      </c>
      <c r="I14" s="21" t="s">
        <v>17</v>
      </c>
      <c r="J14" s="21" t="s">
        <v>17</v>
      </c>
      <c r="K14" s="21">
        <v>20</v>
      </c>
      <c r="L14" s="21" t="s">
        <v>730</v>
      </c>
      <c r="M14" s="21" t="s">
        <v>730</v>
      </c>
      <c r="N14" s="21" t="s">
        <v>748</v>
      </c>
      <c r="O14" s="21" t="s">
        <v>781</v>
      </c>
      <c r="P14" s="21" t="s">
        <v>17</v>
      </c>
      <c r="Q14" s="21" t="s">
        <v>17</v>
      </c>
      <c r="R14" s="21" t="s">
        <v>17</v>
      </c>
      <c r="S14" s="21" t="s">
        <v>17</v>
      </c>
      <c r="T14" s="21" t="s">
        <v>17</v>
      </c>
      <c r="U14" s="21" t="s">
        <v>17</v>
      </c>
      <c r="V14" s="21" t="s">
        <v>17</v>
      </c>
      <c r="W14" s="21" t="s">
        <v>17</v>
      </c>
      <c r="X14" s="21" t="s">
        <v>17</v>
      </c>
      <c r="Y14" s="21" t="s">
        <v>17</v>
      </c>
      <c r="Z14" s="21" t="s">
        <v>782</v>
      </c>
      <c r="AA14" s="21" t="s">
        <v>49</v>
      </c>
      <c r="AB14" s="21" t="s">
        <v>740</v>
      </c>
      <c r="AC14" s="21" t="s">
        <v>783</v>
      </c>
      <c r="AD14" s="21" t="s">
        <v>784</v>
      </c>
    </row>
    <row r="15" spans="1:30">
      <c r="A15" s="21">
        <v>211377</v>
      </c>
      <c r="B15" s="21" t="s">
        <v>726</v>
      </c>
      <c r="C15" s="21" t="s">
        <v>27</v>
      </c>
      <c r="D15" s="21" t="s">
        <v>727</v>
      </c>
      <c r="E15" s="21" t="s">
        <v>727</v>
      </c>
      <c r="F15" s="21" t="s">
        <v>727</v>
      </c>
      <c r="G15" s="21" t="s">
        <v>747</v>
      </c>
      <c r="H15" s="21" t="s">
        <v>17</v>
      </c>
      <c r="I15" s="21" t="s">
        <v>17</v>
      </c>
      <c r="J15" s="21" t="s">
        <v>17</v>
      </c>
      <c r="K15" s="21">
        <v>35</v>
      </c>
      <c r="L15" s="21" t="s">
        <v>730</v>
      </c>
      <c r="M15" s="21" t="s">
        <v>758</v>
      </c>
      <c r="N15" s="21" t="s">
        <v>748</v>
      </c>
      <c r="O15" s="21" t="s">
        <v>754</v>
      </c>
      <c r="P15" s="21" t="s">
        <v>17</v>
      </c>
      <c r="Q15" s="21" t="s">
        <v>17</v>
      </c>
      <c r="R15" s="21" t="s">
        <v>17</v>
      </c>
      <c r="S15" s="21" t="s">
        <v>17</v>
      </c>
      <c r="T15" s="21" t="s">
        <v>17</v>
      </c>
      <c r="U15" s="21" t="s">
        <v>17</v>
      </c>
      <c r="V15" s="21" t="s">
        <v>17</v>
      </c>
      <c r="W15" s="21" t="s">
        <v>17</v>
      </c>
      <c r="X15" s="21" t="s">
        <v>17</v>
      </c>
      <c r="Y15" s="21" t="s">
        <v>17</v>
      </c>
      <c r="Z15" s="21" t="s">
        <v>785</v>
      </c>
      <c r="AA15" s="21" t="s">
        <v>52</v>
      </c>
      <c r="AB15" s="21" t="s">
        <v>786</v>
      </c>
      <c r="AC15" s="21" t="s">
        <v>787</v>
      </c>
      <c r="AD15" s="21" t="s">
        <v>788</v>
      </c>
    </row>
    <row r="16" spans="1:30">
      <c r="A16" s="21">
        <v>211361</v>
      </c>
      <c r="B16" s="21" t="s">
        <v>726</v>
      </c>
      <c r="C16" s="21" t="s">
        <v>27</v>
      </c>
      <c r="D16" s="21" t="s">
        <v>727</v>
      </c>
      <c r="E16" s="21" t="s">
        <v>727</v>
      </c>
      <c r="F16" s="21" t="s">
        <v>727</v>
      </c>
      <c r="G16" s="21" t="s">
        <v>747</v>
      </c>
      <c r="H16" s="21" t="s">
        <v>17</v>
      </c>
      <c r="I16" s="21" t="s">
        <v>17</v>
      </c>
      <c r="J16" s="21" t="s">
        <v>17</v>
      </c>
      <c r="K16" s="21">
        <v>35</v>
      </c>
      <c r="L16" s="21" t="s">
        <v>730</v>
      </c>
      <c r="M16" s="21" t="s">
        <v>758</v>
      </c>
      <c r="N16" s="21" t="s">
        <v>748</v>
      </c>
      <c r="O16" s="21" t="s">
        <v>754</v>
      </c>
      <c r="P16" s="21" t="s">
        <v>17</v>
      </c>
      <c r="Q16" s="21" t="s">
        <v>17</v>
      </c>
      <c r="R16" s="21" t="s">
        <v>17</v>
      </c>
      <c r="S16" s="21" t="s">
        <v>17</v>
      </c>
      <c r="T16" s="21" t="s">
        <v>17</v>
      </c>
      <c r="U16" s="21" t="s">
        <v>17</v>
      </c>
      <c r="V16" s="21" t="s">
        <v>17</v>
      </c>
      <c r="W16" s="21" t="s">
        <v>17</v>
      </c>
      <c r="X16" s="21" t="s">
        <v>17</v>
      </c>
      <c r="Y16" s="21" t="s">
        <v>17</v>
      </c>
      <c r="Z16" s="21" t="s">
        <v>789</v>
      </c>
      <c r="AA16" s="21" t="s">
        <v>54</v>
      </c>
      <c r="AB16" s="21" t="s">
        <v>740</v>
      </c>
      <c r="AC16" s="21" t="s">
        <v>790</v>
      </c>
      <c r="AD16" s="21" t="s">
        <v>791</v>
      </c>
    </row>
    <row r="17" spans="1:30">
      <c r="A17" s="21">
        <v>211360</v>
      </c>
      <c r="B17" s="21" t="s">
        <v>726</v>
      </c>
      <c r="C17" s="21" t="s">
        <v>27</v>
      </c>
      <c r="D17" s="21" t="s">
        <v>752</v>
      </c>
      <c r="E17" s="21" t="s">
        <v>747</v>
      </c>
      <c r="F17" s="21" t="s">
        <v>727</v>
      </c>
      <c r="G17" s="21" t="s">
        <v>747</v>
      </c>
      <c r="H17" s="21" t="s">
        <v>17</v>
      </c>
      <c r="I17" s="21" t="s">
        <v>17</v>
      </c>
      <c r="J17" s="21" t="s">
        <v>17</v>
      </c>
      <c r="K17" s="21">
        <v>10</v>
      </c>
      <c r="L17" s="21" t="s">
        <v>753</v>
      </c>
      <c r="M17" s="21" t="s">
        <v>730</v>
      </c>
      <c r="N17" s="21" t="s">
        <v>748</v>
      </c>
      <c r="O17" s="21" t="s">
        <v>754</v>
      </c>
      <c r="P17" s="21" t="s">
        <v>17</v>
      </c>
      <c r="Q17" s="21" t="s">
        <v>17</v>
      </c>
      <c r="R17" s="21" t="s">
        <v>17</v>
      </c>
      <c r="S17" s="21" t="s">
        <v>17</v>
      </c>
      <c r="T17" s="21" t="s">
        <v>17</v>
      </c>
      <c r="U17" s="21" t="s">
        <v>17</v>
      </c>
      <c r="V17" s="21" t="s">
        <v>17</v>
      </c>
      <c r="W17" s="21" t="s">
        <v>17</v>
      </c>
      <c r="X17" s="21" t="s">
        <v>17</v>
      </c>
      <c r="Y17" s="21" t="s">
        <v>17</v>
      </c>
      <c r="Z17" s="21" t="s">
        <v>792</v>
      </c>
      <c r="AA17" s="21" t="s">
        <v>56</v>
      </c>
      <c r="AB17" s="21" t="s">
        <v>740</v>
      </c>
      <c r="AC17" s="21" t="s">
        <v>793</v>
      </c>
      <c r="AD17" s="21" t="s">
        <v>794</v>
      </c>
    </row>
    <row r="18" spans="1:30">
      <c r="A18" s="21">
        <v>211359</v>
      </c>
      <c r="B18" s="21" t="s">
        <v>726</v>
      </c>
      <c r="C18" s="21" t="s">
        <v>27</v>
      </c>
      <c r="D18" s="21" t="s">
        <v>727</v>
      </c>
      <c r="E18" s="21" t="s">
        <v>727</v>
      </c>
      <c r="F18" s="21" t="s">
        <v>727</v>
      </c>
      <c r="G18" s="21" t="s">
        <v>747</v>
      </c>
      <c r="H18" s="21" t="s">
        <v>17</v>
      </c>
      <c r="I18" s="21" t="s">
        <v>17</v>
      </c>
      <c r="J18" s="21" t="s">
        <v>17</v>
      </c>
      <c r="K18" s="21">
        <v>35</v>
      </c>
      <c r="L18" s="21" t="s">
        <v>730</v>
      </c>
      <c r="M18" s="21" t="s">
        <v>758</v>
      </c>
      <c r="N18" s="21" t="s">
        <v>748</v>
      </c>
      <c r="O18" s="21" t="s">
        <v>754</v>
      </c>
      <c r="P18" s="21" t="s">
        <v>17</v>
      </c>
      <c r="Q18" s="21" t="s">
        <v>17</v>
      </c>
      <c r="R18" s="21" t="s">
        <v>17</v>
      </c>
      <c r="S18" s="21" t="s">
        <v>17</v>
      </c>
      <c r="T18" s="21" t="s">
        <v>17</v>
      </c>
      <c r="U18" s="21" t="s">
        <v>17</v>
      </c>
      <c r="V18" s="21" t="s">
        <v>17</v>
      </c>
      <c r="W18" s="21" t="s">
        <v>17</v>
      </c>
      <c r="X18" s="21" t="s">
        <v>17</v>
      </c>
      <c r="Y18" s="21" t="s">
        <v>17</v>
      </c>
      <c r="Z18" s="21" t="s">
        <v>795</v>
      </c>
      <c r="AA18" s="21" t="s">
        <v>58</v>
      </c>
      <c r="AB18" s="21" t="s">
        <v>796</v>
      </c>
      <c r="AC18" s="21" t="s">
        <v>797</v>
      </c>
      <c r="AD18" s="21" t="s">
        <v>798</v>
      </c>
    </row>
    <row r="19" spans="1:30">
      <c r="A19" s="21">
        <v>211358</v>
      </c>
      <c r="B19" s="21" t="s">
        <v>726</v>
      </c>
      <c r="C19" s="21" t="s">
        <v>27</v>
      </c>
      <c r="D19" s="21" t="s">
        <v>727</v>
      </c>
      <c r="E19" s="21" t="s">
        <v>727</v>
      </c>
      <c r="F19" s="21" t="s">
        <v>727</v>
      </c>
      <c r="G19" s="21" t="s">
        <v>747</v>
      </c>
      <c r="H19" s="21" t="s">
        <v>17</v>
      </c>
      <c r="I19" s="21" t="s">
        <v>17</v>
      </c>
      <c r="J19" s="21" t="s">
        <v>17</v>
      </c>
      <c r="K19" s="21">
        <v>35</v>
      </c>
      <c r="L19" s="21" t="s">
        <v>730</v>
      </c>
      <c r="M19" s="21" t="s">
        <v>758</v>
      </c>
      <c r="N19" s="21" t="s">
        <v>748</v>
      </c>
      <c r="O19" s="21" t="s">
        <v>754</v>
      </c>
      <c r="P19" s="21" t="s">
        <v>17</v>
      </c>
      <c r="Q19" s="21" t="s">
        <v>17</v>
      </c>
      <c r="R19" s="21" t="s">
        <v>17</v>
      </c>
      <c r="S19" s="21" t="s">
        <v>17</v>
      </c>
      <c r="T19" s="21" t="s">
        <v>17</v>
      </c>
      <c r="U19" s="21" t="s">
        <v>17</v>
      </c>
      <c r="V19" s="21" t="s">
        <v>17</v>
      </c>
      <c r="W19" s="21" t="s">
        <v>17</v>
      </c>
      <c r="X19" s="21" t="s">
        <v>17</v>
      </c>
      <c r="Y19" s="21" t="s">
        <v>17</v>
      </c>
      <c r="Z19" s="21" t="s">
        <v>799</v>
      </c>
      <c r="AA19" s="21" t="s">
        <v>60</v>
      </c>
      <c r="AB19" s="21" t="s">
        <v>796</v>
      </c>
      <c r="AC19" s="21" t="s">
        <v>800</v>
      </c>
      <c r="AD19" s="21" t="s">
        <v>801</v>
      </c>
    </row>
    <row r="20" spans="1:30">
      <c r="A20" s="21">
        <v>211357</v>
      </c>
      <c r="B20" s="21" t="s">
        <v>726</v>
      </c>
      <c r="C20" s="21" t="s">
        <v>27</v>
      </c>
      <c r="D20" s="21" t="s">
        <v>752</v>
      </c>
      <c r="E20" s="21" t="s">
        <v>747</v>
      </c>
      <c r="F20" s="21" t="s">
        <v>727</v>
      </c>
      <c r="G20" s="21" t="s">
        <v>747</v>
      </c>
      <c r="H20" s="21" t="s">
        <v>17</v>
      </c>
      <c r="I20" s="21" t="s">
        <v>17</v>
      </c>
      <c r="J20" s="21" t="s">
        <v>17</v>
      </c>
      <c r="K20" s="21">
        <v>10</v>
      </c>
      <c r="L20" s="21" t="s">
        <v>753</v>
      </c>
      <c r="M20" s="21" t="s">
        <v>730</v>
      </c>
      <c r="N20" s="21" t="s">
        <v>748</v>
      </c>
      <c r="O20" s="21" t="s">
        <v>754</v>
      </c>
      <c r="P20" s="21" t="s">
        <v>17</v>
      </c>
      <c r="Q20" s="21" t="s">
        <v>17</v>
      </c>
      <c r="R20" s="21" t="s">
        <v>17</v>
      </c>
      <c r="S20" s="21" t="s">
        <v>17</v>
      </c>
      <c r="T20" s="21" t="s">
        <v>17</v>
      </c>
      <c r="U20" s="21" t="s">
        <v>17</v>
      </c>
      <c r="V20" s="21" t="s">
        <v>17</v>
      </c>
      <c r="W20" s="21" t="s">
        <v>17</v>
      </c>
      <c r="X20" s="21" t="s">
        <v>17</v>
      </c>
      <c r="Y20" s="21" t="s">
        <v>17</v>
      </c>
      <c r="Z20" s="21" t="s">
        <v>802</v>
      </c>
      <c r="AA20" s="21" t="s">
        <v>62</v>
      </c>
      <c r="AB20" s="21" t="s">
        <v>803</v>
      </c>
      <c r="AC20" s="21" t="s">
        <v>804</v>
      </c>
      <c r="AD20" s="21" t="s">
        <v>805</v>
      </c>
    </row>
    <row r="21" spans="1:30">
      <c r="A21" s="21">
        <v>211356</v>
      </c>
      <c r="B21" s="21" t="s">
        <v>726</v>
      </c>
      <c r="C21" s="21" t="s">
        <v>27</v>
      </c>
      <c r="D21" s="21" t="s">
        <v>727</v>
      </c>
      <c r="E21" s="21" t="s">
        <v>747</v>
      </c>
      <c r="F21" s="21" t="s">
        <v>727</v>
      </c>
      <c r="G21" s="21" t="s">
        <v>780</v>
      </c>
      <c r="H21" s="21" t="s">
        <v>17</v>
      </c>
      <c r="I21" s="21" t="s">
        <v>17</v>
      </c>
      <c r="J21" s="21" t="s">
        <v>17</v>
      </c>
      <c r="K21" s="21">
        <v>20</v>
      </c>
      <c r="L21" s="21" t="s">
        <v>730</v>
      </c>
      <c r="M21" s="21" t="s">
        <v>730</v>
      </c>
      <c r="N21" s="21" t="s">
        <v>748</v>
      </c>
      <c r="O21" s="21" t="s">
        <v>781</v>
      </c>
      <c r="P21" s="21" t="s">
        <v>17</v>
      </c>
      <c r="Q21" s="21" t="s">
        <v>17</v>
      </c>
      <c r="R21" s="21" t="s">
        <v>17</v>
      </c>
      <c r="S21" s="21" t="s">
        <v>17</v>
      </c>
      <c r="T21" s="21" t="s">
        <v>17</v>
      </c>
      <c r="U21" s="21" t="s">
        <v>17</v>
      </c>
      <c r="V21" s="21" t="s">
        <v>17</v>
      </c>
      <c r="W21" s="21" t="s">
        <v>17</v>
      </c>
      <c r="X21" s="21" t="s">
        <v>17</v>
      </c>
      <c r="Y21" s="21" t="s">
        <v>17</v>
      </c>
      <c r="Z21" s="21" t="s">
        <v>806</v>
      </c>
      <c r="AA21" s="21" t="s">
        <v>64</v>
      </c>
      <c r="AB21" s="21" t="s">
        <v>807</v>
      </c>
      <c r="AC21" s="21" t="s">
        <v>808</v>
      </c>
      <c r="AD21" s="21" t="s">
        <v>809</v>
      </c>
    </row>
    <row r="22" spans="1:30">
      <c r="A22" s="21">
        <v>211355</v>
      </c>
      <c r="B22" s="21" t="s">
        <v>726</v>
      </c>
      <c r="C22" s="21" t="s">
        <v>27</v>
      </c>
      <c r="D22" s="21" t="s">
        <v>727</v>
      </c>
      <c r="E22" s="21" t="s">
        <v>727</v>
      </c>
      <c r="F22" s="21" t="s">
        <v>727</v>
      </c>
      <c r="G22" s="21" t="s">
        <v>747</v>
      </c>
      <c r="H22" s="21" t="s">
        <v>17</v>
      </c>
      <c r="I22" s="21" t="s">
        <v>17</v>
      </c>
      <c r="J22" s="21" t="s">
        <v>17</v>
      </c>
      <c r="K22" s="21">
        <v>35</v>
      </c>
      <c r="L22" s="21" t="s">
        <v>730</v>
      </c>
      <c r="M22" s="21" t="s">
        <v>758</v>
      </c>
      <c r="N22" s="21" t="s">
        <v>748</v>
      </c>
      <c r="O22" s="21" t="s">
        <v>754</v>
      </c>
      <c r="P22" s="21" t="s">
        <v>17</v>
      </c>
      <c r="Q22" s="21" t="s">
        <v>17</v>
      </c>
      <c r="R22" s="21" t="s">
        <v>17</v>
      </c>
      <c r="S22" s="21" t="s">
        <v>17</v>
      </c>
      <c r="T22" s="21" t="s">
        <v>17</v>
      </c>
      <c r="U22" s="21" t="s">
        <v>17</v>
      </c>
      <c r="V22" s="21" t="s">
        <v>17</v>
      </c>
      <c r="W22" s="21" t="s">
        <v>17</v>
      </c>
      <c r="X22" s="21" t="s">
        <v>17</v>
      </c>
      <c r="Y22" s="21" t="s">
        <v>17</v>
      </c>
      <c r="Z22" s="21" t="s">
        <v>810</v>
      </c>
      <c r="AA22" s="21" t="s">
        <v>66</v>
      </c>
      <c r="AB22" s="21" t="s">
        <v>811</v>
      </c>
      <c r="AC22" s="21" t="s">
        <v>812</v>
      </c>
      <c r="AD22" s="21" t="s">
        <v>813</v>
      </c>
    </row>
    <row r="23" spans="1:30">
      <c r="A23" s="21">
        <v>211354</v>
      </c>
      <c r="B23" s="21" t="s">
        <v>726</v>
      </c>
      <c r="C23" s="21" t="s">
        <v>27</v>
      </c>
      <c r="D23" s="21" t="s">
        <v>727</v>
      </c>
      <c r="E23" s="21" t="s">
        <v>727</v>
      </c>
      <c r="F23" s="21" t="s">
        <v>727</v>
      </c>
      <c r="G23" s="21" t="s">
        <v>747</v>
      </c>
      <c r="H23" s="21" t="s">
        <v>17</v>
      </c>
      <c r="I23" s="21" t="s">
        <v>17</v>
      </c>
      <c r="J23" s="21" t="s">
        <v>17</v>
      </c>
      <c r="K23" s="21">
        <v>35</v>
      </c>
      <c r="L23" s="21" t="s">
        <v>730</v>
      </c>
      <c r="M23" s="21" t="s">
        <v>758</v>
      </c>
      <c r="N23" s="21" t="s">
        <v>748</v>
      </c>
      <c r="O23" s="21" t="s">
        <v>754</v>
      </c>
      <c r="P23" s="21" t="s">
        <v>17</v>
      </c>
      <c r="Q23" s="21" t="s">
        <v>17</v>
      </c>
      <c r="R23" s="21" t="s">
        <v>17</v>
      </c>
      <c r="S23" s="21" t="s">
        <v>17</v>
      </c>
      <c r="T23" s="21" t="s">
        <v>17</v>
      </c>
      <c r="U23" s="21" t="s">
        <v>17</v>
      </c>
      <c r="V23" s="21" t="s">
        <v>17</v>
      </c>
      <c r="W23" s="21" t="s">
        <v>17</v>
      </c>
      <c r="X23" s="21" t="s">
        <v>17</v>
      </c>
      <c r="Y23" s="21" t="s">
        <v>17</v>
      </c>
      <c r="Z23" s="21" t="s">
        <v>814</v>
      </c>
      <c r="AA23" s="21" t="s">
        <v>68</v>
      </c>
      <c r="AB23" s="21" t="s">
        <v>815</v>
      </c>
      <c r="AC23" s="21" t="s">
        <v>816</v>
      </c>
      <c r="AD23" s="21" t="s">
        <v>817</v>
      </c>
    </row>
    <row r="24" spans="1:30">
      <c r="A24" s="21">
        <v>211353</v>
      </c>
      <c r="B24" s="21" t="s">
        <v>726</v>
      </c>
      <c r="C24" s="21" t="s">
        <v>27</v>
      </c>
      <c r="D24" s="21" t="s">
        <v>727</v>
      </c>
      <c r="E24" s="21" t="s">
        <v>747</v>
      </c>
      <c r="F24" s="21" t="s">
        <v>727</v>
      </c>
      <c r="G24" s="21" t="s">
        <v>747</v>
      </c>
      <c r="H24" s="21" t="s">
        <v>17</v>
      </c>
      <c r="I24" s="21" t="s">
        <v>17</v>
      </c>
      <c r="J24" s="21" t="s">
        <v>17</v>
      </c>
      <c r="K24" s="21">
        <v>30</v>
      </c>
      <c r="L24" s="21" t="s">
        <v>730</v>
      </c>
      <c r="M24" s="21" t="s">
        <v>730</v>
      </c>
      <c r="N24" s="21" t="s">
        <v>748</v>
      </c>
      <c r="O24" s="21" t="s">
        <v>754</v>
      </c>
      <c r="P24" s="21" t="s">
        <v>17</v>
      </c>
      <c r="Q24" s="21" t="s">
        <v>17</v>
      </c>
      <c r="R24" s="21" t="s">
        <v>17</v>
      </c>
      <c r="S24" s="21" t="s">
        <v>17</v>
      </c>
      <c r="T24" s="21" t="s">
        <v>17</v>
      </c>
      <c r="U24" s="21" t="s">
        <v>17</v>
      </c>
      <c r="V24" s="21" t="s">
        <v>17</v>
      </c>
      <c r="W24" s="21" t="s">
        <v>17</v>
      </c>
      <c r="X24" s="21" t="s">
        <v>17</v>
      </c>
      <c r="Y24" s="21" t="s">
        <v>17</v>
      </c>
      <c r="Z24" s="21" t="s">
        <v>818</v>
      </c>
      <c r="AA24" s="21" t="s">
        <v>70</v>
      </c>
      <c r="AB24" s="21" t="s">
        <v>740</v>
      </c>
      <c r="AC24" s="21" t="s">
        <v>819</v>
      </c>
      <c r="AD24" s="21" t="s">
        <v>820</v>
      </c>
    </row>
    <row r="25" spans="1:30">
      <c r="A25" s="21">
        <v>211352</v>
      </c>
      <c r="B25" s="21" t="s">
        <v>726</v>
      </c>
      <c r="C25" s="21" t="s">
        <v>27</v>
      </c>
      <c r="D25" s="21" t="s">
        <v>727</v>
      </c>
      <c r="E25" s="21" t="s">
        <v>727</v>
      </c>
      <c r="F25" s="21" t="s">
        <v>727</v>
      </c>
      <c r="G25" s="21" t="s">
        <v>747</v>
      </c>
      <c r="H25" s="21" t="s">
        <v>17</v>
      </c>
      <c r="I25" s="21" t="s">
        <v>17</v>
      </c>
      <c r="J25" s="21" t="s">
        <v>17</v>
      </c>
      <c r="K25" s="21">
        <v>35</v>
      </c>
      <c r="L25" s="21" t="s">
        <v>730</v>
      </c>
      <c r="M25" s="21" t="s">
        <v>758</v>
      </c>
      <c r="N25" s="21" t="s">
        <v>748</v>
      </c>
      <c r="O25" s="21" t="s">
        <v>754</v>
      </c>
      <c r="P25" s="21" t="s">
        <v>17</v>
      </c>
      <c r="Q25" s="21" t="s">
        <v>17</v>
      </c>
      <c r="R25" s="21" t="s">
        <v>17</v>
      </c>
      <c r="S25" s="21" t="s">
        <v>17</v>
      </c>
      <c r="T25" s="21" t="s">
        <v>17</v>
      </c>
      <c r="U25" s="21" t="s">
        <v>17</v>
      </c>
      <c r="V25" s="21" t="s">
        <v>17</v>
      </c>
      <c r="W25" s="21" t="s">
        <v>17</v>
      </c>
      <c r="X25" s="21" t="s">
        <v>17</v>
      </c>
      <c r="Y25" s="21" t="s">
        <v>17</v>
      </c>
      <c r="Z25" s="21" t="s">
        <v>821</v>
      </c>
      <c r="AA25" s="21" t="s">
        <v>72</v>
      </c>
      <c r="AB25" s="21" t="s">
        <v>740</v>
      </c>
      <c r="AC25" s="21" t="s">
        <v>822</v>
      </c>
      <c r="AD25" s="21" t="s">
        <v>823</v>
      </c>
    </row>
    <row r="26" spans="1:30">
      <c r="A26" s="21">
        <v>211351</v>
      </c>
      <c r="B26" s="21" t="s">
        <v>726</v>
      </c>
      <c r="C26" s="21" t="s">
        <v>27</v>
      </c>
      <c r="D26" s="21" t="s">
        <v>727</v>
      </c>
      <c r="E26" s="21" t="s">
        <v>727</v>
      </c>
      <c r="F26" s="21" t="s">
        <v>727</v>
      </c>
      <c r="G26" s="21" t="s">
        <v>747</v>
      </c>
      <c r="H26" s="21" t="s">
        <v>17</v>
      </c>
      <c r="I26" s="21" t="s">
        <v>17</v>
      </c>
      <c r="J26" s="21" t="s">
        <v>17</v>
      </c>
      <c r="K26" s="21">
        <v>35</v>
      </c>
      <c r="L26" s="21" t="s">
        <v>730</v>
      </c>
      <c r="M26" s="21" t="s">
        <v>758</v>
      </c>
      <c r="N26" s="21" t="s">
        <v>748</v>
      </c>
      <c r="O26" s="21" t="s">
        <v>754</v>
      </c>
      <c r="P26" s="21" t="s">
        <v>17</v>
      </c>
      <c r="Q26" s="21" t="s">
        <v>17</v>
      </c>
      <c r="R26" s="21" t="s">
        <v>17</v>
      </c>
      <c r="S26" s="21" t="s">
        <v>17</v>
      </c>
      <c r="T26" s="21" t="s">
        <v>17</v>
      </c>
      <c r="U26" s="21" t="s">
        <v>17</v>
      </c>
      <c r="V26" s="21" t="s">
        <v>17</v>
      </c>
      <c r="W26" s="21" t="s">
        <v>17</v>
      </c>
      <c r="X26" s="21" t="s">
        <v>17</v>
      </c>
      <c r="Y26" s="21" t="s">
        <v>17</v>
      </c>
      <c r="Z26" s="21" t="s">
        <v>824</v>
      </c>
      <c r="AA26" s="21" t="s">
        <v>74</v>
      </c>
      <c r="AB26" s="21" t="s">
        <v>740</v>
      </c>
      <c r="AC26" s="21" t="s">
        <v>825</v>
      </c>
      <c r="AD26" s="21" t="s">
        <v>826</v>
      </c>
    </row>
    <row r="27" spans="1:30">
      <c r="A27" s="21">
        <v>211350</v>
      </c>
      <c r="B27" s="21" t="s">
        <v>726</v>
      </c>
      <c r="C27" s="21" t="s">
        <v>27</v>
      </c>
      <c r="D27" s="21" t="s">
        <v>727</v>
      </c>
      <c r="E27" s="21" t="s">
        <v>747</v>
      </c>
      <c r="F27" s="21" t="s">
        <v>727</v>
      </c>
      <c r="G27" s="21" t="s">
        <v>747</v>
      </c>
      <c r="H27" s="21" t="s">
        <v>17</v>
      </c>
      <c r="I27" s="21" t="s">
        <v>17</v>
      </c>
      <c r="J27" s="21" t="s">
        <v>17</v>
      </c>
      <c r="K27" s="21">
        <v>30</v>
      </c>
      <c r="L27" s="21" t="s">
        <v>730</v>
      </c>
      <c r="M27" s="21" t="s">
        <v>730</v>
      </c>
      <c r="N27" s="21" t="s">
        <v>748</v>
      </c>
      <c r="O27" s="21" t="s">
        <v>754</v>
      </c>
      <c r="P27" s="21" t="s">
        <v>17</v>
      </c>
      <c r="Q27" s="21" t="s">
        <v>17</v>
      </c>
      <c r="R27" s="21" t="s">
        <v>17</v>
      </c>
      <c r="S27" s="21" t="s">
        <v>17</v>
      </c>
      <c r="T27" s="21" t="s">
        <v>17</v>
      </c>
      <c r="U27" s="21" t="s">
        <v>17</v>
      </c>
      <c r="V27" s="21" t="s">
        <v>17</v>
      </c>
      <c r="W27" s="21" t="s">
        <v>17</v>
      </c>
      <c r="X27" s="21" t="s">
        <v>17</v>
      </c>
      <c r="Y27" s="21" t="s">
        <v>17</v>
      </c>
      <c r="Z27" s="21" t="s">
        <v>827</v>
      </c>
      <c r="AA27" s="21" t="s">
        <v>76</v>
      </c>
      <c r="AB27" s="21" t="s">
        <v>740</v>
      </c>
      <c r="AC27" s="21" t="s">
        <v>828</v>
      </c>
      <c r="AD27" s="21" t="s">
        <v>829</v>
      </c>
    </row>
    <row r="28" spans="1:30">
      <c r="A28" s="21">
        <v>211349</v>
      </c>
      <c r="B28" s="21" t="s">
        <v>726</v>
      </c>
      <c r="C28" s="21" t="s">
        <v>27</v>
      </c>
      <c r="D28" s="21" t="s">
        <v>727</v>
      </c>
      <c r="E28" s="21" t="s">
        <v>727</v>
      </c>
      <c r="F28" s="21" t="s">
        <v>727</v>
      </c>
      <c r="G28" s="21" t="s">
        <v>747</v>
      </c>
      <c r="H28" s="21" t="s">
        <v>17</v>
      </c>
      <c r="I28" s="21" t="s">
        <v>17</v>
      </c>
      <c r="J28" s="21" t="s">
        <v>17</v>
      </c>
      <c r="K28" s="21">
        <v>35</v>
      </c>
      <c r="L28" s="21" t="s">
        <v>730</v>
      </c>
      <c r="M28" s="21" t="s">
        <v>758</v>
      </c>
      <c r="N28" s="21" t="s">
        <v>748</v>
      </c>
      <c r="O28" s="21" t="s">
        <v>754</v>
      </c>
      <c r="P28" s="21" t="s">
        <v>17</v>
      </c>
      <c r="Q28" s="21" t="s">
        <v>17</v>
      </c>
      <c r="R28" s="21" t="s">
        <v>17</v>
      </c>
      <c r="S28" s="21" t="s">
        <v>17</v>
      </c>
      <c r="T28" s="21" t="s">
        <v>17</v>
      </c>
      <c r="U28" s="21" t="s">
        <v>17</v>
      </c>
      <c r="V28" s="21" t="s">
        <v>17</v>
      </c>
      <c r="W28" s="21" t="s">
        <v>17</v>
      </c>
      <c r="X28" s="21" t="s">
        <v>17</v>
      </c>
      <c r="Y28" s="21" t="s">
        <v>17</v>
      </c>
      <c r="Z28" s="21" t="s">
        <v>830</v>
      </c>
      <c r="AA28" s="21" t="s">
        <v>78</v>
      </c>
      <c r="AB28" s="21" t="s">
        <v>740</v>
      </c>
      <c r="AC28" s="21" t="s">
        <v>831</v>
      </c>
      <c r="AD28" s="21" t="s">
        <v>832</v>
      </c>
    </row>
    <row r="29" spans="1:30">
      <c r="A29" s="21">
        <v>211348</v>
      </c>
      <c r="B29" s="21" t="s">
        <v>726</v>
      </c>
      <c r="C29" s="21" t="s">
        <v>27</v>
      </c>
      <c r="D29" s="21" t="s">
        <v>727</v>
      </c>
      <c r="E29" s="21" t="s">
        <v>727</v>
      </c>
      <c r="F29" s="21" t="s">
        <v>727</v>
      </c>
      <c r="G29" s="21" t="s">
        <v>747</v>
      </c>
      <c r="H29" s="21" t="s">
        <v>17</v>
      </c>
      <c r="I29" s="21" t="s">
        <v>17</v>
      </c>
      <c r="J29" s="21" t="s">
        <v>17</v>
      </c>
      <c r="K29" s="21">
        <v>35</v>
      </c>
      <c r="L29" s="21" t="s">
        <v>730</v>
      </c>
      <c r="M29" s="21" t="s">
        <v>758</v>
      </c>
      <c r="N29" s="21" t="s">
        <v>748</v>
      </c>
      <c r="O29" s="21" t="s">
        <v>754</v>
      </c>
      <c r="P29" s="21" t="s">
        <v>17</v>
      </c>
      <c r="Q29" s="21" t="s">
        <v>17</v>
      </c>
      <c r="R29" s="21" t="s">
        <v>17</v>
      </c>
      <c r="S29" s="21" t="s">
        <v>17</v>
      </c>
      <c r="T29" s="21" t="s">
        <v>17</v>
      </c>
      <c r="U29" s="21" t="s">
        <v>17</v>
      </c>
      <c r="V29" s="21" t="s">
        <v>17</v>
      </c>
      <c r="W29" s="21" t="s">
        <v>17</v>
      </c>
      <c r="X29" s="21" t="s">
        <v>17</v>
      </c>
      <c r="Y29" s="21" t="s">
        <v>17</v>
      </c>
      <c r="Z29" s="21" t="s">
        <v>833</v>
      </c>
      <c r="AA29" s="21" t="s">
        <v>80</v>
      </c>
      <c r="AB29" s="21" t="s">
        <v>834</v>
      </c>
      <c r="AC29" s="21" t="s">
        <v>835</v>
      </c>
      <c r="AD29" s="21" t="s">
        <v>836</v>
      </c>
    </row>
    <row r="30" spans="1:30">
      <c r="A30" s="21">
        <v>211347</v>
      </c>
      <c r="B30" s="21" t="s">
        <v>726</v>
      </c>
      <c r="C30" s="21" t="s">
        <v>27</v>
      </c>
      <c r="D30" s="21" t="s">
        <v>727</v>
      </c>
      <c r="E30" s="21" t="s">
        <v>727</v>
      </c>
      <c r="F30" s="21" t="s">
        <v>727</v>
      </c>
      <c r="G30" s="21" t="s">
        <v>747</v>
      </c>
      <c r="H30" s="21" t="s">
        <v>17</v>
      </c>
      <c r="I30" s="21" t="s">
        <v>17</v>
      </c>
      <c r="J30" s="21" t="s">
        <v>17</v>
      </c>
      <c r="K30" s="21">
        <v>35</v>
      </c>
      <c r="L30" s="21" t="s">
        <v>730</v>
      </c>
      <c r="M30" s="21" t="s">
        <v>758</v>
      </c>
      <c r="N30" s="21" t="s">
        <v>748</v>
      </c>
      <c r="O30" s="21" t="s">
        <v>754</v>
      </c>
      <c r="P30" s="21" t="s">
        <v>17</v>
      </c>
      <c r="Q30" s="21" t="s">
        <v>17</v>
      </c>
      <c r="R30" s="21" t="s">
        <v>17</v>
      </c>
      <c r="S30" s="21" t="s">
        <v>17</v>
      </c>
      <c r="T30" s="21" t="s">
        <v>17</v>
      </c>
      <c r="U30" s="21" t="s">
        <v>17</v>
      </c>
      <c r="V30" s="21" t="s">
        <v>17</v>
      </c>
      <c r="W30" s="21" t="s">
        <v>17</v>
      </c>
      <c r="X30" s="21" t="s">
        <v>17</v>
      </c>
      <c r="Y30" s="21" t="s">
        <v>17</v>
      </c>
      <c r="Z30" s="21" t="s">
        <v>837</v>
      </c>
      <c r="AA30" s="21" t="s">
        <v>82</v>
      </c>
      <c r="AB30" s="21" t="s">
        <v>740</v>
      </c>
      <c r="AC30" s="21" t="s">
        <v>838</v>
      </c>
      <c r="AD30" s="21" t="s">
        <v>839</v>
      </c>
    </row>
    <row r="31" spans="1:30">
      <c r="A31" s="21">
        <v>211345</v>
      </c>
      <c r="B31" s="21" t="s">
        <v>726</v>
      </c>
      <c r="C31" s="21" t="s">
        <v>27</v>
      </c>
      <c r="D31" s="21" t="s">
        <v>727</v>
      </c>
      <c r="E31" s="21" t="s">
        <v>727</v>
      </c>
      <c r="F31" s="21" t="s">
        <v>727</v>
      </c>
      <c r="G31" s="21" t="s">
        <v>747</v>
      </c>
      <c r="H31" s="21" t="s">
        <v>17</v>
      </c>
      <c r="I31" s="21" t="s">
        <v>17</v>
      </c>
      <c r="J31" s="21" t="s">
        <v>17</v>
      </c>
      <c r="K31" s="21">
        <v>35</v>
      </c>
      <c r="L31" s="21" t="s">
        <v>730</v>
      </c>
      <c r="M31" s="21" t="s">
        <v>758</v>
      </c>
      <c r="N31" s="21" t="s">
        <v>748</v>
      </c>
      <c r="O31" s="21" t="s">
        <v>754</v>
      </c>
      <c r="P31" s="21" t="s">
        <v>17</v>
      </c>
      <c r="Q31" s="21" t="s">
        <v>17</v>
      </c>
      <c r="R31" s="21" t="s">
        <v>17</v>
      </c>
      <c r="S31" s="21" t="s">
        <v>17</v>
      </c>
      <c r="T31" s="21" t="s">
        <v>17</v>
      </c>
      <c r="U31" s="21" t="s">
        <v>17</v>
      </c>
      <c r="V31" s="21" t="s">
        <v>17</v>
      </c>
      <c r="W31" s="21" t="s">
        <v>17</v>
      </c>
      <c r="X31" s="21" t="s">
        <v>17</v>
      </c>
      <c r="Y31" s="21" t="s">
        <v>17</v>
      </c>
      <c r="Z31" s="21" t="s">
        <v>840</v>
      </c>
      <c r="AA31" s="21" t="s">
        <v>84</v>
      </c>
      <c r="AB31" s="21" t="s">
        <v>740</v>
      </c>
      <c r="AC31" s="21" t="s">
        <v>841</v>
      </c>
      <c r="AD31" s="21" t="s">
        <v>842</v>
      </c>
    </row>
    <row r="32" spans="1:30">
      <c r="A32" s="21">
        <v>211344</v>
      </c>
      <c r="B32" s="21" t="s">
        <v>726</v>
      </c>
      <c r="C32" s="21" t="s">
        <v>27</v>
      </c>
      <c r="D32" s="21" t="s">
        <v>727</v>
      </c>
      <c r="E32" s="21" t="s">
        <v>747</v>
      </c>
      <c r="F32" s="21" t="s">
        <v>752</v>
      </c>
      <c r="G32" s="21" t="s">
        <v>747</v>
      </c>
      <c r="H32" s="21" t="s">
        <v>17</v>
      </c>
      <c r="I32" s="21" t="s">
        <v>17</v>
      </c>
      <c r="J32" s="21" t="s">
        <v>17</v>
      </c>
      <c r="K32" s="21">
        <v>10</v>
      </c>
      <c r="L32" s="21" t="s">
        <v>730</v>
      </c>
      <c r="M32" s="21" t="s">
        <v>730</v>
      </c>
      <c r="N32" s="21" t="s">
        <v>843</v>
      </c>
      <c r="O32" s="21" t="s">
        <v>754</v>
      </c>
      <c r="P32" s="21" t="s">
        <v>17</v>
      </c>
      <c r="Q32" s="21" t="s">
        <v>17</v>
      </c>
      <c r="R32" s="21" t="s">
        <v>17</v>
      </c>
      <c r="S32" s="21" t="s">
        <v>17</v>
      </c>
      <c r="T32" s="21" t="s">
        <v>17</v>
      </c>
      <c r="U32" s="21" t="s">
        <v>17</v>
      </c>
      <c r="V32" s="21" t="s">
        <v>17</v>
      </c>
      <c r="W32" s="21" t="s">
        <v>17</v>
      </c>
      <c r="X32" s="21" t="s">
        <v>17</v>
      </c>
      <c r="Y32" s="21" t="s">
        <v>17</v>
      </c>
      <c r="Z32" s="21" t="s">
        <v>844</v>
      </c>
      <c r="AA32" s="21" t="s">
        <v>86</v>
      </c>
      <c r="AB32" s="21" t="s">
        <v>796</v>
      </c>
      <c r="AC32" s="21" t="s">
        <v>845</v>
      </c>
      <c r="AD32" s="21" t="s">
        <v>846</v>
      </c>
    </row>
    <row r="33" spans="1:30">
      <c r="A33" s="21">
        <v>211343</v>
      </c>
      <c r="B33" s="21" t="s">
        <v>726</v>
      </c>
      <c r="C33" s="21" t="s">
        <v>27</v>
      </c>
      <c r="D33" s="21" t="s">
        <v>752</v>
      </c>
      <c r="E33" s="21" t="s">
        <v>727</v>
      </c>
      <c r="F33" s="21" t="s">
        <v>727</v>
      </c>
      <c r="G33" s="21" t="s">
        <v>747</v>
      </c>
      <c r="H33" s="21" t="s">
        <v>17</v>
      </c>
      <c r="I33" s="21" t="s">
        <v>17</v>
      </c>
      <c r="J33" s="21" t="s">
        <v>17</v>
      </c>
      <c r="K33" s="21">
        <v>15</v>
      </c>
      <c r="L33" s="21" t="s">
        <v>753</v>
      </c>
      <c r="M33" s="21" t="s">
        <v>758</v>
      </c>
      <c r="N33" s="21" t="s">
        <v>748</v>
      </c>
      <c r="O33" s="21" t="s">
        <v>754</v>
      </c>
      <c r="P33" s="21" t="s">
        <v>17</v>
      </c>
      <c r="Q33" s="21" t="s">
        <v>17</v>
      </c>
      <c r="R33" s="21" t="s">
        <v>17</v>
      </c>
      <c r="S33" s="21" t="s">
        <v>17</v>
      </c>
      <c r="T33" s="21" t="s">
        <v>17</v>
      </c>
      <c r="U33" s="21" t="s">
        <v>17</v>
      </c>
      <c r="V33" s="21" t="s">
        <v>17</v>
      </c>
      <c r="W33" s="21" t="s">
        <v>17</v>
      </c>
      <c r="X33" s="21" t="s">
        <v>17</v>
      </c>
      <c r="Y33" s="21" t="s">
        <v>17</v>
      </c>
      <c r="Z33" s="21" t="s">
        <v>844</v>
      </c>
      <c r="AA33" s="21" t="s">
        <v>89</v>
      </c>
      <c r="AB33" s="21" t="s">
        <v>847</v>
      </c>
      <c r="AC33" s="21" t="s">
        <v>848</v>
      </c>
      <c r="AD33" s="21" t="s">
        <v>849</v>
      </c>
    </row>
    <row r="34" spans="1:30">
      <c r="A34" s="21">
        <v>211340</v>
      </c>
      <c r="B34" s="21" t="s">
        <v>726</v>
      </c>
      <c r="C34" s="21" t="s">
        <v>27</v>
      </c>
      <c r="D34" s="21" t="s">
        <v>727</v>
      </c>
      <c r="E34" s="21" t="s">
        <v>727</v>
      </c>
      <c r="F34" s="21" t="s">
        <v>727</v>
      </c>
      <c r="G34" s="21" t="s">
        <v>747</v>
      </c>
      <c r="H34" s="21" t="s">
        <v>17</v>
      </c>
      <c r="I34" s="21" t="s">
        <v>17</v>
      </c>
      <c r="J34" s="21" t="s">
        <v>17</v>
      </c>
      <c r="K34" s="21">
        <v>35</v>
      </c>
      <c r="L34" s="21" t="s">
        <v>730</v>
      </c>
      <c r="M34" s="21" t="s">
        <v>758</v>
      </c>
      <c r="N34" s="21" t="s">
        <v>748</v>
      </c>
      <c r="O34" s="21" t="s">
        <v>754</v>
      </c>
      <c r="P34" s="21" t="s">
        <v>17</v>
      </c>
      <c r="Q34" s="21" t="s">
        <v>17</v>
      </c>
      <c r="R34" s="21" t="s">
        <v>17</v>
      </c>
      <c r="S34" s="21" t="s">
        <v>17</v>
      </c>
      <c r="T34" s="21" t="s">
        <v>17</v>
      </c>
      <c r="U34" s="21" t="s">
        <v>17</v>
      </c>
      <c r="V34" s="21" t="s">
        <v>17</v>
      </c>
      <c r="W34" s="21" t="s">
        <v>17</v>
      </c>
      <c r="X34" s="21" t="s">
        <v>17</v>
      </c>
      <c r="Y34" s="21" t="s">
        <v>17</v>
      </c>
      <c r="Z34" s="21" t="s">
        <v>850</v>
      </c>
      <c r="AA34" s="21" t="s">
        <v>90</v>
      </c>
      <c r="AB34" s="21" t="s">
        <v>851</v>
      </c>
      <c r="AC34" s="21" t="s">
        <v>852</v>
      </c>
      <c r="AD34" s="21" t="s">
        <v>853</v>
      </c>
    </row>
    <row r="35" spans="1:30">
      <c r="A35" s="21">
        <v>211339</v>
      </c>
      <c r="B35" s="21" t="s">
        <v>726</v>
      </c>
      <c r="C35" s="21" t="s">
        <v>27</v>
      </c>
      <c r="D35" s="21" t="s">
        <v>727</v>
      </c>
      <c r="E35" s="21" t="s">
        <v>727</v>
      </c>
      <c r="F35" s="21" t="s">
        <v>727</v>
      </c>
      <c r="G35" s="21" t="s">
        <v>747</v>
      </c>
      <c r="H35" s="21" t="s">
        <v>17</v>
      </c>
      <c r="I35" s="21" t="s">
        <v>17</v>
      </c>
      <c r="J35" s="21" t="s">
        <v>17</v>
      </c>
      <c r="K35" s="21">
        <v>35</v>
      </c>
      <c r="L35" s="21" t="s">
        <v>730</v>
      </c>
      <c r="M35" s="21" t="s">
        <v>758</v>
      </c>
      <c r="N35" s="21" t="s">
        <v>748</v>
      </c>
      <c r="O35" s="21" t="s">
        <v>754</v>
      </c>
      <c r="P35" s="21" t="s">
        <v>17</v>
      </c>
      <c r="Q35" s="21" t="s">
        <v>17</v>
      </c>
      <c r="R35" s="21" t="s">
        <v>17</v>
      </c>
      <c r="S35" s="21" t="s">
        <v>17</v>
      </c>
      <c r="T35" s="21" t="s">
        <v>17</v>
      </c>
      <c r="U35" s="21" t="s">
        <v>17</v>
      </c>
      <c r="V35" s="21" t="s">
        <v>17</v>
      </c>
      <c r="W35" s="21" t="s">
        <v>17</v>
      </c>
      <c r="X35" s="21" t="s">
        <v>17</v>
      </c>
      <c r="Y35" s="21" t="s">
        <v>17</v>
      </c>
      <c r="Z35" s="21" t="s">
        <v>854</v>
      </c>
      <c r="AA35" s="21" t="s">
        <v>92</v>
      </c>
      <c r="AB35" s="21" t="s">
        <v>740</v>
      </c>
      <c r="AC35" s="21" t="s">
        <v>855</v>
      </c>
      <c r="AD35" s="21" t="s">
        <v>856</v>
      </c>
    </row>
    <row r="36" spans="1:30">
      <c r="A36" s="21">
        <v>211338</v>
      </c>
      <c r="B36" s="21" t="s">
        <v>726</v>
      </c>
      <c r="C36" s="21" t="s">
        <v>27</v>
      </c>
      <c r="D36" s="21" t="s">
        <v>727</v>
      </c>
      <c r="E36" s="21" t="s">
        <v>727</v>
      </c>
      <c r="F36" s="21" t="s">
        <v>727</v>
      </c>
      <c r="G36" s="21" t="s">
        <v>747</v>
      </c>
      <c r="H36" s="21" t="s">
        <v>17</v>
      </c>
      <c r="I36" s="21" t="s">
        <v>17</v>
      </c>
      <c r="J36" s="21" t="s">
        <v>17</v>
      </c>
      <c r="K36" s="21">
        <v>35</v>
      </c>
      <c r="L36" s="21" t="s">
        <v>730</v>
      </c>
      <c r="M36" s="21" t="s">
        <v>758</v>
      </c>
      <c r="N36" s="21" t="s">
        <v>748</v>
      </c>
      <c r="O36" s="21" t="s">
        <v>754</v>
      </c>
      <c r="P36" s="21" t="s">
        <v>17</v>
      </c>
      <c r="Q36" s="21" t="s">
        <v>17</v>
      </c>
      <c r="R36" s="21" t="s">
        <v>17</v>
      </c>
      <c r="S36" s="21" t="s">
        <v>17</v>
      </c>
      <c r="T36" s="21" t="s">
        <v>17</v>
      </c>
      <c r="U36" s="21" t="s">
        <v>17</v>
      </c>
      <c r="V36" s="21" t="s">
        <v>17</v>
      </c>
      <c r="W36" s="21" t="s">
        <v>17</v>
      </c>
      <c r="X36" s="21" t="s">
        <v>17</v>
      </c>
      <c r="Y36" s="21" t="s">
        <v>17</v>
      </c>
      <c r="Z36" s="21" t="s">
        <v>857</v>
      </c>
      <c r="AA36" s="21" t="s">
        <v>94</v>
      </c>
      <c r="AB36" s="21" t="s">
        <v>740</v>
      </c>
      <c r="AC36" s="21" t="s">
        <v>858</v>
      </c>
      <c r="AD36" s="21" t="s">
        <v>859</v>
      </c>
    </row>
    <row r="37" spans="1:30">
      <c r="A37" s="21">
        <v>211335</v>
      </c>
      <c r="B37" s="21" t="s">
        <v>726</v>
      </c>
      <c r="C37" s="21" t="s">
        <v>27</v>
      </c>
      <c r="D37" s="21" t="s">
        <v>727</v>
      </c>
      <c r="E37" s="21" t="s">
        <v>747</v>
      </c>
      <c r="F37" s="21" t="s">
        <v>727</v>
      </c>
      <c r="G37" s="21" t="s">
        <v>747</v>
      </c>
      <c r="H37" s="21" t="s">
        <v>17</v>
      </c>
      <c r="I37" s="21" t="s">
        <v>17</v>
      </c>
      <c r="J37" s="21" t="s">
        <v>17</v>
      </c>
      <c r="K37" s="21">
        <v>30</v>
      </c>
      <c r="L37" s="21" t="s">
        <v>730</v>
      </c>
      <c r="M37" s="21" t="s">
        <v>730</v>
      </c>
      <c r="N37" s="21" t="s">
        <v>748</v>
      </c>
      <c r="O37" s="21" t="s">
        <v>754</v>
      </c>
      <c r="P37" s="21" t="s">
        <v>17</v>
      </c>
      <c r="Q37" s="21" t="s">
        <v>17</v>
      </c>
      <c r="R37" s="21" t="s">
        <v>17</v>
      </c>
      <c r="S37" s="21" t="s">
        <v>17</v>
      </c>
      <c r="T37" s="21" t="s">
        <v>17</v>
      </c>
      <c r="U37" s="21" t="s">
        <v>17</v>
      </c>
      <c r="V37" s="21" t="s">
        <v>17</v>
      </c>
      <c r="W37" s="21" t="s">
        <v>17</v>
      </c>
      <c r="X37" s="21" t="s">
        <v>17</v>
      </c>
      <c r="Y37" s="21" t="s">
        <v>17</v>
      </c>
      <c r="Z37" s="21" t="s">
        <v>860</v>
      </c>
      <c r="AA37" s="21" t="s">
        <v>96</v>
      </c>
      <c r="AB37" s="21" t="s">
        <v>774</v>
      </c>
      <c r="AC37" s="21" t="s">
        <v>861</v>
      </c>
      <c r="AD37" s="21" t="s">
        <v>862</v>
      </c>
    </row>
    <row r="38" spans="1:30">
      <c r="A38" s="21">
        <v>211334</v>
      </c>
      <c r="B38" s="21" t="s">
        <v>726</v>
      </c>
      <c r="C38" s="21" t="s">
        <v>27</v>
      </c>
      <c r="D38" s="21" t="s">
        <v>727</v>
      </c>
      <c r="E38" s="21" t="s">
        <v>727</v>
      </c>
      <c r="F38" s="21" t="s">
        <v>727</v>
      </c>
      <c r="G38" s="21" t="s">
        <v>747</v>
      </c>
      <c r="H38" s="21" t="s">
        <v>17</v>
      </c>
      <c r="I38" s="21" t="s">
        <v>17</v>
      </c>
      <c r="J38" s="21" t="s">
        <v>17</v>
      </c>
      <c r="K38" s="21">
        <v>35</v>
      </c>
      <c r="L38" s="21" t="s">
        <v>730</v>
      </c>
      <c r="M38" s="21" t="s">
        <v>758</v>
      </c>
      <c r="N38" s="21" t="s">
        <v>748</v>
      </c>
      <c r="O38" s="21" t="s">
        <v>754</v>
      </c>
      <c r="P38" s="21" t="s">
        <v>17</v>
      </c>
      <c r="Q38" s="21" t="s">
        <v>17</v>
      </c>
      <c r="R38" s="21" t="s">
        <v>17</v>
      </c>
      <c r="S38" s="21" t="s">
        <v>17</v>
      </c>
      <c r="T38" s="21" t="s">
        <v>17</v>
      </c>
      <c r="U38" s="21" t="s">
        <v>17</v>
      </c>
      <c r="V38" s="21" t="s">
        <v>17</v>
      </c>
      <c r="W38" s="21" t="s">
        <v>17</v>
      </c>
      <c r="X38" s="21" t="s">
        <v>17</v>
      </c>
      <c r="Y38" s="21" t="s">
        <v>17</v>
      </c>
      <c r="Z38" s="21" t="s">
        <v>863</v>
      </c>
      <c r="AA38" s="21" t="s">
        <v>98</v>
      </c>
      <c r="AB38" s="21" t="s">
        <v>864</v>
      </c>
      <c r="AC38" s="21" t="s">
        <v>865</v>
      </c>
      <c r="AD38" s="21" t="s">
        <v>866</v>
      </c>
    </row>
    <row r="39" spans="1:30">
      <c r="A39" s="21">
        <v>211333</v>
      </c>
      <c r="B39" s="21" t="s">
        <v>726</v>
      </c>
      <c r="C39" s="21" t="s">
        <v>27</v>
      </c>
      <c r="D39" s="21" t="s">
        <v>727</v>
      </c>
      <c r="E39" s="21" t="s">
        <v>727</v>
      </c>
      <c r="F39" s="21" t="s">
        <v>727</v>
      </c>
      <c r="G39" s="21" t="s">
        <v>747</v>
      </c>
      <c r="H39" s="21" t="s">
        <v>17</v>
      </c>
      <c r="I39" s="21" t="s">
        <v>17</v>
      </c>
      <c r="J39" s="21" t="s">
        <v>17</v>
      </c>
      <c r="K39" s="21">
        <v>35</v>
      </c>
      <c r="L39" s="21" t="s">
        <v>730</v>
      </c>
      <c r="M39" s="21" t="s">
        <v>758</v>
      </c>
      <c r="N39" s="21" t="s">
        <v>748</v>
      </c>
      <c r="O39" s="21" t="s">
        <v>754</v>
      </c>
      <c r="P39" s="21" t="s">
        <v>17</v>
      </c>
      <c r="Q39" s="21" t="s">
        <v>17</v>
      </c>
      <c r="R39" s="21" t="s">
        <v>17</v>
      </c>
      <c r="S39" s="21" t="s">
        <v>17</v>
      </c>
      <c r="T39" s="21" t="s">
        <v>17</v>
      </c>
      <c r="U39" s="21" t="s">
        <v>17</v>
      </c>
      <c r="V39" s="21" t="s">
        <v>17</v>
      </c>
      <c r="W39" s="21" t="s">
        <v>17</v>
      </c>
      <c r="X39" s="21" t="s">
        <v>17</v>
      </c>
      <c r="Y39" s="21" t="s">
        <v>17</v>
      </c>
      <c r="Z39" s="21" t="s">
        <v>867</v>
      </c>
      <c r="AA39" s="21" t="s">
        <v>100</v>
      </c>
      <c r="AB39" s="21" t="s">
        <v>868</v>
      </c>
      <c r="AC39" s="21" t="s">
        <v>869</v>
      </c>
      <c r="AD39" s="21" t="s">
        <v>870</v>
      </c>
    </row>
    <row r="40" spans="1:30">
      <c r="A40" s="21">
        <v>211332</v>
      </c>
      <c r="B40" s="21" t="s">
        <v>726</v>
      </c>
      <c r="C40" s="21" t="s">
        <v>27</v>
      </c>
      <c r="D40" s="21" t="s">
        <v>727</v>
      </c>
      <c r="E40" s="21" t="s">
        <v>727</v>
      </c>
      <c r="F40" s="21" t="s">
        <v>727</v>
      </c>
      <c r="G40" s="21" t="s">
        <v>747</v>
      </c>
      <c r="H40" s="21" t="s">
        <v>17</v>
      </c>
      <c r="I40" s="21" t="s">
        <v>17</v>
      </c>
      <c r="J40" s="21" t="s">
        <v>17</v>
      </c>
      <c r="K40" s="21">
        <v>35</v>
      </c>
      <c r="L40" s="21" t="s">
        <v>730</v>
      </c>
      <c r="M40" s="21" t="s">
        <v>758</v>
      </c>
      <c r="N40" s="21" t="s">
        <v>748</v>
      </c>
      <c r="O40" s="21" t="s">
        <v>754</v>
      </c>
      <c r="P40" s="21" t="s">
        <v>17</v>
      </c>
      <c r="Q40" s="21" t="s">
        <v>17</v>
      </c>
      <c r="R40" s="21" t="s">
        <v>17</v>
      </c>
      <c r="S40" s="21" t="s">
        <v>17</v>
      </c>
      <c r="T40" s="21" t="s">
        <v>17</v>
      </c>
      <c r="U40" s="21" t="s">
        <v>17</v>
      </c>
      <c r="V40" s="21" t="s">
        <v>17</v>
      </c>
      <c r="W40" s="21" t="s">
        <v>17</v>
      </c>
      <c r="X40" s="21" t="s">
        <v>17</v>
      </c>
      <c r="Y40" s="21" t="s">
        <v>17</v>
      </c>
      <c r="Z40" s="21" t="s">
        <v>871</v>
      </c>
      <c r="AA40" s="21" t="s">
        <v>102</v>
      </c>
      <c r="AB40" s="21" t="s">
        <v>740</v>
      </c>
      <c r="AC40" s="21" t="s">
        <v>872</v>
      </c>
      <c r="AD40" s="21" t="s">
        <v>873</v>
      </c>
    </row>
    <row r="41" spans="1:30">
      <c r="A41" s="21">
        <v>211331</v>
      </c>
      <c r="B41" s="21" t="s">
        <v>726</v>
      </c>
      <c r="C41" s="21" t="s">
        <v>27</v>
      </c>
      <c r="D41" s="21" t="s">
        <v>727</v>
      </c>
      <c r="E41" s="21" t="s">
        <v>747</v>
      </c>
      <c r="F41" s="21" t="s">
        <v>727</v>
      </c>
      <c r="G41" s="21" t="s">
        <v>747</v>
      </c>
      <c r="H41" s="21" t="s">
        <v>17</v>
      </c>
      <c r="I41" s="21" t="s">
        <v>17</v>
      </c>
      <c r="J41" s="21" t="s">
        <v>17</v>
      </c>
      <c r="K41" s="21">
        <v>30</v>
      </c>
      <c r="L41" s="21" t="s">
        <v>730</v>
      </c>
      <c r="M41" s="21" t="s">
        <v>730</v>
      </c>
      <c r="N41" s="21" t="s">
        <v>748</v>
      </c>
      <c r="O41" s="21" t="s">
        <v>754</v>
      </c>
      <c r="P41" s="21" t="s">
        <v>17</v>
      </c>
      <c r="Q41" s="21" t="s">
        <v>17</v>
      </c>
      <c r="R41" s="21" t="s">
        <v>17</v>
      </c>
      <c r="S41" s="21" t="s">
        <v>17</v>
      </c>
      <c r="T41" s="21" t="s">
        <v>17</v>
      </c>
      <c r="U41" s="21" t="s">
        <v>17</v>
      </c>
      <c r="V41" s="21" t="s">
        <v>17</v>
      </c>
      <c r="W41" s="21" t="s">
        <v>17</v>
      </c>
      <c r="X41" s="21" t="s">
        <v>17</v>
      </c>
      <c r="Y41" s="21" t="s">
        <v>17</v>
      </c>
      <c r="Z41" s="21" t="s">
        <v>871</v>
      </c>
      <c r="AA41" s="21" t="s">
        <v>104</v>
      </c>
      <c r="AB41" s="21" t="s">
        <v>796</v>
      </c>
      <c r="AC41" s="21" t="s">
        <v>874</v>
      </c>
      <c r="AD41" s="21" t="s">
        <v>875</v>
      </c>
    </row>
    <row r="42" spans="1:30">
      <c r="A42" s="21">
        <v>211330</v>
      </c>
      <c r="B42" s="21" t="s">
        <v>726</v>
      </c>
      <c r="C42" s="21" t="s">
        <v>27</v>
      </c>
      <c r="D42" s="21" t="s">
        <v>727</v>
      </c>
      <c r="E42" s="21" t="s">
        <v>727</v>
      </c>
      <c r="F42" s="21" t="s">
        <v>727</v>
      </c>
      <c r="G42" s="21" t="s">
        <v>747</v>
      </c>
      <c r="H42" s="21" t="s">
        <v>17</v>
      </c>
      <c r="I42" s="21" t="s">
        <v>17</v>
      </c>
      <c r="J42" s="21" t="s">
        <v>17</v>
      </c>
      <c r="K42" s="21">
        <v>35</v>
      </c>
      <c r="L42" s="21" t="s">
        <v>730</v>
      </c>
      <c r="M42" s="21" t="s">
        <v>758</v>
      </c>
      <c r="N42" s="21" t="s">
        <v>748</v>
      </c>
      <c r="O42" s="21" t="s">
        <v>754</v>
      </c>
      <c r="P42" s="21" t="s">
        <v>17</v>
      </c>
      <c r="Q42" s="21" t="s">
        <v>17</v>
      </c>
      <c r="R42" s="21" t="s">
        <v>17</v>
      </c>
      <c r="S42" s="21" t="s">
        <v>17</v>
      </c>
      <c r="T42" s="21" t="s">
        <v>17</v>
      </c>
      <c r="U42" s="21" t="s">
        <v>17</v>
      </c>
      <c r="V42" s="21" t="s">
        <v>17</v>
      </c>
      <c r="W42" s="21" t="s">
        <v>17</v>
      </c>
      <c r="X42" s="21" t="s">
        <v>17</v>
      </c>
      <c r="Y42" s="21" t="s">
        <v>17</v>
      </c>
      <c r="Z42" s="21" t="s">
        <v>876</v>
      </c>
      <c r="AA42" s="21" t="s">
        <v>105</v>
      </c>
      <c r="AB42" s="21" t="s">
        <v>740</v>
      </c>
      <c r="AC42" s="21" t="s">
        <v>877</v>
      </c>
      <c r="AD42" s="21" t="s">
        <v>878</v>
      </c>
    </row>
    <row r="43" spans="1:30">
      <c r="A43" s="21">
        <v>211329</v>
      </c>
      <c r="B43" s="21" t="s">
        <v>726</v>
      </c>
      <c r="C43" s="21" t="s">
        <v>27</v>
      </c>
      <c r="D43" s="21" t="s">
        <v>727</v>
      </c>
      <c r="E43" s="21" t="s">
        <v>727</v>
      </c>
      <c r="F43" s="21" t="s">
        <v>727</v>
      </c>
      <c r="G43" s="21" t="s">
        <v>747</v>
      </c>
      <c r="H43" s="21" t="s">
        <v>17</v>
      </c>
      <c r="I43" s="21" t="s">
        <v>17</v>
      </c>
      <c r="J43" s="21" t="s">
        <v>17</v>
      </c>
      <c r="K43" s="21">
        <v>35</v>
      </c>
      <c r="L43" s="21" t="s">
        <v>730</v>
      </c>
      <c r="M43" s="21" t="s">
        <v>758</v>
      </c>
      <c r="N43" s="21" t="s">
        <v>748</v>
      </c>
      <c r="O43" s="21" t="s">
        <v>754</v>
      </c>
      <c r="P43" s="21" t="s">
        <v>17</v>
      </c>
      <c r="Q43" s="21" t="s">
        <v>17</v>
      </c>
      <c r="R43" s="21" t="s">
        <v>17</v>
      </c>
      <c r="S43" s="21" t="s">
        <v>17</v>
      </c>
      <c r="T43" s="21" t="s">
        <v>17</v>
      </c>
      <c r="U43" s="21" t="s">
        <v>17</v>
      </c>
      <c r="V43" s="21" t="s">
        <v>17</v>
      </c>
      <c r="W43" s="21" t="s">
        <v>17</v>
      </c>
      <c r="X43" s="21" t="s">
        <v>17</v>
      </c>
      <c r="Y43" s="21" t="s">
        <v>17</v>
      </c>
      <c r="Z43" s="21" t="s">
        <v>876</v>
      </c>
      <c r="AA43" s="21" t="s">
        <v>107</v>
      </c>
      <c r="AB43" s="21" t="s">
        <v>879</v>
      </c>
      <c r="AC43" s="21" t="s">
        <v>880</v>
      </c>
      <c r="AD43" s="21" t="s">
        <v>881</v>
      </c>
    </row>
    <row r="44" spans="1:30">
      <c r="A44" s="21">
        <v>211328</v>
      </c>
      <c r="B44" s="21" t="s">
        <v>726</v>
      </c>
      <c r="C44" s="21" t="s">
        <v>27</v>
      </c>
      <c r="D44" s="21" t="s">
        <v>727</v>
      </c>
      <c r="E44" s="21" t="s">
        <v>727</v>
      </c>
      <c r="F44" s="21" t="s">
        <v>727</v>
      </c>
      <c r="G44" s="21" t="s">
        <v>747</v>
      </c>
      <c r="H44" s="21" t="s">
        <v>17</v>
      </c>
      <c r="I44" s="21" t="s">
        <v>17</v>
      </c>
      <c r="J44" s="21" t="s">
        <v>17</v>
      </c>
      <c r="K44" s="21">
        <v>35</v>
      </c>
      <c r="L44" s="21" t="s">
        <v>730</v>
      </c>
      <c r="M44" s="21" t="s">
        <v>758</v>
      </c>
      <c r="N44" s="21" t="s">
        <v>748</v>
      </c>
      <c r="O44" s="21" t="s">
        <v>754</v>
      </c>
      <c r="P44" s="21" t="s">
        <v>17</v>
      </c>
      <c r="Q44" s="21" t="s">
        <v>17</v>
      </c>
      <c r="R44" s="21" t="s">
        <v>17</v>
      </c>
      <c r="S44" s="21" t="s">
        <v>17</v>
      </c>
      <c r="T44" s="21" t="s">
        <v>17</v>
      </c>
      <c r="U44" s="21" t="s">
        <v>17</v>
      </c>
      <c r="V44" s="21" t="s">
        <v>17</v>
      </c>
      <c r="W44" s="21" t="s">
        <v>17</v>
      </c>
      <c r="X44" s="21" t="s">
        <v>17</v>
      </c>
      <c r="Y44" s="21" t="s">
        <v>17</v>
      </c>
      <c r="Z44" s="21" t="s">
        <v>882</v>
      </c>
      <c r="AA44" s="21" t="s">
        <v>108</v>
      </c>
      <c r="AB44" s="21" t="s">
        <v>774</v>
      </c>
      <c r="AC44" s="21" t="s">
        <v>883</v>
      </c>
      <c r="AD44" s="21" t="s">
        <v>884</v>
      </c>
    </row>
    <row r="45" spans="1:30">
      <c r="A45" s="21">
        <v>211327</v>
      </c>
      <c r="B45" s="21" t="s">
        <v>726</v>
      </c>
      <c r="C45" s="21" t="s">
        <v>27</v>
      </c>
      <c r="D45" s="21" t="s">
        <v>727</v>
      </c>
      <c r="E45" s="21" t="s">
        <v>727</v>
      </c>
      <c r="F45" s="21" t="s">
        <v>727</v>
      </c>
      <c r="G45" s="21" t="s">
        <v>747</v>
      </c>
      <c r="H45" s="21" t="s">
        <v>17</v>
      </c>
      <c r="I45" s="21" t="s">
        <v>17</v>
      </c>
      <c r="J45" s="21" t="s">
        <v>17</v>
      </c>
      <c r="K45" s="21">
        <v>35</v>
      </c>
      <c r="L45" s="21" t="s">
        <v>730</v>
      </c>
      <c r="M45" s="21" t="s">
        <v>758</v>
      </c>
      <c r="N45" s="21" t="s">
        <v>748</v>
      </c>
      <c r="O45" s="21" t="s">
        <v>754</v>
      </c>
      <c r="P45" s="21" t="s">
        <v>17</v>
      </c>
      <c r="Q45" s="21" t="s">
        <v>17</v>
      </c>
      <c r="R45" s="21" t="s">
        <v>17</v>
      </c>
      <c r="S45" s="21" t="s">
        <v>17</v>
      </c>
      <c r="T45" s="21" t="s">
        <v>17</v>
      </c>
      <c r="U45" s="21" t="s">
        <v>17</v>
      </c>
      <c r="V45" s="21" t="s">
        <v>17</v>
      </c>
      <c r="W45" s="21" t="s">
        <v>17</v>
      </c>
      <c r="X45" s="21" t="s">
        <v>17</v>
      </c>
      <c r="Y45" s="21" t="s">
        <v>17</v>
      </c>
      <c r="Z45" s="21" t="s">
        <v>885</v>
      </c>
      <c r="AA45" s="21" t="s">
        <v>110</v>
      </c>
      <c r="AB45" s="21" t="s">
        <v>796</v>
      </c>
      <c r="AC45" s="21" t="s">
        <v>886</v>
      </c>
      <c r="AD45" s="21" t="s">
        <v>887</v>
      </c>
    </row>
    <row r="46" spans="1:30">
      <c r="A46" s="21">
        <v>211325</v>
      </c>
      <c r="B46" s="21" t="s">
        <v>726</v>
      </c>
      <c r="C46" s="21" t="s">
        <v>27</v>
      </c>
      <c r="D46" s="21" t="s">
        <v>727</v>
      </c>
      <c r="E46" s="21" t="s">
        <v>747</v>
      </c>
      <c r="F46" s="21" t="s">
        <v>727</v>
      </c>
      <c r="G46" s="21" t="s">
        <v>747</v>
      </c>
      <c r="H46" s="21" t="s">
        <v>17</v>
      </c>
      <c r="I46" s="21" t="s">
        <v>17</v>
      </c>
      <c r="J46" s="21" t="s">
        <v>17</v>
      </c>
      <c r="K46" s="21">
        <v>30</v>
      </c>
      <c r="L46" s="21" t="s">
        <v>730</v>
      </c>
      <c r="M46" s="21" t="s">
        <v>730</v>
      </c>
      <c r="N46" s="21" t="s">
        <v>748</v>
      </c>
      <c r="O46" s="21" t="s">
        <v>754</v>
      </c>
      <c r="P46" s="21" t="s">
        <v>17</v>
      </c>
      <c r="Q46" s="21" t="s">
        <v>17</v>
      </c>
      <c r="R46" s="21" t="s">
        <v>17</v>
      </c>
      <c r="S46" s="21" t="s">
        <v>17</v>
      </c>
      <c r="T46" s="21" t="s">
        <v>17</v>
      </c>
      <c r="U46" s="21" t="s">
        <v>17</v>
      </c>
      <c r="V46" s="21" t="s">
        <v>17</v>
      </c>
      <c r="W46" s="21" t="s">
        <v>17</v>
      </c>
      <c r="X46" s="21" t="s">
        <v>17</v>
      </c>
      <c r="Y46" s="21" t="s">
        <v>17</v>
      </c>
      <c r="Z46" s="21" t="s">
        <v>888</v>
      </c>
      <c r="AA46" s="21" t="s">
        <v>112</v>
      </c>
      <c r="AB46" s="21" t="s">
        <v>889</v>
      </c>
      <c r="AC46" s="21" t="s">
        <v>890</v>
      </c>
      <c r="AD46" s="21" t="s">
        <v>891</v>
      </c>
    </row>
    <row r="47" spans="1:30">
      <c r="A47" s="21">
        <v>211322</v>
      </c>
      <c r="B47" s="21" t="s">
        <v>726</v>
      </c>
      <c r="C47" s="21" t="s">
        <v>27</v>
      </c>
      <c r="D47" s="21" t="s">
        <v>727</v>
      </c>
      <c r="E47" s="21" t="s">
        <v>727</v>
      </c>
      <c r="F47" s="21" t="s">
        <v>727</v>
      </c>
      <c r="G47" s="21" t="s">
        <v>747</v>
      </c>
      <c r="H47" s="21" t="s">
        <v>17</v>
      </c>
      <c r="I47" s="21" t="s">
        <v>17</v>
      </c>
      <c r="J47" s="21" t="s">
        <v>17</v>
      </c>
      <c r="K47" s="21">
        <v>35</v>
      </c>
      <c r="L47" s="21" t="s">
        <v>730</v>
      </c>
      <c r="M47" s="21" t="s">
        <v>758</v>
      </c>
      <c r="N47" s="21" t="s">
        <v>748</v>
      </c>
      <c r="O47" s="21" t="s">
        <v>754</v>
      </c>
      <c r="P47" s="21" t="s">
        <v>17</v>
      </c>
      <c r="Q47" s="21" t="s">
        <v>17</v>
      </c>
      <c r="R47" s="21" t="s">
        <v>17</v>
      </c>
      <c r="S47" s="21" t="s">
        <v>17</v>
      </c>
      <c r="T47" s="21" t="s">
        <v>17</v>
      </c>
      <c r="U47" s="21" t="s">
        <v>17</v>
      </c>
      <c r="V47" s="21" t="s">
        <v>17</v>
      </c>
      <c r="W47" s="21" t="s">
        <v>17</v>
      </c>
      <c r="X47" s="21" t="s">
        <v>17</v>
      </c>
      <c r="Y47" s="21" t="s">
        <v>17</v>
      </c>
      <c r="Z47" s="21" t="s">
        <v>892</v>
      </c>
      <c r="AA47" s="21" t="s">
        <v>114</v>
      </c>
      <c r="AB47" s="21" t="s">
        <v>774</v>
      </c>
      <c r="AC47" s="21" t="s">
        <v>893</v>
      </c>
      <c r="AD47" s="21" t="s">
        <v>894</v>
      </c>
    </row>
    <row r="48" spans="1:30">
      <c r="A48" s="21">
        <v>211321</v>
      </c>
      <c r="B48" s="21" t="s">
        <v>726</v>
      </c>
      <c r="C48" s="21" t="s">
        <v>27</v>
      </c>
      <c r="D48" s="21" t="s">
        <v>727</v>
      </c>
      <c r="E48" s="21" t="s">
        <v>727</v>
      </c>
      <c r="F48" s="21" t="s">
        <v>727</v>
      </c>
      <c r="G48" s="21" t="s">
        <v>747</v>
      </c>
      <c r="H48" s="21" t="s">
        <v>17</v>
      </c>
      <c r="I48" s="21" t="s">
        <v>17</v>
      </c>
      <c r="J48" s="21" t="s">
        <v>17</v>
      </c>
      <c r="K48" s="21">
        <v>35</v>
      </c>
      <c r="L48" s="21" t="s">
        <v>730</v>
      </c>
      <c r="M48" s="21" t="s">
        <v>758</v>
      </c>
      <c r="N48" s="21" t="s">
        <v>748</v>
      </c>
      <c r="O48" s="21" t="s">
        <v>754</v>
      </c>
      <c r="P48" s="21" t="s">
        <v>17</v>
      </c>
      <c r="Q48" s="21" t="s">
        <v>17</v>
      </c>
      <c r="R48" s="21" t="s">
        <v>17</v>
      </c>
      <c r="S48" s="21" t="s">
        <v>17</v>
      </c>
      <c r="T48" s="21" t="s">
        <v>17</v>
      </c>
      <c r="U48" s="21" t="s">
        <v>17</v>
      </c>
      <c r="V48" s="21" t="s">
        <v>17</v>
      </c>
      <c r="W48" s="21" t="s">
        <v>17</v>
      </c>
      <c r="X48" s="21" t="s">
        <v>17</v>
      </c>
      <c r="Y48" s="21" t="s">
        <v>17</v>
      </c>
      <c r="Z48" s="21" t="s">
        <v>895</v>
      </c>
      <c r="AA48" s="21" t="s">
        <v>116</v>
      </c>
      <c r="AB48" s="21" t="s">
        <v>740</v>
      </c>
      <c r="AC48" s="21" t="s">
        <v>896</v>
      </c>
      <c r="AD48" s="21" t="s">
        <v>897</v>
      </c>
    </row>
    <row r="49" spans="1:30">
      <c r="A49" s="21">
        <v>211320</v>
      </c>
      <c r="B49" s="21" t="s">
        <v>726</v>
      </c>
      <c r="C49" s="21" t="s">
        <v>27</v>
      </c>
      <c r="D49" s="21" t="s">
        <v>727</v>
      </c>
      <c r="E49" s="21" t="s">
        <v>727</v>
      </c>
      <c r="F49" s="21" t="s">
        <v>752</v>
      </c>
      <c r="G49" s="21" t="s">
        <v>747</v>
      </c>
      <c r="H49" s="21" t="s">
        <v>17</v>
      </c>
      <c r="I49" s="21" t="s">
        <v>17</v>
      </c>
      <c r="J49" s="21" t="s">
        <v>17</v>
      </c>
      <c r="K49" s="21">
        <v>15</v>
      </c>
      <c r="L49" s="21" t="s">
        <v>730</v>
      </c>
      <c r="M49" s="21" t="s">
        <v>758</v>
      </c>
      <c r="N49" s="21" t="s">
        <v>843</v>
      </c>
      <c r="O49" s="21" t="s">
        <v>754</v>
      </c>
      <c r="P49" s="21" t="s">
        <v>17</v>
      </c>
      <c r="Q49" s="21" t="s">
        <v>17</v>
      </c>
      <c r="R49" s="21" t="s">
        <v>17</v>
      </c>
      <c r="S49" s="21" t="s">
        <v>17</v>
      </c>
      <c r="T49" s="21" t="s">
        <v>17</v>
      </c>
      <c r="U49" s="21" t="s">
        <v>17</v>
      </c>
      <c r="V49" s="21" t="s">
        <v>17</v>
      </c>
      <c r="W49" s="21" t="s">
        <v>17</v>
      </c>
      <c r="X49" s="21" t="s">
        <v>17</v>
      </c>
      <c r="Y49" s="21" t="s">
        <v>17</v>
      </c>
      <c r="Z49" s="21" t="s">
        <v>898</v>
      </c>
      <c r="AA49" s="21" t="s">
        <v>118</v>
      </c>
      <c r="AB49" s="21" t="s">
        <v>740</v>
      </c>
      <c r="AC49" s="21" t="s">
        <v>899</v>
      </c>
      <c r="AD49" s="21" t="s">
        <v>900</v>
      </c>
    </row>
    <row r="50" spans="1:30">
      <c r="A50" s="21">
        <v>211318</v>
      </c>
      <c r="B50" s="21" t="s">
        <v>726</v>
      </c>
      <c r="C50" s="21" t="s">
        <v>27</v>
      </c>
      <c r="D50" s="21" t="s">
        <v>727</v>
      </c>
      <c r="E50" s="21" t="s">
        <v>727</v>
      </c>
      <c r="F50" s="21" t="s">
        <v>727</v>
      </c>
      <c r="G50" s="21" t="s">
        <v>747</v>
      </c>
      <c r="H50" s="21" t="s">
        <v>17</v>
      </c>
      <c r="I50" s="21" t="s">
        <v>17</v>
      </c>
      <c r="J50" s="21" t="s">
        <v>17</v>
      </c>
      <c r="K50" s="21">
        <v>35</v>
      </c>
      <c r="L50" s="21" t="s">
        <v>730</v>
      </c>
      <c r="M50" s="21" t="s">
        <v>758</v>
      </c>
      <c r="N50" s="21" t="s">
        <v>748</v>
      </c>
      <c r="O50" s="21" t="s">
        <v>754</v>
      </c>
      <c r="P50" s="21" t="s">
        <v>17</v>
      </c>
      <c r="Q50" s="21" t="s">
        <v>17</v>
      </c>
      <c r="R50" s="21" t="s">
        <v>17</v>
      </c>
      <c r="S50" s="21" t="s">
        <v>17</v>
      </c>
      <c r="T50" s="21" t="s">
        <v>17</v>
      </c>
      <c r="U50" s="21" t="s">
        <v>17</v>
      </c>
      <c r="V50" s="21" t="s">
        <v>17</v>
      </c>
      <c r="W50" s="21" t="s">
        <v>17</v>
      </c>
      <c r="X50" s="21" t="s">
        <v>17</v>
      </c>
      <c r="Y50" s="21" t="s">
        <v>17</v>
      </c>
      <c r="Z50" s="21" t="s">
        <v>901</v>
      </c>
      <c r="AA50" s="21" t="s">
        <v>120</v>
      </c>
      <c r="AB50" s="21" t="s">
        <v>740</v>
      </c>
      <c r="AC50" s="21" t="s">
        <v>902</v>
      </c>
      <c r="AD50" s="21" t="s">
        <v>903</v>
      </c>
    </row>
    <row r="51" spans="1:30">
      <c r="A51" s="21">
        <v>211317</v>
      </c>
      <c r="B51" s="21" t="s">
        <v>726</v>
      </c>
      <c r="C51" s="21" t="s">
        <v>27</v>
      </c>
      <c r="D51" s="21" t="s">
        <v>727</v>
      </c>
      <c r="E51" s="21" t="s">
        <v>752</v>
      </c>
      <c r="F51" s="21" t="s">
        <v>727</v>
      </c>
      <c r="G51" s="21" t="s">
        <v>780</v>
      </c>
      <c r="H51" s="21" t="s">
        <v>17</v>
      </c>
      <c r="I51" s="21" t="s">
        <v>17</v>
      </c>
      <c r="J51" s="21" t="s">
        <v>17</v>
      </c>
      <c r="K51" s="21">
        <v>5</v>
      </c>
      <c r="L51" s="21" t="s">
        <v>730</v>
      </c>
      <c r="M51" s="21" t="s">
        <v>904</v>
      </c>
      <c r="N51" s="21" t="s">
        <v>748</v>
      </c>
      <c r="O51" s="21" t="s">
        <v>781</v>
      </c>
      <c r="P51" s="21" t="s">
        <v>17</v>
      </c>
      <c r="Q51" s="21" t="s">
        <v>17</v>
      </c>
      <c r="R51" s="21" t="s">
        <v>17</v>
      </c>
      <c r="S51" s="21" t="s">
        <v>17</v>
      </c>
      <c r="T51" s="21" t="s">
        <v>124</v>
      </c>
      <c r="U51" s="21" t="s">
        <v>17</v>
      </c>
      <c r="V51" s="21" t="s">
        <v>17</v>
      </c>
      <c r="W51" s="21" t="s">
        <v>17</v>
      </c>
      <c r="X51" s="21" t="s">
        <v>17</v>
      </c>
      <c r="Y51" s="21" t="s">
        <v>17</v>
      </c>
      <c r="Z51" s="21" t="s">
        <v>901</v>
      </c>
      <c r="AA51" s="21" t="s">
        <v>122</v>
      </c>
      <c r="AB51" s="21" t="s">
        <v>905</v>
      </c>
      <c r="AC51" s="21" t="s">
        <v>906</v>
      </c>
      <c r="AD51" s="21" t="s">
        <v>907</v>
      </c>
    </row>
    <row r="52" spans="1:30">
      <c r="A52" s="21">
        <v>211316</v>
      </c>
      <c r="B52" s="21" t="s">
        <v>726</v>
      </c>
      <c r="C52" s="21" t="s">
        <v>27</v>
      </c>
      <c r="D52" s="21" t="s">
        <v>727</v>
      </c>
      <c r="E52" s="21" t="s">
        <v>727</v>
      </c>
      <c r="F52" s="21" t="s">
        <v>727</v>
      </c>
      <c r="G52" s="21" t="s">
        <v>747</v>
      </c>
      <c r="H52" s="21" t="s">
        <v>17</v>
      </c>
      <c r="I52" s="21" t="s">
        <v>17</v>
      </c>
      <c r="J52" s="21" t="s">
        <v>17</v>
      </c>
      <c r="K52" s="21">
        <v>35</v>
      </c>
      <c r="L52" s="21" t="s">
        <v>730</v>
      </c>
      <c r="M52" s="21" t="s">
        <v>758</v>
      </c>
      <c r="N52" s="21" t="s">
        <v>748</v>
      </c>
      <c r="O52" s="21" t="s">
        <v>754</v>
      </c>
      <c r="P52" s="21" t="s">
        <v>17</v>
      </c>
      <c r="Q52" s="21" t="s">
        <v>17</v>
      </c>
      <c r="R52" s="21" t="s">
        <v>17</v>
      </c>
      <c r="S52" s="21" t="s">
        <v>17</v>
      </c>
      <c r="T52" s="21" t="s">
        <v>17</v>
      </c>
      <c r="U52" s="21" t="s">
        <v>17</v>
      </c>
      <c r="V52" s="21" t="s">
        <v>17</v>
      </c>
      <c r="W52" s="21" t="s">
        <v>17</v>
      </c>
      <c r="X52" s="21" t="s">
        <v>17</v>
      </c>
      <c r="Y52" s="21" t="s">
        <v>17</v>
      </c>
      <c r="Z52" s="21" t="s">
        <v>901</v>
      </c>
      <c r="AA52" s="21" t="s">
        <v>125</v>
      </c>
      <c r="AB52" s="21" t="s">
        <v>908</v>
      </c>
      <c r="AC52" s="21" t="s">
        <v>909</v>
      </c>
      <c r="AD52" s="21" t="s">
        <v>910</v>
      </c>
    </row>
    <row r="53" spans="1:30">
      <c r="A53" s="21">
        <v>211315</v>
      </c>
      <c r="B53" s="21" t="s">
        <v>726</v>
      </c>
      <c r="C53" s="21" t="s">
        <v>27</v>
      </c>
      <c r="D53" s="21" t="s">
        <v>727</v>
      </c>
      <c r="E53" s="21" t="s">
        <v>727</v>
      </c>
      <c r="F53" s="21" t="s">
        <v>727</v>
      </c>
      <c r="G53" s="21" t="s">
        <v>747</v>
      </c>
      <c r="H53" s="21" t="s">
        <v>17</v>
      </c>
      <c r="I53" s="21" t="s">
        <v>17</v>
      </c>
      <c r="J53" s="21" t="s">
        <v>17</v>
      </c>
      <c r="K53" s="21">
        <v>35</v>
      </c>
      <c r="L53" s="21" t="s">
        <v>730</v>
      </c>
      <c r="M53" s="21" t="s">
        <v>758</v>
      </c>
      <c r="N53" s="21" t="s">
        <v>748</v>
      </c>
      <c r="O53" s="21" t="s">
        <v>754</v>
      </c>
      <c r="P53" s="21" t="s">
        <v>17</v>
      </c>
      <c r="Q53" s="21" t="s">
        <v>17</v>
      </c>
      <c r="R53" s="21" t="s">
        <v>17</v>
      </c>
      <c r="S53" s="21" t="s">
        <v>17</v>
      </c>
      <c r="T53" s="21" t="s">
        <v>17</v>
      </c>
      <c r="U53" s="21" t="s">
        <v>17</v>
      </c>
      <c r="V53" s="21" t="s">
        <v>17</v>
      </c>
      <c r="W53" s="21" t="s">
        <v>17</v>
      </c>
      <c r="X53" s="21" t="s">
        <v>17</v>
      </c>
      <c r="Y53" s="21" t="s">
        <v>17</v>
      </c>
      <c r="Z53" s="21" t="s">
        <v>911</v>
      </c>
      <c r="AA53" s="21" t="s">
        <v>126</v>
      </c>
      <c r="AB53" s="21" t="s">
        <v>912</v>
      </c>
      <c r="AC53" s="21" t="s">
        <v>913</v>
      </c>
      <c r="AD53" s="21" t="s">
        <v>914</v>
      </c>
    </row>
    <row r="54" spans="1:30">
      <c r="A54" s="21">
        <v>211313</v>
      </c>
      <c r="B54" s="21" t="s">
        <v>726</v>
      </c>
      <c r="C54" s="21" t="s">
        <v>27</v>
      </c>
      <c r="D54" s="21" t="s">
        <v>727</v>
      </c>
      <c r="E54" s="21" t="s">
        <v>727</v>
      </c>
      <c r="F54" s="21" t="s">
        <v>727</v>
      </c>
      <c r="G54" s="21" t="s">
        <v>747</v>
      </c>
      <c r="H54" s="21" t="s">
        <v>17</v>
      </c>
      <c r="I54" s="21" t="s">
        <v>17</v>
      </c>
      <c r="J54" s="21" t="s">
        <v>17</v>
      </c>
      <c r="K54" s="21">
        <v>35</v>
      </c>
      <c r="L54" s="21" t="s">
        <v>730</v>
      </c>
      <c r="M54" s="21" t="s">
        <v>758</v>
      </c>
      <c r="N54" s="21" t="s">
        <v>748</v>
      </c>
      <c r="O54" s="21" t="s">
        <v>754</v>
      </c>
      <c r="P54" s="21" t="s">
        <v>17</v>
      </c>
      <c r="Q54" s="21" t="s">
        <v>17</v>
      </c>
      <c r="R54" s="21" t="s">
        <v>17</v>
      </c>
      <c r="S54" s="21" t="s">
        <v>17</v>
      </c>
      <c r="T54" s="21" t="s">
        <v>17</v>
      </c>
      <c r="U54" s="21" t="s">
        <v>17</v>
      </c>
      <c r="V54" s="21" t="s">
        <v>17</v>
      </c>
      <c r="W54" s="21" t="s">
        <v>17</v>
      </c>
      <c r="X54" s="21" t="s">
        <v>17</v>
      </c>
      <c r="Y54" s="21" t="s">
        <v>17</v>
      </c>
      <c r="Z54" s="21" t="s">
        <v>915</v>
      </c>
      <c r="AA54" s="21" t="s">
        <v>128</v>
      </c>
      <c r="AB54" s="21" t="s">
        <v>740</v>
      </c>
      <c r="AC54" s="21" t="s">
        <v>916</v>
      </c>
      <c r="AD54" s="21" t="s">
        <v>917</v>
      </c>
    </row>
    <row r="55" spans="1:30">
      <c r="A55" s="21">
        <v>211312</v>
      </c>
      <c r="B55" s="21" t="s">
        <v>726</v>
      </c>
      <c r="C55" s="21" t="s">
        <v>27</v>
      </c>
      <c r="D55" s="21" t="s">
        <v>727</v>
      </c>
      <c r="E55" s="21" t="s">
        <v>727</v>
      </c>
      <c r="F55" s="21" t="s">
        <v>727</v>
      </c>
      <c r="G55" s="21" t="s">
        <v>747</v>
      </c>
      <c r="H55" s="21" t="s">
        <v>17</v>
      </c>
      <c r="I55" s="21" t="s">
        <v>17</v>
      </c>
      <c r="J55" s="21" t="s">
        <v>17</v>
      </c>
      <c r="K55" s="21">
        <v>35</v>
      </c>
      <c r="L55" s="21" t="s">
        <v>730</v>
      </c>
      <c r="M55" s="21" t="s">
        <v>758</v>
      </c>
      <c r="N55" s="21" t="s">
        <v>748</v>
      </c>
      <c r="O55" s="21" t="s">
        <v>754</v>
      </c>
      <c r="P55" s="21" t="s">
        <v>17</v>
      </c>
      <c r="Q55" s="21" t="s">
        <v>17</v>
      </c>
      <c r="R55" s="21" t="s">
        <v>17</v>
      </c>
      <c r="S55" s="21" t="s">
        <v>17</v>
      </c>
      <c r="T55" s="21" t="s">
        <v>17</v>
      </c>
      <c r="U55" s="21" t="s">
        <v>17</v>
      </c>
      <c r="V55" s="21" t="s">
        <v>17</v>
      </c>
      <c r="W55" s="21" t="s">
        <v>17</v>
      </c>
      <c r="X55" s="21" t="s">
        <v>17</v>
      </c>
      <c r="Y55" s="21" t="s">
        <v>17</v>
      </c>
      <c r="Z55" s="21" t="s">
        <v>918</v>
      </c>
      <c r="AA55" s="21" t="s">
        <v>130</v>
      </c>
      <c r="AB55" s="21" t="s">
        <v>919</v>
      </c>
      <c r="AC55" s="21" t="s">
        <v>920</v>
      </c>
      <c r="AD55" s="21" t="s">
        <v>921</v>
      </c>
    </row>
    <row r="56" spans="1:30">
      <c r="A56" s="21">
        <v>211311</v>
      </c>
      <c r="B56" s="21" t="s">
        <v>726</v>
      </c>
      <c r="C56" s="21" t="s">
        <v>27</v>
      </c>
      <c r="D56" s="21" t="s">
        <v>727</v>
      </c>
      <c r="E56" s="21" t="s">
        <v>727</v>
      </c>
      <c r="F56" s="21" t="s">
        <v>727</v>
      </c>
      <c r="G56" s="21" t="s">
        <v>747</v>
      </c>
      <c r="H56" s="21" t="s">
        <v>17</v>
      </c>
      <c r="I56" s="21" t="s">
        <v>17</v>
      </c>
      <c r="J56" s="21" t="s">
        <v>17</v>
      </c>
      <c r="K56" s="21">
        <v>35</v>
      </c>
      <c r="L56" s="21" t="s">
        <v>730</v>
      </c>
      <c r="M56" s="21" t="s">
        <v>758</v>
      </c>
      <c r="N56" s="21" t="s">
        <v>748</v>
      </c>
      <c r="O56" s="21" t="s">
        <v>754</v>
      </c>
      <c r="P56" s="21" t="s">
        <v>17</v>
      </c>
      <c r="Q56" s="21" t="s">
        <v>17</v>
      </c>
      <c r="R56" s="21" t="s">
        <v>17</v>
      </c>
      <c r="S56" s="21" t="s">
        <v>17</v>
      </c>
      <c r="T56" s="21" t="s">
        <v>17</v>
      </c>
      <c r="U56" s="21" t="s">
        <v>17</v>
      </c>
      <c r="V56" s="21" t="s">
        <v>17</v>
      </c>
      <c r="W56" s="21" t="s">
        <v>17</v>
      </c>
      <c r="X56" s="21" t="s">
        <v>17</v>
      </c>
      <c r="Y56" s="21" t="s">
        <v>17</v>
      </c>
      <c r="Z56" s="21" t="s">
        <v>922</v>
      </c>
      <c r="AA56" s="21" t="s">
        <v>132</v>
      </c>
      <c r="AB56" s="21" t="s">
        <v>774</v>
      </c>
      <c r="AC56" s="21" t="s">
        <v>923</v>
      </c>
      <c r="AD56" s="21" t="s">
        <v>924</v>
      </c>
    </row>
    <row r="57" spans="1:30">
      <c r="A57" s="21">
        <v>211310</v>
      </c>
      <c r="B57" s="21" t="s">
        <v>726</v>
      </c>
      <c r="C57" s="21" t="s">
        <v>27</v>
      </c>
      <c r="D57" s="21" t="s">
        <v>727</v>
      </c>
      <c r="E57" s="21" t="s">
        <v>727</v>
      </c>
      <c r="F57" s="21" t="s">
        <v>727</v>
      </c>
      <c r="G57" s="21" t="s">
        <v>747</v>
      </c>
      <c r="H57" s="21" t="s">
        <v>17</v>
      </c>
      <c r="I57" s="21" t="s">
        <v>17</v>
      </c>
      <c r="J57" s="21" t="s">
        <v>17</v>
      </c>
      <c r="K57" s="21">
        <v>35</v>
      </c>
      <c r="L57" s="21" t="s">
        <v>730</v>
      </c>
      <c r="M57" s="21" t="s">
        <v>758</v>
      </c>
      <c r="N57" s="21" t="s">
        <v>748</v>
      </c>
      <c r="O57" s="21" t="s">
        <v>754</v>
      </c>
      <c r="P57" s="21" t="s">
        <v>17</v>
      </c>
      <c r="Q57" s="21" t="s">
        <v>17</v>
      </c>
      <c r="R57" s="21" t="s">
        <v>17</v>
      </c>
      <c r="S57" s="21" t="s">
        <v>17</v>
      </c>
      <c r="T57" s="21" t="s">
        <v>17</v>
      </c>
      <c r="U57" s="21" t="s">
        <v>17</v>
      </c>
      <c r="V57" s="21" t="s">
        <v>17</v>
      </c>
      <c r="W57" s="21" t="s">
        <v>17</v>
      </c>
      <c r="X57" s="21" t="s">
        <v>17</v>
      </c>
      <c r="Y57" s="21" t="s">
        <v>17</v>
      </c>
      <c r="Z57" s="21" t="s">
        <v>922</v>
      </c>
      <c r="AA57" s="21" t="s">
        <v>134</v>
      </c>
      <c r="AB57" s="21" t="s">
        <v>925</v>
      </c>
      <c r="AC57" s="21" t="s">
        <v>926</v>
      </c>
      <c r="AD57" s="21" t="s">
        <v>927</v>
      </c>
    </row>
    <row r="58" spans="1:30">
      <c r="A58" s="21">
        <v>211309</v>
      </c>
      <c r="B58" s="21" t="s">
        <v>726</v>
      </c>
      <c r="C58" s="21" t="s">
        <v>27</v>
      </c>
      <c r="D58" s="21" t="s">
        <v>727</v>
      </c>
      <c r="E58" s="21" t="s">
        <v>727</v>
      </c>
      <c r="F58" s="21" t="s">
        <v>727</v>
      </c>
      <c r="G58" s="21" t="s">
        <v>747</v>
      </c>
      <c r="H58" s="21" t="s">
        <v>17</v>
      </c>
      <c r="I58" s="21" t="s">
        <v>17</v>
      </c>
      <c r="J58" s="21" t="s">
        <v>17</v>
      </c>
      <c r="K58" s="21">
        <v>35</v>
      </c>
      <c r="L58" s="21" t="s">
        <v>730</v>
      </c>
      <c r="M58" s="21" t="s">
        <v>758</v>
      </c>
      <c r="N58" s="21" t="s">
        <v>748</v>
      </c>
      <c r="O58" s="21" t="s">
        <v>754</v>
      </c>
      <c r="P58" s="21" t="s">
        <v>17</v>
      </c>
      <c r="Q58" s="21" t="s">
        <v>17</v>
      </c>
      <c r="R58" s="21" t="s">
        <v>17</v>
      </c>
      <c r="S58" s="21" t="s">
        <v>17</v>
      </c>
      <c r="T58" s="21" t="s">
        <v>17</v>
      </c>
      <c r="U58" s="21" t="s">
        <v>17</v>
      </c>
      <c r="V58" s="21" t="s">
        <v>17</v>
      </c>
      <c r="W58" s="21" t="s">
        <v>17</v>
      </c>
      <c r="X58" s="21" t="s">
        <v>17</v>
      </c>
      <c r="Y58" s="21" t="s">
        <v>17</v>
      </c>
      <c r="Z58" s="21" t="s">
        <v>922</v>
      </c>
      <c r="AA58" s="21" t="s">
        <v>135</v>
      </c>
      <c r="AB58" s="21" t="s">
        <v>774</v>
      </c>
      <c r="AC58" s="21" t="s">
        <v>928</v>
      </c>
      <c r="AD58" s="21" t="s">
        <v>929</v>
      </c>
    </row>
    <row r="59" spans="1:30">
      <c r="A59" s="21">
        <v>211308</v>
      </c>
      <c r="B59" s="21" t="s">
        <v>726</v>
      </c>
      <c r="C59" s="21" t="s">
        <v>27</v>
      </c>
      <c r="D59" s="21" t="s">
        <v>727</v>
      </c>
      <c r="E59" s="21" t="s">
        <v>727</v>
      </c>
      <c r="F59" s="21" t="s">
        <v>727</v>
      </c>
      <c r="G59" s="21" t="s">
        <v>747</v>
      </c>
      <c r="H59" s="21" t="s">
        <v>17</v>
      </c>
      <c r="I59" s="21" t="s">
        <v>17</v>
      </c>
      <c r="J59" s="21" t="s">
        <v>17</v>
      </c>
      <c r="K59" s="21">
        <v>35</v>
      </c>
      <c r="L59" s="21" t="s">
        <v>730</v>
      </c>
      <c r="M59" s="21" t="s">
        <v>758</v>
      </c>
      <c r="N59" s="21" t="s">
        <v>748</v>
      </c>
      <c r="O59" s="21" t="s">
        <v>754</v>
      </c>
      <c r="P59" s="21" t="s">
        <v>17</v>
      </c>
      <c r="Q59" s="21" t="s">
        <v>17</v>
      </c>
      <c r="R59" s="21" t="s">
        <v>17</v>
      </c>
      <c r="S59" s="21" t="s">
        <v>17</v>
      </c>
      <c r="T59" s="21" t="s">
        <v>17</v>
      </c>
      <c r="U59" s="21" t="s">
        <v>17</v>
      </c>
      <c r="V59" s="21" t="s">
        <v>17</v>
      </c>
      <c r="W59" s="21" t="s">
        <v>17</v>
      </c>
      <c r="X59" s="21" t="s">
        <v>17</v>
      </c>
      <c r="Y59" s="21" t="s">
        <v>17</v>
      </c>
      <c r="Z59" s="21" t="s">
        <v>930</v>
      </c>
      <c r="AA59" s="21" t="s">
        <v>136</v>
      </c>
      <c r="AB59" s="21" t="s">
        <v>931</v>
      </c>
      <c r="AC59" s="21" t="s">
        <v>932</v>
      </c>
      <c r="AD59" s="21" t="s">
        <v>933</v>
      </c>
    </row>
    <row r="60" spans="1:30">
      <c r="A60" s="21">
        <v>211300</v>
      </c>
      <c r="B60" s="21" t="s">
        <v>726</v>
      </c>
      <c r="C60" s="21" t="s">
        <v>27</v>
      </c>
      <c r="D60" s="21" t="s">
        <v>752</v>
      </c>
      <c r="E60" s="21" t="s">
        <v>747</v>
      </c>
      <c r="F60" s="21" t="s">
        <v>727</v>
      </c>
      <c r="G60" s="21" t="s">
        <v>747</v>
      </c>
      <c r="H60" s="21" t="s">
        <v>17</v>
      </c>
      <c r="I60" s="21" t="s">
        <v>17</v>
      </c>
      <c r="J60" s="21" t="s">
        <v>17</v>
      </c>
      <c r="K60" s="21">
        <v>10</v>
      </c>
      <c r="L60" s="21" t="s">
        <v>753</v>
      </c>
      <c r="M60" s="21" t="s">
        <v>730</v>
      </c>
      <c r="N60" s="21" t="s">
        <v>748</v>
      </c>
      <c r="O60" s="21" t="s">
        <v>754</v>
      </c>
      <c r="P60" s="21" t="s">
        <v>17</v>
      </c>
      <c r="Q60" s="21" t="s">
        <v>17</v>
      </c>
      <c r="R60" s="21" t="s">
        <v>17</v>
      </c>
      <c r="S60" s="21" t="s">
        <v>17</v>
      </c>
      <c r="T60" s="21" t="s">
        <v>17</v>
      </c>
      <c r="U60" s="21" t="s">
        <v>17</v>
      </c>
      <c r="V60" s="21" t="s">
        <v>17</v>
      </c>
      <c r="W60" s="21" t="s">
        <v>17</v>
      </c>
      <c r="X60" s="21" t="s">
        <v>17</v>
      </c>
      <c r="Y60" s="21" t="s">
        <v>17</v>
      </c>
      <c r="Z60" s="21" t="s">
        <v>934</v>
      </c>
      <c r="AA60" s="21" t="s">
        <v>138</v>
      </c>
      <c r="AB60" s="21" t="s">
        <v>796</v>
      </c>
      <c r="AC60" s="21" t="s">
        <v>935</v>
      </c>
      <c r="AD60" s="21" t="s">
        <v>936</v>
      </c>
    </row>
    <row r="61" spans="1:30">
      <c r="A61" s="21">
        <v>211292</v>
      </c>
      <c r="B61" s="21" t="s">
        <v>726</v>
      </c>
      <c r="C61" s="21" t="s">
        <v>27</v>
      </c>
      <c r="D61" s="21" t="s">
        <v>727</v>
      </c>
      <c r="E61" s="21" t="s">
        <v>727</v>
      </c>
      <c r="F61" s="21" t="s">
        <v>727</v>
      </c>
      <c r="G61" s="21" t="s">
        <v>747</v>
      </c>
      <c r="H61" s="21" t="s">
        <v>17</v>
      </c>
      <c r="I61" s="21" t="s">
        <v>17</v>
      </c>
      <c r="J61" s="21" t="s">
        <v>17</v>
      </c>
      <c r="K61" s="21">
        <v>35</v>
      </c>
      <c r="L61" s="21" t="s">
        <v>730</v>
      </c>
      <c r="M61" s="21" t="s">
        <v>758</v>
      </c>
      <c r="N61" s="21" t="s">
        <v>748</v>
      </c>
      <c r="O61" s="21" t="s">
        <v>754</v>
      </c>
      <c r="P61" s="21" t="s">
        <v>17</v>
      </c>
      <c r="Q61" s="21" t="s">
        <v>17</v>
      </c>
      <c r="R61" s="21" t="s">
        <v>17</v>
      </c>
      <c r="S61" s="21" t="s">
        <v>17</v>
      </c>
      <c r="T61" s="21" t="s">
        <v>17</v>
      </c>
      <c r="U61" s="21" t="s">
        <v>17</v>
      </c>
      <c r="V61" s="21" t="s">
        <v>17</v>
      </c>
      <c r="W61" s="21" t="s">
        <v>17</v>
      </c>
      <c r="X61" s="21" t="s">
        <v>17</v>
      </c>
      <c r="Y61" s="21" t="s">
        <v>17</v>
      </c>
      <c r="Z61" s="21" t="s">
        <v>937</v>
      </c>
      <c r="AA61" s="21" t="s">
        <v>140</v>
      </c>
      <c r="AB61" s="21" t="s">
        <v>908</v>
      </c>
      <c r="AC61" s="21" t="s">
        <v>938</v>
      </c>
      <c r="AD61" s="21" t="s">
        <v>939</v>
      </c>
    </row>
    <row r="62" spans="1:30">
      <c r="A62" s="21">
        <v>211290</v>
      </c>
      <c r="B62" s="21" t="s">
        <v>726</v>
      </c>
      <c r="C62" s="21" t="s">
        <v>27</v>
      </c>
      <c r="D62" s="21" t="s">
        <v>727</v>
      </c>
      <c r="E62" s="21" t="s">
        <v>727</v>
      </c>
      <c r="F62" s="21" t="s">
        <v>727</v>
      </c>
      <c r="G62" s="21" t="s">
        <v>747</v>
      </c>
      <c r="H62" s="21" t="s">
        <v>17</v>
      </c>
      <c r="I62" s="21" t="s">
        <v>17</v>
      </c>
      <c r="J62" s="21" t="s">
        <v>17</v>
      </c>
      <c r="K62" s="21">
        <v>35</v>
      </c>
      <c r="L62" s="21" t="s">
        <v>730</v>
      </c>
      <c r="M62" s="21" t="s">
        <v>758</v>
      </c>
      <c r="N62" s="21" t="s">
        <v>748</v>
      </c>
      <c r="O62" s="21" t="s">
        <v>754</v>
      </c>
      <c r="P62" s="21" t="s">
        <v>17</v>
      </c>
      <c r="Q62" s="21" t="s">
        <v>17</v>
      </c>
      <c r="R62" s="21" t="s">
        <v>17</v>
      </c>
      <c r="S62" s="21" t="s">
        <v>17</v>
      </c>
      <c r="T62" s="21" t="s">
        <v>17</v>
      </c>
      <c r="U62" s="21" t="s">
        <v>17</v>
      </c>
      <c r="V62" s="21" t="s">
        <v>17</v>
      </c>
      <c r="W62" s="21" t="s">
        <v>17</v>
      </c>
      <c r="X62" s="21" t="s">
        <v>17</v>
      </c>
      <c r="Y62" s="21" t="s">
        <v>17</v>
      </c>
      <c r="Z62" s="21" t="s">
        <v>940</v>
      </c>
      <c r="AA62" s="21" t="s">
        <v>142</v>
      </c>
      <c r="AB62" s="21" t="s">
        <v>740</v>
      </c>
      <c r="AC62" s="21" t="s">
        <v>941</v>
      </c>
      <c r="AD62" s="21" t="s">
        <v>942</v>
      </c>
    </row>
    <row r="63" spans="1:30">
      <c r="A63" s="21">
        <v>211289</v>
      </c>
      <c r="B63" s="21" t="s">
        <v>726</v>
      </c>
      <c r="C63" s="21" t="s">
        <v>27</v>
      </c>
      <c r="D63" s="21" t="s">
        <v>727</v>
      </c>
      <c r="E63" s="21" t="s">
        <v>727</v>
      </c>
      <c r="F63" s="21" t="s">
        <v>727</v>
      </c>
      <c r="G63" s="21" t="s">
        <v>747</v>
      </c>
      <c r="H63" s="21" t="s">
        <v>17</v>
      </c>
      <c r="I63" s="21" t="s">
        <v>17</v>
      </c>
      <c r="J63" s="21" t="s">
        <v>17</v>
      </c>
      <c r="K63" s="21">
        <v>35</v>
      </c>
      <c r="L63" s="21" t="s">
        <v>730</v>
      </c>
      <c r="M63" s="21" t="s">
        <v>758</v>
      </c>
      <c r="N63" s="21" t="s">
        <v>748</v>
      </c>
      <c r="O63" s="21" t="s">
        <v>754</v>
      </c>
      <c r="P63" s="21" t="s">
        <v>17</v>
      </c>
      <c r="Q63" s="21" t="s">
        <v>17</v>
      </c>
      <c r="R63" s="21" t="s">
        <v>17</v>
      </c>
      <c r="S63" s="21" t="s">
        <v>17</v>
      </c>
      <c r="T63" s="21" t="s">
        <v>17</v>
      </c>
      <c r="U63" s="21" t="s">
        <v>17</v>
      </c>
      <c r="V63" s="21" t="s">
        <v>17</v>
      </c>
      <c r="W63" s="21" t="s">
        <v>17</v>
      </c>
      <c r="X63" s="21" t="s">
        <v>17</v>
      </c>
      <c r="Y63" s="21" t="s">
        <v>17</v>
      </c>
      <c r="Z63" s="21" t="s">
        <v>943</v>
      </c>
      <c r="AA63" s="21" t="s">
        <v>144</v>
      </c>
      <c r="AB63" s="21" t="s">
        <v>774</v>
      </c>
      <c r="AC63" s="21" t="s">
        <v>944</v>
      </c>
      <c r="AD63" s="21" t="s">
        <v>945</v>
      </c>
    </row>
    <row r="64" spans="1:30">
      <c r="A64" s="21">
        <v>211284</v>
      </c>
      <c r="B64" s="21" t="s">
        <v>726</v>
      </c>
      <c r="C64" s="21" t="s">
        <v>27</v>
      </c>
      <c r="D64" s="21" t="s">
        <v>727</v>
      </c>
      <c r="E64" s="21" t="s">
        <v>727</v>
      </c>
      <c r="F64" s="21" t="s">
        <v>727</v>
      </c>
      <c r="G64" s="21" t="s">
        <v>747</v>
      </c>
      <c r="H64" s="21" t="s">
        <v>17</v>
      </c>
      <c r="I64" s="21" t="s">
        <v>17</v>
      </c>
      <c r="J64" s="21" t="s">
        <v>17</v>
      </c>
      <c r="K64" s="21">
        <v>35</v>
      </c>
      <c r="L64" s="21" t="s">
        <v>730</v>
      </c>
      <c r="M64" s="21" t="s">
        <v>758</v>
      </c>
      <c r="N64" s="21" t="s">
        <v>748</v>
      </c>
      <c r="O64" s="21" t="s">
        <v>754</v>
      </c>
      <c r="P64" s="21" t="s">
        <v>17</v>
      </c>
      <c r="Q64" s="21" t="s">
        <v>17</v>
      </c>
      <c r="R64" s="21" t="s">
        <v>17</v>
      </c>
      <c r="S64" s="21" t="s">
        <v>17</v>
      </c>
      <c r="T64" s="21" t="s">
        <v>17</v>
      </c>
      <c r="U64" s="21" t="s">
        <v>17</v>
      </c>
      <c r="V64" s="21" t="s">
        <v>17</v>
      </c>
      <c r="W64" s="21" t="s">
        <v>17</v>
      </c>
      <c r="X64" s="21" t="s">
        <v>17</v>
      </c>
      <c r="Y64" s="21" t="s">
        <v>17</v>
      </c>
      <c r="Z64" s="21" t="s">
        <v>946</v>
      </c>
      <c r="AA64" s="21" t="s">
        <v>146</v>
      </c>
      <c r="AB64" s="21" t="s">
        <v>774</v>
      </c>
      <c r="AC64" s="21" t="s">
        <v>947</v>
      </c>
      <c r="AD64" s="21" t="s">
        <v>948</v>
      </c>
    </row>
    <row r="65" spans="1:30">
      <c r="A65" s="21">
        <v>211283</v>
      </c>
      <c r="B65" s="21" t="s">
        <v>726</v>
      </c>
      <c r="C65" s="21" t="s">
        <v>27</v>
      </c>
      <c r="D65" s="21" t="s">
        <v>727</v>
      </c>
      <c r="E65" s="21" t="s">
        <v>727</v>
      </c>
      <c r="F65" s="21" t="s">
        <v>727</v>
      </c>
      <c r="G65" s="21" t="s">
        <v>747</v>
      </c>
      <c r="H65" s="21" t="s">
        <v>17</v>
      </c>
      <c r="I65" s="21" t="s">
        <v>17</v>
      </c>
      <c r="J65" s="21" t="s">
        <v>17</v>
      </c>
      <c r="K65" s="21">
        <v>35</v>
      </c>
      <c r="L65" s="21" t="s">
        <v>730</v>
      </c>
      <c r="M65" s="21" t="s">
        <v>758</v>
      </c>
      <c r="N65" s="21" t="s">
        <v>748</v>
      </c>
      <c r="O65" s="21" t="s">
        <v>754</v>
      </c>
      <c r="P65" s="21" t="s">
        <v>17</v>
      </c>
      <c r="Q65" s="21" t="s">
        <v>17</v>
      </c>
      <c r="R65" s="21" t="s">
        <v>17</v>
      </c>
      <c r="S65" s="21" t="s">
        <v>17</v>
      </c>
      <c r="T65" s="21" t="s">
        <v>17</v>
      </c>
      <c r="U65" s="21" t="s">
        <v>17</v>
      </c>
      <c r="V65" s="21" t="s">
        <v>17</v>
      </c>
      <c r="W65" s="21" t="s">
        <v>17</v>
      </c>
      <c r="X65" s="21" t="s">
        <v>17</v>
      </c>
      <c r="Y65" s="21" t="s">
        <v>17</v>
      </c>
      <c r="Z65" s="21" t="s">
        <v>949</v>
      </c>
      <c r="AA65" s="21" t="s">
        <v>148</v>
      </c>
      <c r="AB65" s="21" t="s">
        <v>796</v>
      </c>
      <c r="AC65" s="21" t="s">
        <v>950</v>
      </c>
      <c r="AD65" s="21" t="s">
        <v>951</v>
      </c>
    </row>
    <row r="66" spans="1:30">
      <c r="A66" s="21">
        <v>211282</v>
      </c>
      <c r="B66" s="21" t="s">
        <v>726</v>
      </c>
      <c r="C66" s="21" t="s">
        <v>27</v>
      </c>
      <c r="D66" s="21" t="s">
        <v>752</v>
      </c>
      <c r="E66" s="21" t="s">
        <v>747</v>
      </c>
      <c r="F66" s="21" t="s">
        <v>727</v>
      </c>
      <c r="G66" s="21" t="s">
        <v>780</v>
      </c>
      <c r="H66" s="21" t="s">
        <v>17</v>
      </c>
      <c r="I66" s="21" t="s">
        <v>17</v>
      </c>
      <c r="J66" s="21" t="s">
        <v>17</v>
      </c>
      <c r="K66" s="21">
        <v>0</v>
      </c>
      <c r="L66" s="21" t="s">
        <v>753</v>
      </c>
      <c r="M66" s="21" t="s">
        <v>730</v>
      </c>
      <c r="N66" s="21" t="s">
        <v>748</v>
      </c>
      <c r="O66" s="21" t="s">
        <v>781</v>
      </c>
      <c r="P66" s="21" t="s">
        <v>17</v>
      </c>
      <c r="Q66" s="21" t="s">
        <v>17</v>
      </c>
      <c r="R66" s="21" t="s">
        <v>17</v>
      </c>
      <c r="S66" s="21" t="s">
        <v>17</v>
      </c>
      <c r="T66" s="21" t="s">
        <v>17</v>
      </c>
      <c r="U66" s="21" t="s">
        <v>17</v>
      </c>
      <c r="V66" s="21" t="s">
        <v>17</v>
      </c>
      <c r="W66" s="21" t="s">
        <v>17</v>
      </c>
      <c r="X66" s="21" t="s">
        <v>17</v>
      </c>
      <c r="Y66" s="21" t="s">
        <v>17</v>
      </c>
      <c r="Z66" s="21" t="s">
        <v>952</v>
      </c>
      <c r="AA66" s="21" t="s">
        <v>150</v>
      </c>
      <c r="AB66" s="21" t="s">
        <v>740</v>
      </c>
      <c r="AC66" s="21" t="s">
        <v>953</v>
      </c>
      <c r="AD66" s="21" t="s">
        <v>954</v>
      </c>
    </row>
    <row r="67" spans="1:30">
      <c r="A67" s="21">
        <v>211281</v>
      </c>
      <c r="B67" s="21" t="s">
        <v>726</v>
      </c>
      <c r="C67" s="21" t="s">
        <v>27</v>
      </c>
      <c r="D67" s="21" t="s">
        <v>752</v>
      </c>
      <c r="E67" s="21" t="s">
        <v>747</v>
      </c>
      <c r="F67" s="21" t="s">
        <v>752</v>
      </c>
      <c r="G67" s="21" t="s">
        <v>955</v>
      </c>
      <c r="H67" s="21" t="s">
        <v>17</v>
      </c>
      <c r="I67" s="21" t="s">
        <v>17</v>
      </c>
      <c r="J67" s="21" t="s">
        <v>17</v>
      </c>
      <c r="K67" s="21">
        <v>-12</v>
      </c>
      <c r="L67" s="21" t="s">
        <v>956</v>
      </c>
      <c r="M67" s="21" t="s">
        <v>730</v>
      </c>
      <c r="N67" s="21" t="s">
        <v>843</v>
      </c>
      <c r="O67" s="21" t="s">
        <v>957</v>
      </c>
      <c r="P67" s="21" t="s">
        <v>17</v>
      </c>
      <c r="Q67" s="21" t="s">
        <v>17</v>
      </c>
      <c r="R67" s="21" t="s">
        <v>17</v>
      </c>
      <c r="S67" s="21" t="s">
        <v>153</v>
      </c>
      <c r="T67" s="21" t="s">
        <v>17</v>
      </c>
      <c r="U67" s="21" t="s">
        <v>17</v>
      </c>
      <c r="V67" s="21" t="s">
        <v>17</v>
      </c>
      <c r="W67" s="21" t="s">
        <v>17</v>
      </c>
      <c r="X67" s="21" t="s">
        <v>17</v>
      </c>
      <c r="Y67" s="21" t="s">
        <v>17</v>
      </c>
      <c r="Z67" s="21" t="s">
        <v>958</v>
      </c>
      <c r="AA67" s="21" t="s">
        <v>152</v>
      </c>
      <c r="AB67" s="21" t="s">
        <v>959</v>
      </c>
      <c r="AC67" s="21" t="s">
        <v>960</v>
      </c>
      <c r="AD67" s="21" t="s">
        <v>961</v>
      </c>
    </row>
    <row r="68" spans="1:30">
      <c r="A68" s="21">
        <v>211280</v>
      </c>
      <c r="B68" s="21" t="s">
        <v>726</v>
      </c>
      <c r="C68" s="21" t="s">
        <v>27</v>
      </c>
      <c r="D68" s="21" t="s">
        <v>727</v>
      </c>
      <c r="E68" s="21" t="s">
        <v>727</v>
      </c>
      <c r="F68" s="21" t="s">
        <v>727</v>
      </c>
      <c r="G68" s="21" t="s">
        <v>747</v>
      </c>
      <c r="H68" s="21" t="s">
        <v>17</v>
      </c>
      <c r="I68" s="21" t="s">
        <v>17</v>
      </c>
      <c r="J68" s="21" t="s">
        <v>17</v>
      </c>
      <c r="K68" s="21">
        <v>35</v>
      </c>
      <c r="L68" s="21" t="s">
        <v>730</v>
      </c>
      <c r="M68" s="21" t="s">
        <v>758</v>
      </c>
      <c r="N68" s="21" t="s">
        <v>748</v>
      </c>
      <c r="O68" s="21" t="s">
        <v>754</v>
      </c>
      <c r="P68" s="21" t="s">
        <v>17</v>
      </c>
      <c r="Q68" s="21" t="s">
        <v>17</v>
      </c>
      <c r="R68" s="21" t="s">
        <v>17</v>
      </c>
      <c r="S68" s="21" t="s">
        <v>17</v>
      </c>
      <c r="T68" s="21" t="s">
        <v>17</v>
      </c>
      <c r="U68" s="21" t="s">
        <v>17</v>
      </c>
      <c r="V68" s="21" t="s">
        <v>17</v>
      </c>
      <c r="W68" s="21" t="s">
        <v>17</v>
      </c>
      <c r="X68" s="21" t="s">
        <v>17</v>
      </c>
      <c r="Y68" s="21" t="s">
        <v>17</v>
      </c>
      <c r="Z68" s="21" t="s">
        <v>962</v>
      </c>
      <c r="AA68" s="21" t="s">
        <v>156</v>
      </c>
      <c r="AB68" s="21" t="s">
        <v>796</v>
      </c>
      <c r="AC68" s="21" t="s">
        <v>963</v>
      </c>
      <c r="AD68" s="21" t="s">
        <v>964</v>
      </c>
    </row>
    <row r="69" spans="1:30">
      <c r="A69" s="21">
        <v>211279</v>
      </c>
      <c r="B69" s="21" t="s">
        <v>726</v>
      </c>
      <c r="C69" s="21" t="s">
        <v>27</v>
      </c>
      <c r="D69" s="21" t="s">
        <v>727</v>
      </c>
      <c r="E69" s="21" t="s">
        <v>727</v>
      </c>
      <c r="F69" s="21" t="s">
        <v>727</v>
      </c>
      <c r="G69" s="21" t="s">
        <v>747</v>
      </c>
      <c r="H69" s="21" t="s">
        <v>17</v>
      </c>
      <c r="I69" s="21" t="s">
        <v>17</v>
      </c>
      <c r="J69" s="21" t="s">
        <v>17</v>
      </c>
      <c r="K69" s="21">
        <v>35</v>
      </c>
      <c r="L69" s="21" t="s">
        <v>730</v>
      </c>
      <c r="M69" s="21" t="s">
        <v>758</v>
      </c>
      <c r="N69" s="21" t="s">
        <v>965</v>
      </c>
      <c r="O69" s="21" t="s">
        <v>754</v>
      </c>
      <c r="P69" s="21" t="s">
        <v>17</v>
      </c>
      <c r="Q69" s="21" t="s">
        <v>17</v>
      </c>
      <c r="R69" s="21" t="s">
        <v>17</v>
      </c>
      <c r="S69" s="21" t="s">
        <v>17</v>
      </c>
      <c r="T69" s="21" t="s">
        <v>17</v>
      </c>
      <c r="U69" s="21" t="s">
        <v>17</v>
      </c>
      <c r="V69" s="21" t="s">
        <v>17</v>
      </c>
      <c r="W69" s="21" t="s">
        <v>17</v>
      </c>
      <c r="X69" s="21" t="s">
        <v>17</v>
      </c>
      <c r="Y69" s="21" t="s">
        <v>17</v>
      </c>
      <c r="Z69" s="21" t="s">
        <v>966</v>
      </c>
      <c r="AA69" s="21" t="s">
        <v>158</v>
      </c>
      <c r="AB69" s="21" t="s">
        <v>740</v>
      </c>
      <c r="AC69" s="21" t="s">
        <v>967</v>
      </c>
      <c r="AD69" s="21" t="s">
        <v>968</v>
      </c>
    </row>
    <row r="70" spans="1:30">
      <c r="A70" s="21">
        <v>211278</v>
      </c>
      <c r="B70" s="21" t="s">
        <v>726</v>
      </c>
      <c r="C70" s="21" t="s">
        <v>27</v>
      </c>
      <c r="D70" s="21" t="s">
        <v>727</v>
      </c>
      <c r="E70" s="21" t="s">
        <v>727</v>
      </c>
      <c r="F70" s="21" t="s">
        <v>727</v>
      </c>
      <c r="G70" s="21" t="s">
        <v>747</v>
      </c>
      <c r="H70" s="21" t="s">
        <v>17</v>
      </c>
      <c r="I70" s="21" t="s">
        <v>17</v>
      </c>
      <c r="J70" s="21" t="s">
        <v>17</v>
      </c>
      <c r="K70" s="21">
        <v>35</v>
      </c>
      <c r="L70" s="21" t="s">
        <v>730</v>
      </c>
      <c r="M70" s="21" t="s">
        <v>758</v>
      </c>
      <c r="N70" s="21" t="s">
        <v>748</v>
      </c>
      <c r="O70" s="21" t="s">
        <v>754</v>
      </c>
      <c r="P70" s="21" t="s">
        <v>17</v>
      </c>
      <c r="Q70" s="21" t="s">
        <v>17</v>
      </c>
      <c r="R70" s="21" t="s">
        <v>17</v>
      </c>
      <c r="S70" s="21" t="s">
        <v>17</v>
      </c>
      <c r="T70" s="21" t="s">
        <v>17</v>
      </c>
      <c r="U70" s="21" t="s">
        <v>17</v>
      </c>
      <c r="V70" s="21" t="s">
        <v>17</v>
      </c>
      <c r="W70" s="21" t="s">
        <v>17</v>
      </c>
      <c r="X70" s="21" t="s">
        <v>17</v>
      </c>
      <c r="Y70" s="21" t="s">
        <v>17</v>
      </c>
      <c r="Z70" s="21" t="s">
        <v>969</v>
      </c>
      <c r="AA70" s="21" t="s">
        <v>160</v>
      </c>
      <c r="AB70" s="21" t="s">
        <v>970</v>
      </c>
      <c r="AC70" s="21" t="s">
        <v>971</v>
      </c>
      <c r="AD70" s="21" t="s">
        <v>972</v>
      </c>
    </row>
    <row r="71" spans="1:30">
      <c r="A71" s="21">
        <v>211277</v>
      </c>
      <c r="B71" s="21" t="s">
        <v>726</v>
      </c>
      <c r="C71" s="21" t="s">
        <v>27</v>
      </c>
      <c r="D71" s="21" t="s">
        <v>727</v>
      </c>
      <c r="E71" s="21" t="s">
        <v>747</v>
      </c>
      <c r="F71" s="21" t="s">
        <v>727</v>
      </c>
      <c r="G71" s="21" t="s">
        <v>780</v>
      </c>
      <c r="H71" s="21" t="s">
        <v>17</v>
      </c>
      <c r="I71" s="21" t="s">
        <v>17</v>
      </c>
      <c r="J71" s="21" t="s">
        <v>17</v>
      </c>
      <c r="K71" s="21">
        <v>20</v>
      </c>
      <c r="L71" s="21" t="s">
        <v>730</v>
      </c>
      <c r="M71" s="21" t="s">
        <v>730</v>
      </c>
      <c r="N71" s="21" t="s">
        <v>748</v>
      </c>
      <c r="O71" s="21" t="s">
        <v>781</v>
      </c>
      <c r="P71" s="21" t="s">
        <v>17</v>
      </c>
      <c r="Q71" s="21" t="s">
        <v>17</v>
      </c>
      <c r="R71" s="21" t="s">
        <v>17</v>
      </c>
      <c r="S71" s="21" t="s">
        <v>17</v>
      </c>
      <c r="T71" s="21" t="s">
        <v>17</v>
      </c>
      <c r="U71" s="21" t="s">
        <v>17</v>
      </c>
      <c r="V71" s="21" t="s">
        <v>17</v>
      </c>
      <c r="W71" s="21" t="s">
        <v>17</v>
      </c>
      <c r="X71" s="21" t="s">
        <v>17</v>
      </c>
      <c r="Y71" s="21" t="s">
        <v>17</v>
      </c>
      <c r="Z71" s="21" t="s">
        <v>973</v>
      </c>
      <c r="AA71" s="21" t="s">
        <v>162</v>
      </c>
      <c r="AB71" s="21" t="s">
        <v>974</v>
      </c>
      <c r="AC71" s="21" t="s">
        <v>975</v>
      </c>
      <c r="AD71" s="21" t="s">
        <v>976</v>
      </c>
    </row>
    <row r="72" spans="1:30">
      <c r="A72" s="21">
        <v>211275</v>
      </c>
      <c r="B72" s="21" t="s">
        <v>726</v>
      </c>
      <c r="C72" s="21" t="s">
        <v>27</v>
      </c>
      <c r="D72" s="21" t="s">
        <v>727</v>
      </c>
      <c r="E72" s="21" t="s">
        <v>727</v>
      </c>
      <c r="F72" s="21" t="s">
        <v>727</v>
      </c>
      <c r="G72" s="21" t="s">
        <v>747</v>
      </c>
      <c r="H72" s="21" t="s">
        <v>17</v>
      </c>
      <c r="I72" s="21" t="s">
        <v>17</v>
      </c>
      <c r="J72" s="21" t="s">
        <v>17</v>
      </c>
      <c r="K72" s="21">
        <v>35</v>
      </c>
      <c r="L72" s="21" t="s">
        <v>730</v>
      </c>
      <c r="M72" s="21" t="s">
        <v>758</v>
      </c>
      <c r="N72" s="21" t="s">
        <v>748</v>
      </c>
      <c r="O72" s="21" t="s">
        <v>754</v>
      </c>
      <c r="P72" s="21" t="s">
        <v>17</v>
      </c>
      <c r="Q72" s="21" t="s">
        <v>17</v>
      </c>
      <c r="R72" s="21" t="s">
        <v>17</v>
      </c>
      <c r="S72" s="21" t="s">
        <v>17</v>
      </c>
      <c r="T72" s="21" t="s">
        <v>17</v>
      </c>
      <c r="U72" s="21" t="s">
        <v>17</v>
      </c>
      <c r="V72" s="21" t="s">
        <v>17</v>
      </c>
      <c r="W72" s="21" t="s">
        <v>17</v>
      </c>
      <c r="X72" s="21" t="s">
        <v>17</v>
      </c>
      <c r="Y72" s="21" t="s">
        <v>17</v>
      </c>
      <c r="Z72" s="21" t="s">
        <v>977</v>
      </c>
      <c r="AA72" s="21" t="s">
        <v>164</v>
      </c>
      <c r="AB72" s="21" t="s">
        <v>978</v>
      </c>
      <c r="AC72" s="21" t="s">
        <v>979</v>
      </c>
      <c r="AD72" s="21" t="s">
        <v>980</v>
      </c>
    </row>
    <row r="73" spans="1:30">
      <c r="A73" s="21">
        <v>211274</v>
      </c>
      <c r="B73" s="21" t="s">
        <v>726</v>
      </c>
      <c r="C73" s="21" t="s">
        <v>27</v>
      </c>
      <c r="D73" s="21" t="s">
        <v>727</v>
      </c>
      <c r="E73" s="21" t="s">
        <v>727</v>
      </c>
      <c r="F73" s="21" t="s">
        <v>727</v>
      </c>
      <c r="G73" s="21" t="s">
        <v>747</v>
      </c>
      <c r="H73" s="21" t="s">
        <v>17</v>
      </c>
      <c r="I73" s="21" t="s">
        <v>17</v>
      </c>
      <c r="J73" s="21" t="s">
        <v>17</v>
      </c>
      <c r="K73" s="21">
        <v>35</v>
      </c>
      <c r="L73" s="21" t="s">
        <v>730</v>
      </c>
      <c r="M73" s="21" t="s">
        <v>758</v>
      </c>
      <c r="N73" s="21" t="s">
        <v>748</v>
      </c>
      <c r="O73" s="21" t="s">
        <v>754</v>
      </c>
      <c r="P73" s="21" t="s">
        <v>17</v>
      </c>
      <c r="Q73" s="21" t="s">
        <v>17</v>
      </c>
      <c r="R73" s="21" t="s">
        <v>17</v>
      </c>
      <c r="S73" s="21" t="s">
        <v>17</v>
      </c>
      <c r="T73" s="21" t="s">
        <v>17</v>
      </c>
      <c r="U73" s="21" t="s">
        <v>17</v>
      </c>
      <c r="V73" s="21" t="s">
        <v>17</v>
      </c>
      <c r="W73" s="21" t="s">
        <v>17</v>
      </c>
      <c r="X73" s="21" t="s">
        <v>17</v>
      </c>
      <c r="Y73" s="21" t="s">
        <v>17</v>
      </c>
      <c r="Z73" s="21" t="s">
        <v>981</v>
      </c>
      <c r="AA73" s="21" t="s">
        <v>166</v>
      </c>
      <c r="AB73" s="21" t="s">
        <v>982</v>
      </c>
      <c r="AC73" s="21" t="s">
        <v>983</v>
      </c>
      <c r="AD73" s="21" t="s">
        <v>984</v>
      </c>
    </row>
    <row r="74" spans="1:30">
      <c r="A74" s="21">
        <v>211273</v>
      </c>
      <c r="B74" s="21" t="s">
        <v>726</v>
      </c>
      <c r="C74" s="21" t="s">
        <v>27</v>
      </c>
      <c r="D74" s="21" t="s">
        <v>727</v>
      </c>
      <c r="E74" s="21" t="s">
        <v>727</v>
      </c>
      <c r="F74" s="21" t="s">
        <v>727</v>
      </c>
      <c r="G74" s="21" t="s">
        <v>747</v>
      </c>
      <c r="H74" s="21" t="s">
        <v>17</v>
      </c>
      <c r="I74" s="21" t="s">
        <v>17</v>
      </c>
      <c r="J74" s="21" t="s">
        <v>17</v>
      </c>
      <c r="K74" s="21">
        <v>35</v>
      </c>
      <c r="L74" s="21" t="s">
        <v>730</v>
      </c>
      <c r="M74" s="21" t="s">
        <v>758</v>
      </c>
      <c r="N74" s="21" t="s">
        <v>748</v>
      </c>
      <c r="O74" s="21" t="s">
        <v>754</v>
      </c>
      <c r="P74" s="21" t="s">
        <v>17</v>
      </c>
      <c r="Q74" s="21" t="s">
        <v>17</v>
      </c>
      <c r="R74" s="21" t="s">
        <v>17</v>
      </c>
      <c r="S74" s="21" t="s">
        <v>17</v>
      </c>
      <c r="T74" s="21" t="s">
        <v>17</v>
      </c>
      <c r="U74" s="21" t="s">
        <v>17</v>
      </c>
      <c r="V74" s="21" t="s">
        <v>17</v>
      </c>
      <c r="W74" s="21" t="s">
        <v>17</v>
      </c>
      <c r="X74" s="21" t="s">
        <v>17</v>
      </c>
      <c r="Y74" s="21" t="s">
        <v>17</v>
      </c>
      <c r="Z74" s="21" t="s">
        <v>985</v>
      </c>
      <c r="AA74" s="21" t="s">
        <v>168</v>
      </c>
      <c r="AB74" s="21" t="s">
        <v>982</v>
      </c>
      <c r="AC74" s="21" t="s">
        <v>983</v>
      </c>
      <c r="AD74" s="21" t="s">
        <v>984</v>
      </c>
    </row>
    <row r="75" spans="1:30">
      <c r="A75" s="21">
        <v>211272</v>
      </c>
      <c r="B75" s="21" t="s">
        <v>726</v>
      </c>
      <c r="C75" s="21" t="s">
        <v>27</v>
      </c>
      <c r="D75" s="21" t="s">
        <v>727</v>
      </c>
      <c r="E75" s="21" t="s">
        <v>727</v>
      </c>
      <c r="F75" s="21" t="s">
        <v>727</v>
      </c>
      <c r="G75" s="21" t="s">
        <v>747</v>
      </c>
      <c r="H75" s="21" t="s">
        <v>17</v>
      </c>
      <c r="I75" s="21" t="s">
        <v>17</v>
      </c>
      <c r="J75" s="21" t="s">
        <v>17</v>
      </c>
      <c r="K75" s="21">
        <v>35</v>
      </c>
      <c r="L75" s="21" t="s">
        <v>730</v>
      </c>
      <c r="M75" s="21" t="s">
        <v>758</v>
      </c>
      <c r="N75" s="21" t="s">
        <v>748</v>
      </c>
      <c r="O75" s="21" t="s">
        <v>754</v>
      </c>
      <c r="P75" s="21" t="s">
        <v>17</v>
      </c>
      <c r="Q75" s="21" t="s">
        <v>17</v>
      </c>
      <c r="R75" s="21" t="s">
        <v>17</v>
      </c>
      <c r="S75" s="21" t="s">
        <v>17</v>
      </c>
      <c r="T75" s="21" t="s">
        <v>17</v>
      </c>
      <c r="U75" s="21" t="s">
        <v>17</v>
      </c>
      <c r="V75" s="21" t="s">
        <v>17</v>
      </c>
      <c r="W75" s="21" t="s">
        <v>17</v>
      </c>
      <c r="X75" s="21" t="s">
        <v>17</v>
      </c>
      <c r="Y75" s="21" t="s">
        <v>17</v>
      </c>
      <c r="Z75" s="21" t="s">
        <v>986</v>
      </c>
      <c r="AA75" s="21" t="s">
        <v>170</v>
      </c>
      <c r="AB75" s="21" t="s">
        <v>740</v>
      </c>
      <c r="AC75" s="21" t="s">
        <v>987</v>
      </c>
      <c r="AD75" s="21" t="s">
        <v>988</v>
      </c>
    </row>
    <row r="76" spans="1:30">
      <c r="A76" s="21">
        <v>211271</v>
      </c>
      <c r="B76" s="21" t="s">
        <v>726</v>
      </c>
      <c r="C76" s="21" t="s">
        <v>27</v>
      </c>
      <c r="D76" s="21" t="s">
        <v>727</v>
      </c>
      <c r="E76" s="21" t="s">
        <v>747</v>
      </c>
      <c r="F76" s="21" t="s">
        <v>727</v>
      </c>
      <c r="G76" s="21" t="s">
        <v>747</v>
      </c>
      <c r="H76" s="21" t="s">
        <v>17</v>
      </c>
      <c r="I76" s="21" t="s">
        <v>17</v>
      </c>
      <c r="J76" s="21" t="s">
        <v>17</v>
      </c>
      <c r="K76" s="21">
        <v>30</v>
      </c>
      <c r="L76" s="21" t="s">
        <v>730</v>
      </c>
      <c r="M76" s="21" t="s">
        <v>730</v>
      </c>
      <c r="N76" s="21" t="s">
        <v>748</v>
      </c>
      <c r="O76" s="21" t="s">
        <v>754</v>
      </c>
      <c r="P76" s="21" t="s">
        <v>17</v>
      </c>
      <c r="Q76" s="21" t="s">
        <v>17</v>
      </c>
      <c r="R76" s="21" t="s">
        <v>17</v>
      </c>
      <c r="S76" s="21" t="s">
        <v>17</v>
      </c>
      <c r="T76" s="21" t="s">
        <v>17</v>
      </c>
      <c r="U76" s="21" t="s">
        <v>17</v>
      </c>
      <c r="V76" s="21" t="s">
        <v>17</v>
      </c>
      <c r="W76" s="21" t="s">
        <v>17</v>
      </c>
      <c r="X76" s="21" t="s">
        <v>17</v>
      </c>
      <c r="Y76" s="21" t="s">
        <v>17</v>
      </c>
      <c r="Z76" s="21" t="s">
        <v>989</v>
      </c>
      <c r="AA76" s="21" t="s">
        <v>172</v>
      </c>
      <c r="AB76" s="21" t="s">
        <v>740</v>
      </c>
      <c r="AC76" s="21" t="s">
        <v>990</v>
      </c>
      <c r="AD76" s="21" t="s">
        <v>991</v>
      </c>
    </row>
    <row r="77" spans="1:30">
      <c r="A77" s="21">
        <v>211269</v>
      </c>
      <c r="B77" s="21" t="s">
        <v>726</v>
      </c>
      <c r="C77" s="21" t="s">
        <v>27</v>
      </c>
      <c r="D77" s="21" t="s">
        <v>727</v>
      </c>
      <c r="E77" s="21" t="s">
        <v>747</v>
      </c>
      <c r="F77" s="21" t="s">
        <v>727</v>
      </c>
      <c r="G77" s="21" t="s">
        <v>747</v>
      </c>
      <c r="H77" s="21" t="s">
        <v>17</v>
      </c>
      <c r="I77" s="21" t="s">
        <v>17</v>
      </c>
      <c r="J77" s="21" t="s">
        <v>17</v>
      </c>
      <c r="K77" s="21">
        <v>30</v>
      </c>
      <c r="L77" s="21" t="s">
        <v>730</v>
      </c>
      <c r="M77" s="21" t="s">
        <v>730</v>
      </c>
      <c r="N77" s="21" t="s">
        <v>748</v>
      </c>
      <c r="O77" s="21" t="s">
        <v>754</v>
      </c>
      <c r="P77" s="21" t="s">
        <v>17</v>
      </c>
      <c r="Q77" s="21" t="s">
        <v>17</v>
      </c>
      <c r="R77" s="21" t="s">
        <v>17</v>
      </c>
      <c r="S77" s="21" t="s">
        <v>17</v>
      </c>
      <c r="T77" s="21" t="s">
        <v>17</v>
      </c>
      <c r="U77" s="21" t="s">
        <v>17</v>
      </c>
      <c r="V77" s="21" t="s">
        <v>17</v>
      </c>
      <c r="W77" s="21" t="s">
        <v>17</v>
      </c>
      <c r="X77" s="21" t="s">
        <v>17</v>
      </c>
      <c r="Y77" s="21" t="s">
        <v>17</v>
      </c>
      <c r="Z77" s="21" t="s">
        <v>992</v>
      </c>
      <c r="AA77" s="21" t="s">
        <v>174</v>
      </c>
      <c r="AB77" s="21" t="s">
        <v>740</v>
      </c>
      <c r="AC77" s="21" t="s">
        <v>993</v>
      </c>
      <c r="AD77" s="21" t="s">
        <v>994</v>
      </c>
    </row>
    <row r="78" spans="1:30">
      <c r="A78" s="21">
        <v>211268</v>
      </c>
      <c r="B78" s="21" t="s">
        <v>726</v>
      </c>
      <c r="C78" s="21" t="s">
        <v>27</v>
      </c>
      <c r="D78" s="21" t="s">
        <v>727</v>
      </c>
      <c r="E78" s="21" t="s">
        <v>747</v>
      </c>
      <c r="F78" s="21" t="s">
        <v>727</v>
      </c>
      <c r="G78" s="21" t="s">
        <v>747</v>
      </c>
      <c r="H78" s="21" t="s">
        <v>17</v>
      </c>
      <c r="I78" s="21" t="s">
        <v>17</v>
      </c>
      <c r="J78" s="21" t="s">
        <v>17</v>
      </c>
      <c r="K78" s="21">
        <v>30</v>
      </c>
      <c r="L78" s="21" t="s">
        <v>730</v>
      </c>
      <c r="M78" s="21" t="s">
        <v>730</v>
      </c>
      <c r="N78" s="21" t="s">
        <v>748</v>
      </c>
      <c r="O78" s="21" t="s">
        <v>754</v>
      </c>
      <c r="P78" s="21" t="s">
        <v>17</v>
      </c>
      <c r="Q78" s="21" t="s">
        <v>17</v>
      </c>
      <c r="R78" s="21" t="s">
        <v>17</v>
      </c>
      <c r="S78" s="21" t="s">
        <v>17</v>
      </c>
      <c r="T78" s="21" t="s">
        <v>17</v>
      </c>
      <c r="U78" s="21" t="s">
        <v>17</v>
      </c>
      <c r="V78" s="21" t="s">
        <v>17</v>
      </c>
      <c r="W78" s="21" t="s">
        <v>17</v>
      </c>
      <c r="X78" s="21" t="s">
        <v>17</v>
      </c>
      <c r="Y78" s="21" t="s">
        <v>17</v>
      </c>
      <c r="Z78" s="21" t="s">
        <v>995</v>
      </c>
      <c r="AA78" s="21" t="s">
        <v>176</v>
      </c>
      <c r="AB78" s="21" t="s">
        <v>774</v>
      </c>
      <c r="AC78" s="21" t="s">
        <v>996</v>
      </c>
      <c r="AD78" s="21" t="s">
        <v>997</v>
      </c>
    </row>
    <row r="79" spans="1:30">
      <c r="A79" s="21">
        <v>211267</v>
      </c>
      <c r="B79" s="21" t="s">
        <v>726</v>
      </c>
      <c r="C79" s="21" t="s">
        <v>27</v>
      </c>
      <c r="D79" s="21" t="s">
        <v>727</v>
      </c>
      <c r="E79" s="21" t="s">
        <v>727</v>
      </c>
      <c r="F79" s="21" t="s">
        <v>727</v>
      </c>
      <c r="G79" s="21" t="s">
        <v>747</v>
      </c>
      <c r="H79" s="21" t="s">
        <v>17</v>
      </c>
      <c r="I79" s="21" t="s">
        <v>17</v>
      </c>
      <c r="J79" s="21" t="s">
        <v>17</v>
      </c>
      <c r="K79" s="21">
        <v>35</v>
      </c>
      <c r="L79" s="21" t="s">
        <v>730</v>
      </c>
      <c r="M79" s="21" t="s">
        <v>758</v>
      </c>
      <c r="N79" s="21" t="s">
        <v>748</v>
      </c>
      <c r="O79" s="21" t="s">
        <v>754</v>
      </c>
      <c r="P79" s="21" t="s">
        <v>17</v>
      </c>
      <c r="Q79" s="21" t="s">
        <v>17</v>
      </c>
      <c r="R79" s="21" t="s">
        <v>17</v>
      </c>
      <c r="S79" s="21" t="s">
        <v>17</v>
      </c>
      <c r="T79" s="21" t="s">
        <v>17</v>
      </c>
      <c r="U79" s="21" t="s">
        <v>17</v>
      </c>
      <c r="V79" s="21" t="s">
        <v>17</v>
      </c>
      <c r="W79" s="21" t="s">
        <v>17</v>
      </c>
      <c r="X79" s="21" t="s">
        <v>17</v>
      </c>
      <c r="Y79" s="21" t="s">
        <v>17</v>
      </c>
      <c r="Z79" s="21" t="s">
        <v>998</v>
      </c>
      <c r="AA79" s="21" t="s">
        <v>178</v>
      </c>
      <c r="AB79" s="21" t="s">
        <v>774</v>
      </c>
      <c r="AC79" s="21" t="s">
        <v>999</v>
      </c>
      <c r="AD79" s="21" t="s">
        <v>1000</v>
      </c>
    </row>
    <row r="80" spans="1:30">
      <c r="A80" s="21">
        <v>211265</v>
      </c>
      <c r="B80" s="21" t="s">
        <v>726</v>
      </c>
      <c r="C80" s="21" t="s">
        <v>27</v>
      </c>
      <c r="D80" s="21" t="s">
        <v>727</v>
      </c>
      <c r="E80" s="21" t="s">
        <v>727</v>
      </c>
      <c r="F80" s="21" t="s">
        <v>727</v>
      </c>
      <c r="G80" s="21" t="s">
        <v>747</v>
      </c>
      <c r="H80" s="21" t="s">
        <v>17</v>
      </c>
      <c r="I80" s="21" t="s">
        <v>17</v>
      </c>
      <c r="J80" s="21" t="s">
        <v>17</v>
      </c>
      <c r="K80" s="21">
        <v>35</v>
      </c>
      <c r="L80" s="21" t="s">
        <v>730</v>
      </c>
      <c r="M80" s="21" t="s">
        <v>758</v>
      </c>
      <c r="N80" s="21" t="s">
        <v>748</v>
      </c>
      <c r="O80" s="21" t="s">
        <v>754</v>
      </c>
      <c r="P80" s="21" t="s">
        <v>17</v>
      </c>
      <c r="Q80" s="21" t="s">
        <v>17</v>
      </c>
      <c r="R80" s="21" t="s">
        <v>17</v>
      </c>
      <c r="S80" s="21" t="s">
        <v>17</v>
      </c>
      <c r="T80" s="21" t="s">
        <v>17</v>
      </c>
      <c r="U80" s="21" t="s">
        <v>17</v>
      </c>
      <c r="V80" s="21" t="s">
        <v>17</v>
      </c>
      <c r="W80" s="21" t="s">
        <v>17</v>
      </c>
      <c r="X80" s="21" t="s">
        <v>17</v>
      </c>
      <c r="Y80" s="21" t="s">
        <v>17</v>
      </c>
      <c r="Z80" s="21" t="s">
        <v>1001</v>
      </c>
      <c r="AA80" s="21" t="s">
        <v>180</v>
      </c>
      <c r="AB80" s="21" t="s">
        <v>740</v>
      </c>
      <c r="AC80" s="21" t="s">
        <v>1002</v>
      </c>
      <c r="AD80" s="21" t="s">
        <v>1003</v>
      </c>
    </row>
    <row r="81" spans="1:30">
      <c r="A81" s="21">
        <v>211264</v>
      </c>
      <c r="B81" s="21" t="s">
        <v>726</v>
      </c>
      <c r="C81" s="21" t="s">
        <v>27</v>
      </c>
      <c r="D81" s="21" t="s">
        <v>727</v>
      </c>
      <c r="E81" s="21" t="s">
        <v>727</v>
      </c>
      <c r="F81" s="21" t="s">
        <v>727</v>
      </c>
      <c r="G81" s="21" t="s">
        <v>747</v>
      </c>
      <c r="H81" s="21" t="s">
        <v>17</v>
      </c>
      <c r="I81" s="21" t="s">
        <v>17</v>
      </c>
      <c r="J81" s="21" t="s">
        <v>17</v>
      </c>
      <c r="K81" s="21">
        <v>35</v>
      </c>
      <c r="L81" s="21" t="s">
        <v>730</v>
      </c>
      <c r="M81" s="21" t="s">
        <v>758</v>
      </c>
      <c r="N81" s="21" t="s">
        <v>748</v>
      </c>
      <c r="O81" s="21" t="s">
        <v>754</v>
      </c>
      <c r="P81" s="21" t="s">
        <v>17</v>
      </c>
      <c r="Q81" s="21" t="s">
        <v>17</v>
      </c>
      <c r="R81" s="21" t="s">
        <v>17</v>
      </c>
      <c r="S81" s="21" t="s">
        <v>17</v>
      </c>
      <c r="T81" s="21" t="s">
        <v>17</v>
      </c>
      <c r="U81" s="21" t="s">
        <v>17</v>
      </c>
      <c r="V81" s="21" t="s">
        <v>17</v>
      </c>
      <c r="W81" s="21" t="s">
        <v>17</v>
      </c>
      <c r="X81" s="21" t="s">
        <v>17</v>
      </c>
      <c r="Y81" s="21" t="s">
        <v>17</v>
      </c>
      <c r="Z81" s="21" t="s">
        <v>1004</v>
      </c>
      <c r="AA81" s="21" t="s">
        <v>182</v>
      </c>
      <c r="AB81" s="21" t="s">
        <v>796</v>
      </c>
      <c r="AC81" s="21" t="s">
        <v>1005</v>
      </c>
      <c r="AD81" s="21" t="s">
        <v>1006</v>
      </c>
    </row>
    <row r="82" spans="1:30">
      <c r="A82" s="21">
        <v>211263</v>
      </c>
      <c r="B82" s="21" t="s">
        <v>726</v>
      </c>
      <c r="C82" s="21" t="s">
        <v>27</v>
      </c>
      <c r="D82" s="21" t="s">
        <v>727</v>
      </c>
      <c r="E82" s="21" t="s">
        <v>727</v>
      </c>
      <c r="F82" s="21" t="s">
        <v>727</v>
      </c>
      <c r="G82" s="21" t="s">
        <v>780</v>
      </c>
      <c r="H82" s="21" t="s">
        <v>17</v>
      </c>
      <c r="I82" s="21" t="s">
        <v>17</v>
      </c>
      <c r="J82" s="21" t="s">
        <v>17</v>
      </c>
      <c r="K82" s="21">
        <v>25</v>
      </c>
      <c r="L82" s="21" t="s">
        <v>730</v>
      </c>
      <c r="M82" s="21" t="s">
        <v>758</v>
      </c>
      <c r="N82" s="21" t="s">
        <v>748</v>
      </c>
      <c r="O82" s="21" t="s">
        <v>781</v>
      </c>
      <c r="P82" s="21" t="s">
        <v>17</v>
      </c>
      <c r="Q82" s="21" t="s">
        <v>17</v>
      </c>
      <c r="R82" s="21" t="s">
        <v>17</v>
      </c>
      <c r="S82" s="21" t="s">
        <v>17</v>
      </c>
      <c r="T82" s="21" t="s">
        <v>17</v>
      </c>
      <c r="U82" s="21" t="s">
        <v>17</v>
      </c>
      <c r="V82" s="21" t="s">
        <v>17</v>
      </c>
      <c r="W82" s="21" t="s">
        <v>17</v>
      </c>
      <c r="X82" s="21" t="s">
        <v>17</v>
      </c>
      <c r="Y82" s="21" t="s">
        <v>17</v>
      </c>
      <c r="Z82" s="21" t="s">
        <v>1007</v>
      </c>
      <c r="AA82" s="21" t="s">
        <v>184</v>
      </c>
      <c r="AB82" s="21" t="s">
        <v>919</v>
      </c>
      <c r="AC82" s="21" t="s">
        <v>1008</v>
      </c>
      <c r="AD82" s="21" t="s">
        <v>1009</v>
      </c>
    </row>
    <row r="83" spans="1:30">
      <c r="A83" s="21">
        <v>211261</v>
      </c>
      <c r="B83" s="21" t="s">
        <v>726</v>
      </c>
      <c r="C83" s="21" t="s">
        <v>27</v>
      </c>
      <c r="D83" s="21" t="s">
        <v>727</v>
      </c>
      <c r="E83" s="21" t="s">
        <v>727</v>
      </c>
      <c r="F83" s="21" t="s">
        <v>727</v>
      </c>
      <c r="G83" s="21" t="s">
        <v>747</v>
      </c>
      <c r="H83" s="21" t="s">
        <v>17</v>
      </c>
      <c r="I83" s="21" t="s">
        <v>17</v>
      </c>
      <c r="J83" s="21" t="s">
        <v>17</v>
      </c>
      <c r="K83" s="21">
        <v>35</v>
      </c>
      <c r="L83" s="21" t="s">
        <v>730</v>
      </c>
      <c r="M83" s="21" t="s">
        <v>758</v>
      </c>
      <c r="N83" s="21" t="s">
        <v>748</v>
      </c>
      <c r="O83" s="21" t="s">
        <v>754</v>
      </c>
      <c r="P83" s="21" t="s">
        <v>17</v>
      </c>
      <c r="Q83" s="21" t="s">
        <v>17</v>
      </c>
      <c r="R83" s="21" t="s">
        <v>17</v>
      </c>
      <c r="S83" s="21" t="s">
        <v>17</v>
      </c>
      <c r="T83" s="21" t="s">
        <v>17</v>
      </c>
      <c r="U83" s="21" t="s">
        <v>17</v>
      </c>
      <c r="V83" s="21" t="s">
        <v>17</v>
      </c>
      <c r="W83" s="21" t="s">
        <v>17</v>
      </c>
      <c r="X83" s="21" t="s">
        <v>17</v>
      </c>
      <c r="Y83" s="21" t="s">
        <v>17</v>
      </c>
      <c r="Z83" s="21" t="s">
        <v>1010</v>
      </c>
      <c r="AA83" s="21" t="s">
        <v>186</v>
      </c>
      <c r="AB83" s="21" t="s">
        <v>796</v>
      </c>
      <c r="AC83" s="21" t="s">
        <v>1011</v>
      </c>
      <c r="AD83" s="21" t="s">
        <v>1012</v>
      </c>
    </row>
    <row r="84" spans="1:30">
      <c r="A84" s="21">
        <v>211260</v>
      </c>
      <c r="B84" s="21" t="s">
        <v>726</v>
      </c>
      <c r="C84" s="21" t="s">
        <v>27</v>
      </c>
      <c r="D84" s="21" t="s">
        <v>727</v>
      </c>
      <c r="E84" s="21" t="s">
        <v>727</v>
      </c>
      <c r="F84" s="21" t="s">
        <v>727</v>
      </c>
      <c r="G84" s="21" t="s">
        <v>747</v>
      </c>
      <c r="H84" s="21" t="s">
        <v>17</v>
      </c>
      <c r="I84" s="21" t="s">
        <v>17</v>
      </c>
      <c r="J84" s="21" t="s">
        <v>17</v>
      </c>
      <c r="K84" s="21">
        <v>35</v>
      </c>
      <c r="L84" s="21" t="s">
        <v>730</v>
      </c>
      <c r="M84" s="21" t="s">
        <v>758</v>
      </c>
      <c r="N84" s="21" t="s">
        <v>748</v>
      </c>
      <c r="O84" s="21" t="s">
        <v>754</v>
      </c>
      <c r="P84" s="21" t="s">
        <v>17</v>
      </c>
      <c r="Q84" s="21" t="s">
        <v>17</v>
      </c>
      <c r="R84" s="21" t="s">
        <v>17</v>
      </c>
      <c r="S84" s="21" t="s">
        <v>17</v>
      </c>
      <c r="T84" s="21" t="s">
        <v>17</v>
      </c>
      <c r="U84" s="21" t="s">
        <v>17</v>
      </c>
      <c r="V84" s="21" t="s">
        <v>17</v>
      </c>
      <c r="W84" s="21" t="s">
        <v>17</v>
      </c>
      <c r="X84" s="21" t="s">
        <v>17</v>
      </c>
      <c r="Y84" s="21" t="s">
        <v>17</v>
      </c>
      <c r="Z84" s="21" t="s">
        <v>1013</v>
      </c>
      <c r="AA84" s="21" t="s">
        <v>188</v>
      </c>
      <c r="AB84" s="21" t="s">
        <v>740</v>
      </c>
      <c r="AC84" s="21" t="s">
        <v>1014</v>
      </c>
      <c r="AD84" s="21" t="s">
        <v>1015</v>
      </c>
    </row>
    <row r="85" spans="1:30">
      <c r="A85" s="21">
        <v>211257</v>
      </c>
      <c r="B85" s="21" t="s">
        <v>726</v>
      </c>
      <c r="C85" s="21" t="s">
        <v>27</v>
      </c>
      <c r="D85" s="21" t="s">
        <v>727</v>
      </c>
      <c r="E85" s="21" t="s">
        <v>727</v>
      </c>
      <c r="F85" s="21" t="s">
        <v>727</v>
      </c>
      <c r="G85" s="21" t="s">
        <v>747</v>
      </c>
      <c r="H85" s="21" t="s">
        <v>17</v>
      </c>
      <c r="I85" s="21" t="s">
        <v>17</v>
      </c>
      <c r="J85" s="21" t="s">
        <v>17</v>
      </c>
      <c r="K85" s="21">
        <v>35</v>
      </c>
      <c r="L85" s="21" t="s">
        <v>730</v>
      </c>
      <c r="M85" s="21" t="s">
        <v>758</v>
      </c>
      <c r="N85" s="21" t="s">
        <v>748</v>
      </c>
      <c r="O85" s="21" t="s">
        <v>754</v>
      </c>
      <c r="P85" s="21" t="s">
        <v>17</v>
      </c>
      <c r="Q85" s="21" t="s">
        <v>17</v>
      </c>
      <c r="R85" s="21" t="s">
        <v>17</v>
      </c>
      <c r="S85" s="21" t="s">
        <v>17</v>
      </c>
      <c r="T85" s="21" t="s">
        <v>17</v>
      </c>
      <c r="U85" s="21" t="s">
        <v>17</v>
      </c>
      <c r="V85" s="21" t="s">
        <v>17</v>
      </c>
      <c r="W85" s="21" t="s">
        <v>17</v>
      </c>
      <c r="X85" s="21" t="s">
        <v>17</v>
      </c>
      <c r="Y85" s="21" t="s">
        <v>17</v>
      </c>
      <c r="Z85" s="21" t="s">
        <v>1016</v>
      </c>
      <c r="AA85" s="21" t="s">
        <v>190</v>
      </c>
      <c r="AB85" s="21" t="s">
        <v>740</v>
      </c>
      <c r="AC85" s="21" t="s">
        <v>1017</v>
      </c>
      <c r="AD85" s="21" t="s">
        <v>1018</v>
      </c>
    </row>
    <row r="86" spans="1:30">
      <c r="A86" s="21">
        <v>211256</v>
      </c>
      <c r="B86" s="21" t="s">
        <v>726</v>
      </c>
      <c r="C86" s="21" t="s">
        <v>27</v>
      </c>
      <c r="D86" s="21" t="s">
        <v>727</v>
      </c>
      <c r="E86" s="21" t="s">
        <v>747</v>
      </c>
      <c r="F86" s="21" t="s">
        <v>727</v>
      </c>
      <c r="G86" s="21" t="s">
        <v>747</v>
      </c>
      <c r="H86" s="21" t="s">
        <v>17</v>
      </c>
      <c r="I86" s="21" t="s">
        <v>17</v>
      </c>
      <c r="J86" s="21" t="s">
        <v>17</v>
      </c>
      <c r="K86" s="21">
        <v>30</v>
      </c>
      <c r="L86" s="21" t="s">
        <v>730</v>
      </c>
      <c r="M86" s="21" t="s">
        <v>730</v>
      </c>
      <c r="N86" s="21" t="s">
        <v>748</v>
      </c>
      <c r="O86" s="21" t="s">
        <v>754</v>
      </c>
      <c r="P86" s="21" t="s">
        <v>17</v>
      </c>
      <c r="Q86" s="21" t="s">
        <v>17</v>
      </c>
      <c r="R86" s="21" t="s">
        <v>17</v>
      </c>
      <c r="S86" s="21" t="s">
        <v>17</v>
      </c>
      <c r="T86" s="21" t="s">
        <v>17</v>
      </c>
      <c r="U86" s="21" t="s">
        <v>17</v>
      </c>
      <c r="V86" s="21" t="s">
        <v>17</v>
      </c>
      <c r="W86" s="21" t="s">
        <v>17</v>
      </c>
      <c r="X86" s="21" t="s">
        <v>17</v>
      </c>
      <c r="Y86" s="21" t="s">
        <v>17</v>
      </c>
      <c r="Z86" s="21" t="s">
        <v>1019</v>
      </c>
      <c r="AA86" s="21" t="s">
        <v>192</v>
      </c>
      <c r="AB86" s="21" t="s">
        <v>1020</v>
      </c>
      <c r="AC86" s="21" t="s">
        <v>1021</v>
      </c>
      <c r="AD86" s="21" t="s">
        <v>1022</v>
      </c>
    </row>
    <row r="87" spans="1:30">
      <c r="A87" s="21">
        <v>211255</v>
      </c>
      <c r="B87" s="21" t="s">
        <v>726</v>
      </c>
      <c r="C87" s="21" t="s">
        <v>27</v>
      </c>
      <c r="D87" s="21" t="s">
        <v>727</v>
      </c>
      <c r="E87" s="21" t="s">
        <v>727</v>
      </c>
      <c r="F87" s="21" t="s">
        <v>727</v>
      </c>
      <c r="G87" s="21" t="s">
        <v>747</v>
      </c>
      <c r="H87" s="21" t="s">
        <v>17</v>
      </c>
      <c r="I87" s="21" t="s">
        <v>17</v>
      </c>
      <c r="J87" s="21" t="s">
        <v>17</v>
      </c>
      <c r="K87" s="21">
        <v>35</v>
      </c>
      <c r="L87" s="21" t="s">
        <v>730</v>
      </c>
      <c r="M87" s="21" t="s">
        <v>758</v>
      </c>
      <c r="N87" s="21" t="s">
        <v>748</v>
      </c>
      <c r="O87" s="21" t="s">
        <v>754</v>
      </c>
      <c r="P87" s="21" t="s">
        <v>17</v>
      </c>
      <c r="Q87" s="21" t="s">
        <v>17</v>
      </c>
      <c r="R87" s="21" t="s">
        <v>17</v>
      </c>
      <c r="S87" s="21" t="s">
        <v>17</v>
      </c>
      <c r="T87" s="21" t="s">
        <v>17</v>
      </c>
      <c r="U87" s="21" t="s">
        <v>17</v>
      </c>
      <c r="V87" s="21" t="s">
        <v>17</v>
      </c>
      <c r="W87" s="21" t="s">
        <v>17</v>
      </c>
      <c r="X87" s="21" t="s">
        <v>17</v>
      </c>
      <c r="Y87" s="21" t="s">
        <v>17</v>
      </c>
      <c r="Z87" s="21" t="s">
        <v>1023</v>
      </c>
      <c r="AA87" s="21" t="s">
        <v>194</v>
      </c>
      <c r="AB87" s="21" t="s">
        <v>740</v>
      </c>
      <c r="AC87" s="21" t="s">
        <v>1024</v>
      </c>
      <c r="AD87" s="21" t="s">
        <v>1025</v>
      </c>
    </row>
    <row r="88" spans="1:30">
      <c r="A88" s="21">
        <v>211254</v>
      </c>
      <c r="B88" s="21" t="s">
        <v>726</v>
      </c>
      <c r="C88" s="21" t="s">
        <v>27</v>
      </c>
      <c r="D88" s="21" t="s">
        <v>727</v>
      </c>
      <c r="E88" s="21" t="s">
        <v>727</v>
      </c>
      <c r="F88" s="21" t="s">
        <v>727</v>
      </c>
      <c r="G88" s="21" t="s">
        <v>747</v>
      </c>
      <c r="H88" s="21" t="s">
        <v>17</v>
      </c>
      <c r="I88" s="21" t="s">
        <v>17</v>
      </c>
      <c r="J88" s="21" t="s">
        <v>17</v>
      </c>
      <c r="K88" s="21">
        <v>35</v>
      </c>
      <c r="L88" s="21" t="s">
        <v>730</v>
      </c>
      <c r="M88" s="21" t="s">
        <v>758</v>
      </c>
      <c r="N88" s="21" t="s">
        <v>748</v>
      </c>
      <c r="O88" s="21" t="s">
        <v>754</v>
      </c>
      <c r="P88" s="21" t="s">
        <v>17</v>
      </c>
      <c r="Q88" s="21" t="s">
        <v>17</v>
      </c>
      <c r="R88" s="21" t="s">
        <v>17</v>
      </c>
      <c r="S88" s="21" t="s">
        <v>17</v>
      </c>
      <c r="T88" s="21" t="s">
        <v>17</v>
      </c>
      <c r="U88" s="21" t="s">
        <v>17</v>
      </c>
      <c r="V88" s="21" t="s">
        <v>17</v>
      </c>
      <c r="W88" s="21" t="s">
        <v>17</v>
      </c>
      <c r="X88" s="21" t="s">
        <v>17</v>
      </c>
      <c r="Y88" s="21" t="s">
        <v>17</v>
      </c>
      <c r="Z88" s="21" t="s">
        <v>1026</v>
      </c>
      <c r="AA88" s="21" t="s">
        <v>196</v>
      </c>
      <c r="AB88" s="21" t="s">
        <v>740</v>
      </c>
      <c r="AC88" s="21" t="s">
        <v>1027</v>
      </c>
      <c r="AD88" s="21" t="s">
        <v>1028</v>
      </c>
    </row>
    <row r="89" spans="1:30">
      <c r="A89" s="21">
        <v>211253</v>
      </c>
      <c r="B89" s="21" t="s">
        <v>726</v>
      </c>
      <c r="C89" s="21" t="s">
        <v>27</v>
      </c>
      <c r="D89" s="21" t="s">
        <v>727</v>
      </c>
      <c r="E89" s="21" t="s">
        <v>727</v>
      </c>
      <c r="F89" s="21" t="s">
        <v>727</v>
      </c>
      <c r="G89" s="21" t="s">
        <v>747</v>
      </c>
      <c r="H89" s="21" t="s">
        <v>17</v>
      </c>
      <c r="I89" s="21" t="s">
        <v>17</v>
      </c>
      <c r="J89" s="21" t="s">
        <v>17</v>
      </c>
      <c r="K89" s="21">
        <v>35</v>
      </c>
      <c r="L89" s="21" t="s">
        <v>730</v>
      </c>
      <c r="M89" s="21" t="s">
        <v>758</v>
      </c>
      <c r="N89" s="21" t="s">
        <v>748</v>
      </c>
      <c r="O89" s="21" t="s">
        <v>754</v>
      </c>
      <c r="P89" s="21" t="s">
        <v>17</v>
      </c>
      <c r="Q89" s="21" t="s">
        <v>17</v>
      </c>
      <c r="R89" s="21" t="s">
        <v>17</v>
      </c>
      <c r="S89" s="21" t="s">
        <v>17</v>
      </c>
      <c r="T89" s="21" t="s">
        <v>17</v>
      </c>
      <c r="U89" s="21" t="s">
        <v>17</v>
      </c>
      <c r="V89" s="21" t="s">
        <v>17</v>
      </c>
      <c r="W89" s="21" t="s">
        <v>17</v>
      </c>
      <c r="X89" s="21" t="s">
        <v>17</v>
      </c>
      <c r="Y89" s="21" t="s">
        <v>17</v>
      </c>
      <c r="Z89" s="21" t="s">
        <v>1026</v>
      </c>
      <c r="AA89" s="21" t="s">
        <v>198</v>
      </c>
      <c r="AB89" s="21" t="s">
        <v>1029</v>
      </c>
      <c r="AC89" s="21" t="s">
        <v>1030</v>
      </c>
      <c r="AD89" s="21" t="s">
        <v>1031</v>
      </c>
    </row>
    <row r="90" spans="1:30">
      <c r="A90" s="21">
        <v>211252</v>
      </c>
      <c r="B90" s="21" t="s">
        <v>726</v>
      </c>
      <c r="C90" s="21" t="s">
        <v>27</v>
      </c>
      <c r="D90" s="21" t="s">
        <v>727</v>
      </c>
      <c r="E90" s="21" t="s">
        <v>727</v>
      </c>
      <c r="F90" s="21" t="s">
        <v>727</v>
      </c>
      <c r="G90" s="21" t="s">
        <v>747</v>
      </c>
      <c r="H90" s="21" t="s">
        <v>17</v>
      </c>
      <c r="I90" s="21" t="s">
        <v>17</v>
      </c>
      <c r="J90" s="21" t="s">
        <v>17</v>
      </c>
      <c r="K90" s="21">
        <v>35</v>
      </c>
      <c r="L90" s="21" t="s">
        <v>730</v>
      </c>
      <c r="M90" s="21" t="s">
        <v>758</v>
      </c>
      <c r="N90" s="21" t="s">
        <v>748</v>
      </c>
      <c r="O90" s="21" t="s">
        <v>754</v>
      </c>
      <c r="P90" s="21" t="s">
        <v>17</v>
      </c>
      <c r="Q90" s="21" t="s">
        <v>17</v>
      </c>
      <c r="R90" s="21" t="s">
        <v>17</v>
      </c>
      <c r="S90" s="21" t="s">
        <v>17</v>
      </c>
      <c r="T90" s="21" t="s">
        <v>17</v>
      </c>
      <c r="U90" s="21" t="s">
        <v>17</v>
      </c>
      <c r="V90" s="21" t="s">
        <v>17</v>
      </c>
      <c r="W90" s="21" t="s">
        <v>17</v>
      </c>
      <c r="X90" s="21" t="s">
        <v>17</v>
      </c>
      <c r="Y90" s="21" t="s">
        <v>17</v>
      </c>
      <c r="Z90" s="21" t="s">
        <v>1032</v>
      </c>
      <c r="AA90" s="21" t="s">
        <v>199</v>
      </c>
      <c r="AB90" s="21" t="s">
        <v>1033</v>
      </c>
      <c r="AC90" s="21" t="s">
        <v>1034</v>
      </c>
      <c r="AD90" s="21" t="s">
        <v>1035</v>
      </c>
    </row>
    <row r="91" spans="1:30">
      <c r="A91" s="21">
        <v>211251</v>
      </c>
      <c r="B91" s="21" t="s">
        <v>726</v>
      </c>
      <c r="C91" s="21" t="s">
        <v>27</v>
      </c>
      <c r="D91" s="21" t="s">
        <v>727</v>
      </c>
      <c r="E91" s="21" t="s">
        <v>727</v>
      </c>
      <c r="F91" s="21" t="s">
        <v>727</v>
      </c>
      <c r="G91" s="21" t="s">
        <v>747</v>
      </c>
      <c r="H91" s="21" t="s">
        <v>17</v>
      </c>
      <c r="I91" s="21" t="s">
        <v>17</v>
      </c>
      <c r="J91" s="21" t="s">
        <v>17</v>
      </c>
      <c r="K91" s="21">
        <v>35</v>
      </c>
      <c r="L91" s="21" t="s">
        <v>730</v>
      </c>
      <c r="M91" s="21" t="s">
        <v>758</v>
      </c>
      <c r="N91" s="21" t="s">
        <v>748</v>
      </c>
      <c r="O91" s="21" t="s">
        <v>754</v>
      </c>
      <c r="P91" s="21" t="s">
        <v>17</v>
      </c>
      <c r="Q91" s="21" t="s">
        <v>17</v>
      </c>
      <c r="R91" s="21" t="s">
        <v>17</v>
      </c>
      <c r="S91" s="21" t="s">
        <v>17</v>
      </c>
      <c r="T91" s="21" t="s">
        <v>17</v>
      </c>
      <c r="U91" s="21" t="s">
        <v>17</v>
      </c>
      <c r="V91" s="21" t="s">
        <v>17</v>
      </c>
      <c r="W91" s="21" t="s">
        <v>17</v>
      </c>
      <c r="X91" s="21" t="s">
        <v>17</v>
      </c>
      <c r="Y91" s="21" t="s">
        <v>17</v>
      </c>
      <c r="Z91" s="21" t="s">
        <v>1036</v>
      </c>
      <c r="AA91" s="21" t="s">
        <v>201</v>
      </c>
      <c r="AB91" s="21" t="s">
        <v>1037</v>
      </c>
      <c r="AC91" s="21" t="s">
        <v>1038</v>
      </c>
      <c r="AD91" s="21" t="s">
        <v>1039</v>
      </c>
    </row>
    <row r="92" spans="1:30">
      <c r="A92" s="21">
        <v>211250</v>
      </c>
      <c r="B92" s="21" t="s">
        <v>726</v>
      </c>
      <c r="C92" s="21" t="s">
        <v>27</v>
      </c>
      <c r="D92" s="21" t="s">
        <v>727</v>
      </c>
      <c r="E92" s="21" t="s">
        <v>955</v>
      </c>
      <c r="F92" s="21" t="s">
        <v>727</v>
      </c>
      <c r="G92" s="21" t="s">
        <v>780</v>
      </c>
      <c r="H92" s="21" t="s">
        <v>17</v>
      </c>
      <c r="I92" s="21" t="s">
        <v>17</v>
      </c>
      <c r="J92" s="21" t="s">
        <v>17</v>
      </c>
      <c r="K92" s="21">
        <v>18</v>
      </c>
      <c r="L92" s="21" t="s">
        <v>730</v>
      </c>
      <c r="M92" s="21" t="s">
        <v>1040</v>
      </c>
      <c r="N92" s="21" t="s">
        <v>748</v>
      </c>
      <c r="O92" s="21" t="s">
        <v>781</v>
      </c>
      <c r="P92" s="21" t="s">
        <v>17</v>
      </c>
      <c r="Q92" s="21" t="s">
        <v>17</v>
      </c>
      <c r="R92" s="21" t="s">
        <v>17</v>
      </c>
      <c r="S92" s="21" t="s">
        <v>17</v>
      </c>
      <c r="T92" s="21" t="s">
        <v>17</v>
      </c>
      <c r="U92" s="21" t="s">
        <v>17</v>
      </c>
      <c r="V92" s="21" t="s">
        <v>17</v>
      </c>
      <c r="W92" s="21" t="s">
        <v>17</v>
      </c>
      <c r="X92" s="21" t="s">
        <v>17</v>
      </c>
      <c r="Y92" s="21" t="s">
        <v>17</v>
      </c>
      <c r="Z92" s="21" t="s">
        <v>1041</v>
      </c>
      <c r="AA92" s="21" t="s">
        <v>203</v>
      </c>
      <c r="AB92" s="21" t="s">
        <v>740</v>
      </c>
      <c r="AC92" s="21" t="s">
        <v>1042</v>
      </c>
      <c r="AD92" s="21" t="s">
        <v>1043</v>
      </c>
    </row>
    <row r="93" spans="1:30">
      <c r="A93" s="21">
        <v>211248</v>
      </c>
      <c r="B93" s="21" t="s">
        <v>726</v>
      </c>
      <c r="C93" s="21" t="s">
        <v>27</v>
      </c>
      <c r="D93" s="21" t="s">
        <v>727</v>
      </c>
      <c r="E93" s="21" t="s">
        <v>747</v>
      </c>
      <c r="F93" s="21" t="s">
        <v>747</v>
      </c>
      <c r="G93" s="21" t="s">
        <v>747</v>
      </c>
      <c r="H93" s="21" t="s">
        <v>17</v>
      </c>
      <c r="I93" s="21" t="s">
        <v>17</v>
      </c>
      <c r="J93" s="21" t="s">
        <v>17</v>
      </c>
      <c r="K93" s="21">
        <v>25</v>
      </c>
      <c r="L93" s="21" t="s">
        <v>730</v>
      </c>
      <c r="M93" s="21" t="s">
        <v>730</v>
      </c>
      <c r="N93" s="21" t="s">
        <v>730</v>
      </c>
      <c r="O93" s="21" t="s">
        <v>754</v>
      </c>
      <c r="P93" s="21" t="s">
        <v>17</v>
      </c>
      <c r="Q93" s="21" t="s">
        <v>17</v>
      </c>
      <c r="R93" s="21" t="s">
        <v>17</v>
      </c>
      <c r="S93" s="21" t="s">
        <v>17</v>
      </c>
      <c r="T93" s="21" t="s">
        <v>17</v>
      </c>
      <c r="U93" s="21" t="s">
        <v>17</v>
      </c>
      <c r="V93" s="21" t="s">
        <v>17</v>
      </c>
      <c r="W93" s="21" t="s">
        <v>17</v>
      </c>
      <c r="X93" s="21" t="s">
        <v>17</v>
      </c>
      <c r="Y93" s="21" t="s">
        <v>17</v>
      </c>
      <c r="Z93" s="21" t="s">
        <v>1044</v>
      </c>
      <c r="AA93" s="21" t="s">
        <v>206</v>
      </c>
      <c r="AB93" s="21" t="s">
        <v>740</v>
      </c>
      <c r="AC93" s="21" t="s">
        <v>1045</v>
      </c>
      <c r="AD93" s="21" t="s">
        <v>1046</v>
      </c>
    </row>
    <row r="94" spans="1:30">
      <c r="A94" s="21">
        <v>211247</v>
      </c>
      <c r="B94" s="21" t="s">
        <v>726</v>
      </c>
      <c r="C94" s="21" t="s">
        <v>27</v>
      </c>
      <c r="D94" s="21" t="s">
        <v>727</v>
      </c>
      <c r="E94" s="21" t="s">
        <v>727</v>
      </c>
      <c r="F94" s="21" t="s">
        <v>727</v>
      </c>
      <c r="G94" s="21" t="s">
        <v>747</v>
      </c>
      <c r="H94" s="21" t="s">
        <v>17</v>
      </c>
      <c r="I94" s="21" t="s">
        <v>17</v>
      </c>
      <c r="J94" s="21" t="s">
        <v>17</v>
      </c>
      <c r="K94" s="21">
        <v>35</v>
      </c>
      <c r="L94" s="21" t="s">
        <v>730</v>
      </c>
      <c r="M94" s="21" t="s">
        <v>758</v>
      </c>
      <c r="N94" s="21" t="s">
        <v>748</v>
      </c>
      <c r="O94" s="21" t="s">
        <v>754</v>
      </c>
      <c r="P94" s="21" t="s">
        <v>17</v>
      </c>
      <c r="Q94" s="21" t="s">
        <v>17</v>
      </c>
      <c r="R94" s="21" t="s">
        <v>17</v>
      </c>
      <c r="S94" s="21" t="s">
        <v>17</v>
      </c>
      <c r="T94" s="21" t="s">
        <v>17</v>
      </c>
      <c r="U94" s="21" t="s">
        <v>17</v>
      </c>
      <c r="V94" s="21" t="s">
        <v>17</v>
      </c>
      <c r="W94" s="21" t="s">
        <v>17</v>
      </c>
      <c r="X94" s="21" t="s">
        <v>17</v>
      </c>
      <c r="Y94" s="21" t="s">
        <v>17</v>
      </c>
      <c r="Z94" s="21" t="s">
        <v>1047</v>
      </c>
      <c r="AA94" s="21" t="s">
        <v>208</v>
      </c>
      <c r="AB94" s="21" t="s">
        <v>740</v>
      </c>
      <c r="AC94" s="21" t="s">
        <v>1048</v>
      </c>
      <c r="AD94" s="21" t="s">
        <v>1049</v>
      </c>
    </row>
    <row r="95" spans="1:30">
      <c r="A95" s="21">
        <v>211246</v>
      </c>
      <c r="B95" s="21" t="s">
        <v>726</v>
      </c>
      <c r="C95" s="21" t="s">
        <v>27</v>
      </c>
      <c r="D95" s="21" t="s">
        <v>727</v>
      </c>
      <c r="E95" s="21" t="s">
        <v>727</v>
      </c>
      <c r="F95" s="21" t="s">
        <v>727</v>
      </c>
      <c r="G95" s="21" t="s">
        <v>747</v>
      </c>
      <c r="H95" s="21" t="s">
        <v>17</v>
      </c>
      <c r="I95" s="21" t="s">
        <v>17</v>
      </c>
      <c r="J95" s="21" t="s">
        <v>17</v>
      </c>
      <c r="K95" s="21">
        <v>35</v>
      </c>
      <c r="L95" s="21" t="s">
        <v>730</v>
      </c>
      <c r="M95" s="21" t="s">
        <v>758</v>
      </c>
      <c r="N95" s="21" t="s">
        <v>748</v>
      </c>
      <c r="O95" s="21" t="s">
        <v>754</v>
      </c>
      <c r="P95" s="21" t="s">
        <v>17</v>
      </c>
      <c r="Q95" s="21" t="s">
        <v>17</v>
      </c>
      <c r="R95" s="21" t="s">
        <v>17</v>
      </c>
      <c r="S95" s="21" t="s">
        <v>17</v>
      </c>
      <c r="T95" s="21" t="s">
        <v>17</v>
      </c>
      <c r="U95" s="21" t="s">
        <v>17</v>
      </c>
      <c r="V95" s="21" t="s">
        <v>17</v>
      </c>
      <c r="W95" s="21" t="s">
        <v>17</v>
      </c>
      <c r="X95" s="21" t="s">
        <v>17</v>
      </c>
      <c r="Y95" s="21" t="s">
        <v>17</v>
      </c>
      <c r="Z95" s="21" t="s">
        <v>1050</v>
      </c>
      <c r="AA95" s="21" t="s">
        <v>210</v>
      </c>
      <c r="AB95" s="21" t="s">
        <v>740</v>
      </c>
      <c r="AC95" s="21" t="s">
        <v>1051</v>
      </c>
      <c r="AD95" s="21" t="s">
        <v>1052</v>
      </c>
    </row>
    <row r="96" spans="1:30">
      <c r="A96" s="21">
        <v>211245</v>
      </c>
      <c r="B96" s="21" t="s">
        <v>726</v>
      </c>
      <c r="C96" s="21" t="s">
        <v>27</v>
      </c>
      <c r="D96" s="21" t="s">
        <v>727</v>
      </c>
      <c r="E96" s="21" t="s">
        <v>727</v>
      </c>
      <c r="F96" s="21" t="s">
        <v>727</v>
      </c>
      <c r="G96" s="21" t="s">
        <v>747</v>
      </c>
      <c r="H96" s="21" t="s">
        <v>17</v>
      </c>
      <c r="I96" s="21" t="s">
        <v>17</v>
      </c>
      <c r="J96" s="21" t="s">
        <v>17</v>
      </c>
      <c r="K96" s="21">
        <v>35</v>
      </c>
      <c r="L96" s="21" t="s">
        <v>730</v>
      </c>
      <c r="M96" s="21" t="s">
        <v>758</v>
      </c>
      <c r="N96" s="21" t="s">
        <v>748</v>
      </c>
      <c r="O96" s="21" t="s">
        <v>754</v>
      </c>
      <c r="P96" s="21" t="s">
        <v>17</v>
      </c>
      <c r="Q96" s="21" t="s">
        <v>17</v>
      </c>
      <c r="R96" s="21" t="s">
        <v>17</v>
      </c>
      <c r="S96" s="21" t="s">
        <v>17</v>
      </c>
      <c r="T96" s="21" t="s">
        <v>17</v>
      </c>
      <c r="U96" s="21" t="s">
        <v>17</v>
      </c>
      <c r="V96" s="21" t="s">
        <v>17</v>
      </c>
      <c r="W96" s="21" t="s">
        <v>17</v>
      </c>
      <c r="X96" s="21" t="s">
        <v>17</v>
      </c>
      <c r="Y96" s="21" t="s">
        <v>17</v>
      </c>
      <c r="Z96" s="21" t="s">
        <v>1053</v>
      </c>
      <c r="AA96" s="21" t="s">
        <v>212</v>
      </c>
      <c r="AB96" s="21" t="s">
        <v>1054</v>
      </c>
      <c r="AC96" s="21" t="s">
        <v>1055</v>
      </c>
      <c r="AD96" s="21" t="s">
        <v>1056</v>
      </c>
    </row>
    <row r="97" spans="1:30">
      <c r="A97" s="21">
        <v>211244</v>
      </c>
      <c r="B97" s="21" t="s">
        <v>726</v>
      </c>
      <c r="C97" s="21" t="s">
        <v>27</v>
      </c>
      <c r="D97" s="21" t="s">
        <v>727</v>
      </c>
      <c r="E97" s="21" t="s">
        <v>727</v>
      </c>
      <c r="F97" s="21" t="s">
        <v>727</v>
      </c>
      <c r="G97" s="21" t="s">
        <v>747</v>
      </c>
      <c r="H97" s="21" t="s">
        <v>17</v>
      </c>
      <c r="I97" s="21" t="s">
        <v>17</v>
      </c>
      <c r="J97" s="21" t="s">
        <v>17</v>
      </c>
      <c r="K97" s="21">
        <v>35</v>
      </c>
      <c r="L97" s="21" t="s">
        <v>730</v>
      </c>
      <c r="M97" s="21" t="s">
        <v>758</v>
      </c>
      <c r="N97" s="21" t="s">
        <v>748</v>
      </c>
      <c r="O97" s="21" t="s">
        <v>754</v>
      </c>
      <c r="P97" s="21" t="s">
        <v>17</v>
      </c>
      <c r="Q97" s="21" t="s">
        <v>17</v>
      </c>
      <c r="R97" s="21" t="s">
        <v>17</v>
      </c>
      <c r="S97" s="21" t="s">
        <v>17</v>
      </c>
      <c r="T97" s="21" t="s">
        <v>17</v>
      </c>
      <c r="U97" s="21" t="s">
        <v>17</v>
      </c>
      <c r="V97" s="21" t="s">
        <v>17</v>
      </c>
      <c r="W97" s="21" t="s">
        <v>17</v>
      </c>
      <c r="X97" s="21" t="s">
        <v>17</v>
      </c>
      <c r="Y97" s="21" t="s">
        <v>17</v>
      </c>
      <c r="Z97" s="21" t="s">
        <v>1057</v>
      </c>
      <c r="AA97" s="21" t="s">
        <v>214</v>
      </c>
      <c r="AB97" s="21" t="s">
        <v>1058</v>
      </c>
      <c r="AC97" s="21" t="s">
        <v>1059</v>
      </c>
      <c r="AD97" s="21" t="s">
        <v>1060</v>
      </c>
    </row>
    <row r="98" spans="1:30">
      <c r="A98" s="21">
        <v>211243</v>
      </c>
      <c r="B98" s="21" t="s">
        <v>726</v>
      </c>
      <c r="C98" s="21" t="s">
        <v>27</v>
      </c>
      <c r="D98" s="21" t="s">
        <v>727</v>
      </c>
      <c r="E98" s="21" t="s">
        <v>727</v>
      </c>
      <c r="F98" s="21" t="s">
        <v>727</v>
      </c>
      <c r="G98" s="21" t="s">
        <v>747</v>
      </c>
      <c r="H98" s="21" t="s">
        <v>17</v>
      </c>
      <c r="I98" s="21" t="s">
        <v>17</v>
      </c>
      <c r="J98" s="21" t="s">
        <v>17</v>
      </c>
      <c r="K98" s="21">
        <v>35</v>
      </c>
      <c r="L98" s="21" t="s">
        <v>730</v>
      </c>
      <c r="M98" s="21" t="s">
        <v>758</v>
      </c>
      <c r="N98" s="21" t="s">
        <v>748</v>
      </c>
      <c r="O98" s="21" t="s">
        <v>754</v>
      </c>
      <c r="P98" s="21" t="s">
        <v>17</v>
      </c>
      <c r="Q98" s="21" t="s">
        <v>17</v>
      </c>
      <c r="R98" s="21" t="s">
        <v>17</v>
      </c>
      <c r="S98" s="21" t="s">
        <v>17</v>
      </c>
      <c r="T98" s="21" t="s">
        <v>17</v>
      </c>
      <c r="U98" s="21" t="s">
        <v>17</v>
      </c>
      <c r="V98" s="21" t="s">
        <v>17</v>
      </c>
      <c r="W98" s="21" t="s">
        <v>17</v>
      </c>
      <c r="X98" s="21" t="s">
        <v>17</v>
      </c>
      <c r="Y98" s="21" t="s">
        <v>17</v>
      </c>
      <c r="Z98" s="21" t="s">
        <v>1061</v>
      </c>
      <c r="AA98" s="21" t="s">
        <v>216</v>
      </c>
      <c r="AB98" s="21" t="s">
        <v>740</v>
      </c>
      <c r="AC98" s="21" t="s">
        <v>1062</v>
      </c>
      <c r="AD98" s="21" t="s">
        <v>1063</v>
      </c>
    </row>
    <row r="99" spans="1:30">
      <c r="A99" s="21">
        <v>211242</v>
      </c>
      <c r="B99" s="21" t="s">
        <v>726</v>
      </c>
      <c r="C99" s="21" t="s">
        <v>27</v>
      </c>
      <c r="D99" s="21" t="s">
        <v>727</v>
      </c>
      <c r="E99" s="21" t="s">
        <v>747</v>
      </c>
      <c r="F99" s="21" t="s">
        <v>727</v>
      </c>
      <c r="G99" s="21" t="s">
        <v>747</v>
      </c>
      <c r="H99" s="21" t="s">
        <v>17</v>
      </c>
      <c r="I99" s="21" t="s">
        <v>17</v>
      </c>
      <c r="J99" s="21" t="s">
        <v>17</v>
      </c>
      <c r="K99" s="21">
        <v>30</v>
      </c>
      <c r="L99" s="21" t="s">
        <v>730</v>
      </c>
      <c r="M99" s="21" t="s">
        <v>730</v>
      </c>
      <c r="N99" s="21" t="s">
        <v>748</v>
      </c>
      <c r="O99" s="21" t="s">
        <v>754</v>
      </c>
      <c r="P99" s="21" t="s">
        <v>17</v>
      </c>
      <c r="Q99" s="21" t="s">
        <v>17</v>
      </c>
      <c r="R99" s="21" t="s">
        <v>17</v>
      </c>
      <c r="S99" s="21" t="s">
        <v>17</v>
      </c>
      <c r="T99" s="21" t="s">
        <v>17</v>
      </c>
      <c r="U99" s="21" t="s">
        <v>17</v>
      </c>
      <c r="V99" s="21" t="s">
        <v>17</v>
      </c>
      <c r="W99" s="21" t="s">
        <v>17</v>
      </c>
      <c r="X99" s="21" t="s">
        <v>17</v>
      </c>
      <c r="Y99" s="21" t="s">
        <v>17</v>
      </c>
      <c r="Z99" s="21" t="s">
        <v>1064</v>
      </c>
      <c r="AA99" s="21" t="s">
        <v>218</v>
      </c>
      <c r="AB99" s="21" t="s">
        <v>740</v>
      </c>
      <c r="AC99" s="21" t="s">
        <v>1065</v>
      </c>
      <c r="AD99" s="21" t="s">
        <v>1066</v>
      </c>
    </row>
    <row r="100" spans="1:30">
      <c r="A100" s="21">
        <v>211239</v>
      </c>
      <c r="B100" s="21" t="s">
        <v>726</v>
      </c>
      <c r="C100" s="21" t="s">
        <v>27</v>
      </c>
      <c r="D100" s="21" t="s">
        <v>727</v>
      </c>
      <c r="E100" s="21" t="s">
        <v>747</v>
      </c>
      <c r="F100" s="21" t="s">
        <v>727</v>
      </c>
      <c r="G100" s="21" t="s">
        <v>747</v>
      </c>
      <c r="H100" s="21" t="s">
        <v>17</v>
      </c>
      <c r="I100" s="21" t="s">
        <v>17</v>
      </c>
      <c r="J100" s="21" t="s">
        <v>17</v>
      </c>
      <c r="K100" s="21">
        <v>30</v>
      </c>
      <c r="L100" s="21" t="s">
        <v>730</v>
      </c>
      <c r="M100" s="21" t="s">
        <v>730</v>
      </c>
      <c r="N100" s="21" t="s">
        <v>748</v>
      </c>
      <c r="O100" s="21" t="s">
        <v>754</v>
      </c>
      <c r="P100" s="21" t="s">
        <v>17</v>
      </c>
      <c r="Q100" s="21" t="s">
        <v>17</v>
      </c>
      <c r="R100" s="21" t="s">
        <v>17</v>
      </c>
      <c r="S100" s="21" t="s">
        <v>17</v>
      </c>
      <c r="T100" s="21" t="s">
        <v>17</v>
      </c>
      <c r="U100" s="21" t="s">
        <v>17</v>
      </c>
      <c r="V100" s="21" t="s">
        <v>17</v>
      </c>
      <c r="W100" s="21" t="s">
        <v>17</v>
      </c>
      <c r="X100" s="21" t="s">
        <v>17</v>
      </c>
      <c r="Y100" s="21" t="s">
        <v>17</v>
      </c>
      <c r="Z100" s="21" t="s">
        <v>1067</v>
      </c>
      <c r="AA100" s="21" t="s">
        <v>220</v>
      </c>
      <c r="AB100" s="21" t="s">
        <v>740</v>
      </c>
      <c r="AC100" s="21" t="s">
        <v>1068</v>
      </c>
      <c r="AD100" s="21" t="s">
        <v>1069</v>
      </c>
    </row>
    <row r="101" spans="1:30">
      <c r="A101" s="21">
        <v>211238</v>
      </c>
      <c r="B101" s="21" t="s">
        <v>726</v>
      </c>
      <c r="C101" s="21" t="s">
        <v>27</v>
      </c>
      <c r="D101" s="21" t="s">
        <v>752</v>
      </c>
      <c r="E101" s="21" t="s">
        <v>727</v>
      </c>
      <c r="F101" s="21" t="s">
        <v>727</v>
      </c>
      <c r="G101" s="21" t="s">
        <v>955</v>
      </c>
      <c r="H101" s="21" t="s">
        <v>17</v>
      </c>
      <c r="I101" s="21" t="s">
        <v>17</v>
      </c>
      <c r="J101" s="21" t="s">
        <v>17</v>
      </c>
      <c r="K101" s="21">
        <v>13</v>
      </c>
      <c r="L101" s="21" t="s">
        <v>956</v>
      </c>
      <c r="M101" s="21" t="s">
        <v>758</v>
      </c>
      <c r="N101" s="21" t="s">
        <v>748</v>
      </c>
      <c r="O101" s="21" t="s">
        <v>957</v>
      </c>
      <c r="P101" s="21" t="s">
        <v>17</v>
      </c>
      <c r="Q101" s="21" t="s">
        <v>17</v>
      </c>
      <c r="R101" s="21" t="s">
        <v>17</v>
      </c>
      <c r="S101" s="21" t="s">
        <v>17</v>
      </c>
      <c r="T101" s="21" t="s">
        <v>17</v>
      </c>
      <c r="U101" s="21" t="s">
        <v>17</v>
      </c>
      <c r="V101" s="21" t="s">
        <v>17</v>
      </c>
      <c r="W101" s="21" t="s">
        <v>17</v>
      </c>
      <c r="X101" s="21" t="s">
        <v>17</v>
      </c>
      <c r="Y101" s="21" t="s">
        <v>17</v>
      </c>
      <c r="Z101" s="21" t="s">
        <v>1067</v>
      </c>
      <c r="AA101" s="21" t="s">
        <v>222</v>
      </c>
      <c r="AB101" s="21" t="s">
        <v>740</v>
      </c>
      <c r="AC101" s="21" t="s">
        <v>1070</v>
      </c>
      <c r="AD101" s="21" t="s">
        <v>1071</v>
      </c>
    </row>
    <row r="102" spans="1:30">
      <c r="A102" s="21">
        <v>211237</v>
      </c>
      <c r="B102" s="21" t="s">
        <v>726</v>
      </c>
      <c r="C102" s="21" t="s">
        <v>27</v>
      </c>
      <c r="D102" s="21" t="s">
        <v>727</v>
      </c>
      <c r="E102" s="21" t="s">
        <v>727</v>
      </c>
      <c r="F102" s="21" t="s">
        <v>727</v>
      </c>
      <c r="G102" s="21" t="s">
        <v>747</v>
      </c>
      <c r="H102" s="21" t="s">
        <v>17</v>
      </c>
      <c r="I102" s="21" t="s">
        <v>17</v>
      </c>
      <c r="J102" s="21" t="s">
        <v>17</v>
      </c>
      <c r="K102" s="21">
        <v>35</v>
      </c>
      <c r="L102" s="21" t="s">
        <v>730</v>
      </c>
      <c r="M102" s="21" t="s">
        <v>758</v>
      </c>
      <c r="N102" s="21" t="s">
        <v>748</v>
      </c>
      <c r="O102" s="21" t="s">
        <v>754</v>
      </c>
      <c r="P102" s="21" t="s">
        <v>17</v>
      </c>
      <c r="Q102" s="21" t="s">
        <v>17</v>
      </c>
      <c r="R102" s="21" t="s">
        <v>17</v>
      </c>
      <c r="S102" s="21" t="s">
        <v>17</v>
      </c>
      <c r="T102" s="21" t="s">
        <v>17</v>
      </c>
      <c r="U102" s="21" t="s">
        <v>17</v>
      </c>
      <c r="V102" s="21" t="s">
        <v>17</v>
      </c>
      <c r="W102" s="21" t="s">
        <v>17</v>
      </c>
      <c r="X102" s="21" t="s">
        <v>17</v>
      </c>
      <c r="Y102" s="21" t="s">
        <v>17</v>
      </c>
      <c r="Z102" s="21" t="s">
        <v>1072</v>
      </c>
      <c r="AA102" s="21" t="s">
        <v>223</v>
      </c>
      <c r="AB102" s="21" t="s">
        <v>740</v>
      </c>
      <c r="AC102" s="21" t="s">
        <v>1073</v>
      </c>
      <c r="AD102" s="21" t="s">
        <v>1074</v>
      </c>
    </row>
    <row r="103" spans="1:30">
      <c r="A103" s="21">
        <v>211236</v>
      </c>
      <c r="B103" s="21" t="s">
        <v>726</v>
      </c>
      <c r="C103" s="21" t="s">
        <v>27</v>
      </c>
      <c r="D103" s="21" t="s">
        <v>727</v>
      </c>
      <c r="E103" s="21" t="s">
        <v>727</v>
      </c>
      <c r="F103" s="21" t="s">
        <v>727</v>
      </c>
      <c r="G103" s="21" t="s">
        <v>747</v>
      </c>
      <c r="H103" s="21" t="s">
        <v>17</v>
      </c>
      <c r="I103" s="21" t="s">
        <v>17</v>
      </c>
      <c r="J103" s="21" t="s">
        <v>17</v>
      </c>
      <c r="K103" s="21">
        <v>35</v>
      </c>
      <c r="L103" s="21" t="s">
        <v>730</v>
      </c>
      <c r="M103" s="21" t="s">
        <v>758</v>
      </c>
      <c r="N103" s="21" t="s">
        <v>748</v>
      </c>
      <c r="O103" s="21" t="s">
        <v>754</v>
      </c>
      <c r="P103" s="21" t="s">
        <v>17</v>
      </c>
      <c r="Q103" s="21" t="s">
        <v>17</v>
      </c>
      <c r="R103" s="21" t="s">
        <v>17</v>
      </c>
      <c r="S103" s="21" t="s">
        <v>17</v>
      </c>
      <c r="T103" s="21" t="s">
        <v>17</v>
      </c>
      <c r="U103" s="21" t="s">
        <v>17</v>
      </c>
      <c r="V103" s="21" t="s">
        <v>17</v>
      </c>
      <c r="W103" s="21" t="s">
        <v>17</v>
      </c>
      <c r="X103" s="21" t="s">
        <v>17</v>
      </c>
      <c r="Y103" s="21" t="s">
        <v>17</v>
      </c>
      <c r="Z103" s="21" t="s">
        <v>1075</v>
      </c>
      <c r="AA103" s="21" t="s">
        <v>225</v>
      </c>
      <c r="AB103" s="21" t="s">
        <v>1076</v>
      </c>
      <c r="AC103" s="21" t="s">
        <v>1077</v>
      </c>
      <c r="AD103" s="21" t="s">
        <v>1078</v>
      </c>
    </row>
    <row r="104" spans="1:30">
      <c r="A104" s="21">
        <v>211235</v>
      </c>
      <c r="B104" s="21" t="s">
        <v>726</v>
      </c>
      <c r="C104" s="21" t="s">
        <v>27</v>
      </c>
      <c r="D104" s="21" t="s">
        <v>727</v>
      </c>
      <c r="E104" s="21" t="s">
        <v>727</v>
      </c>
      <c r="F104" s="21" t="s">
        <v>727</v>
      </c>
      <c r="G104" s="21" t="s">
        <v>747</v>
      </c>
      <c r="H104" s="21" t="s">
        <v>17</v>
      </c>
      <c r="I104" s="21" t="s">
        <v>17</v>
      </c>
      <c r="J104" s="21" t="s">
        <v>17</v>
      </c>
      <c r="K104" s="21">
        <v>35</v>
      </c>
      <c r="L104" s="21" t="s">
        <v>730</v>
      </c>
      <c r="M104" s="21" t="s">
        <v>758</v>
      </c>
      <c r="N104" s="21" t="s">
        <v>748</v>
      </c>
      <c r="O104" s="21" t="s">
        <v>754</v>
      </c>
      <c r="P104" s="21" t="s">
        <v>17</v>
      </c>
      <c r="Q104" s="21" t="s">
        <v>17</v>
      </c>
      <c r="R104" s="21" t="s">
        <v>17</v>
      </c>
      <c r="S104" s="21" t="s">
        <v>17</v>
      </c>
      <c r="T104" s="21" t="s">
        <v>17</v>
      </c>
      <c r="U104" s="21" t="s">
        <v>17</v>
      </c>
      <c r="V104" s="21" t="s">
        <v>17</v>
      </c>
      <c r="W104" s="21" t="s">
        <v>17</v>
      </c>
      <c r="X104" s="21" t="s">
        <v>17</v>
      </c>
      <c r="Y104" s="21" t="s">
        <v>17</v>
      </c>
      <c r="Z104" s="21" t="s">
        <v>1079</v>
      </c>
      <c r="AA104" s="21" t="s">
        <v>227</v>
      </c>
      <c r="AB104" s="21" t="s">
        <v>740</v>
      </c>
      <c r="AC104" s="21" t="s">
        <v>1080</v>
      </c>
      <c r="AD104" s="21" t="s">
        <v>1081</v>
      </c>
    </row>
    <row r="105" spans="1:30">
      <c r="A105" s="21">
        <v>211234</v>
      </c>
      <c r="B105" s="21" t="s">
        <v>726</v>
      </c>
      <c r="C105" s="21" t="s">
        <v>27</v>
      </c>
      <c r="D105" s="21" t="s">
        <v>727</v>
      </c>
      <c r="E105" s="21" t="s">
        <v>727</v>
      </c>
      <c r="F105" s="21" t="s">
        <v>727</v>
      </c>
      <c r="G105" s="21" t="s">
        <v>747</v>
      </c>
      <c r="H105" s="21" t="s">
        <v>17</v>
      </c>
      <c r="I105" s="21" t="s">
        <v>17</v>
      </c>
      <c r="J105" s="21" t="s">
        <v>17</v>
      </c>
      <c r="K105" s="21">
        <v>35</v>
      </c>
      <c r="L105" s="21" t="s">
        <v>730</v>
      </c>
      <c r="M105" s="21" t="s">
        <v>758</v>
      </c>
      <c r="N105" s="21" t="s">
        <v>748</v>
      </c>
      <c r="O105" s="21" t="s">
        <v>754</v>
      </c>
      <c r="P105" s="21" t="s">
        <v>17</v>
      </c>
      <c r="Q105" s="21" t="s">
        <v>17</v>
      </c>
      <c r="R105" s="21" t="s">
        <v>17</v>
      </c>
      <c r="S105" s="21" t="s">
        <v>17</v>
      </c>
      <c r="T105" s="21" t="s">
        <v>17</v>
      </c>
      <c r="U105" s="21" t="s">
        <v>17</v>
      </c>
      <c r="V105" s="21" t="s">
        <v>17</v>
      </c>
      <c r="W105" s="21" t="s">
        <v>17</v>
      </c>
      <c r="X105" s="21" t="s">
        <v>17</v>
      </c>
      <c r="Y105" s="21" t="s">
        <v>17</v>
      </c>
      <c r="Z105" s="21" t="s">
        <v>1082</v>
      </c>
      <c r="AA105" s="21" t="s">
        <v>229</v>
      </c>
      <c r="AB105" s="21" t="s">
        <v>740</v>
      </c>
      <c r="AC105" s="21" t="s">
        <v>1080</v>
      </c>
      <c r="AD105" s="21" t="s">
        <v>1081</v>
      </c>
    </row>
    <row r="106" spans="1:30">
      <c r="A106" s="21">
        <v>211233</v>
      </c>
      <c r="B106" s="21" t="s">
        <v>726</v>
      </c>
      <c r="C106" s="21" t="s">
        <v>27</v>
      </c>
      <c r="D106" s="21" t="s">
        <v>727</v>
      </c>
      <c r="E106" s="21" t="s">
        <v>727</v>
      </c>
      <c r="F106" s="21" t="s">
        <v>727</v>
      </c>
      <c r="G106" s="21" t="s">
        <v>747</v>
      </c>
      <c r="H106" s="21" t="s">
        <v>17</v>
      </c>
      <c r="I106" s="21" t="s">
        <v>17</v>
      </c>
      <c r="J106" s="21" t="s">
        <v>17</v>
      </c>
      <c r="K106" s="21">
        <v>35</v>
      </c>
      <c r="L106" s="21" t="s">
        <v>730</v>
      </c>
      <c r="M106" s="21" t="s">
        <v>758</v>
      </c>
      <c r="N106" s="21" t="s">
        <v>748</v>
      </c>
      <c r="O106" s="21" t="s">
        <v>754</v>
      </c>
      <c r="P106" s="21" t="s">
        <v>17</v>
      </c>
      <c r="Q106" s="21" t="s">
        <v>17</v>
      </c>
      <c r="R106" s="21" t="s">
        <v>17</v>
      </c>
      <c r="S106" s="21" t="s">
        <v>17</v>
      </c>
      <c r="T106" s="21" t="s">
        <v>17</v>
      </c>
      <c r="U106" s="21" t="s">
        <v>17</v>
      </c>
      <c r="V106" s="21" t="s">
        <v>17</v>
      </c>
      <c r="W106" s="21" t="s">
        <v>17</v>
      </c>
      <c r="X106" s="21" t="s">
        <v>17</v>
      </c>
      <c r="Y106" s="21" t="s">
        <v>17</v>
      </c>
      <c r="Z106" s="21" t="s">
        <v>1082</v>
      </c>
      <c r="AA106" s="21" t="s">
        <v>231</v>
      </c>
      <c r="AB106" s="21" t="s">
        <v>740</v>
      </c>
      <c r="AC106" s="21" t="s">
        <v>1083</v>
      </c>
      <c r="AD106" s="21" t="s">
        <v>1084</v>
      </c>
    </row>
    <row r="107" spans="1:30">
      <c r="A107" s="21">
        <v>211231</v>
      </c>
      <c r="B107" s="21" t="s">
        <v>726</v>
      </c>
      <c r="C107" s="21" t="s">
        <v>27</v>
      </c>
      <c r="D107" s="21" t="s">
        <v>727</v>
      </c>
      <c r="E107" s="21" t="s">
        <v>727</v>
      </c>
      <c r="F107" s="21" t="s">
        <v>727</v>
      </c>
      <c r="G107" s="21" t="s">
        <v>747</v>
      </c>
      <c r="H107" s="21" t="s">
        <v>17</v>
      </c>
      <c r="I107" s="21" t="s">
        <v>17</v>
      </c>
      <c r="J107" s="21" t="s">
        <v>17</v>
      </c>
      <c r="K107" s="21">
        <v>35</v>
      </c>
      <c r="L107" s="21" t="s">
        <v>730</v>
      </c>
      <c r="M107" s="21" t="s">
        <v>758</v>
      </c>
      <c r="N107" s="21" t="s">
        <v>748</v>
      </c>
      <c r="O107" s="21" t="s">
        <v>754</v>
      </c>
      <c r="P107" s="21" t="s">
        <v>17</v>
      </c>
      <c r="Q107" s="21" t="s">
        <v>17</v>
      </c>
      <c r="R107" s="21" t="s">
        <v>17</v>
      </c>
      <c r="S107" s="21" t="s">
        <v>17</v>
      </c>
      <c r="T107" s="21" t="s">
        <v>17</v>
      </c>
      <c r="U107" s="21" t="s">
        <v>17</v>
      </c>
      <c r="V107" s="21" t="s">
        <v>17</v>
      </c>
      <c r="W107" s="21" t="s">
        <v>17</v>
      </c>
      <c r="X107" s="21" t="s">
        <v>17</v>
      </c>
      <c r="Y107" s="21" t="s">
        <v>17</v>
      </c>
      <c r="Z107" s="21" t="s">
        <v>1085</v>
      </c>
      <c r="AA107" s="21" t="s">
        <v>232</v>
      </c>
      <c r="AB107" s="21" t="s">
        <v>740</v>
      </c>
      <c r="AC107" s="21" t="s">
        <v>1080</v>
      </c>
      <c r="AD107" s="21" t="s">
        <v>1081</v>
      </c>
    </row>
    <row r="108" spans="1:30">
      <c r="A108" s="21">
        <v>211230</v>
      </c>
      <c r="B108" s="21" t="s">
        <v>726</v>
      </c>
      <c r="C108" s="21" t="s">
        <v>27</v>
      </c>
      <c r="D108" s="21" t="s">
        <v>727</v>
      </c>
      <c r="E108" s="21" t="s">
        <v>727</v>
      </c>
      <c r="F108" s="21" t="s">
        <v>727</v>
      </c>
      <c r="G108" s="21" t="s">
        <v>747</v>
      </c>
      <c r="H108" s="21" t="s">
        <v>17</v>
      </c>
      <c r="I108" s="21" t="s">
        <v>17</v>
      </c>
      <c r="J108" s="21" t="s">
        <v>17</v>
      </c>
      <c r="K108" s="21">
        <v>35</v>
      </c>
      <c r="L108" s="21" t="s">
        <v>730</v>
      </c>
      <c r="M108" s="21" t="s">
        <v>758</v>
      </c>
      <c r="N108" s="21" t="s">
        <v>748</v>
      </c>
      <c r="O108" s="21" t="s">
        <v>754</v>
      </c>
      <c r="P108" s="21" t="s">
        <v>17</v>
      </c>
      <c r="Q108" s="21" t="s">
        <v>17</v>
      </c>
      <c r="R108" s="21" t="s">
        <v>17</v>
      </c>
      <c r="S108" s="21" t="s">
        <v>17</v>
      </c>
      <c r="T108" s="21" t="s">
        <v>17</v>
      </c>
      <c r="U108" s="21" t="s">
        <v>17</v>
      </c>
      <c r="V108" s="21" t="s">
        <v>17</v>
      </c>
      <c r="W108" s="21" t="s">
        <v>17</v>
      </c>
      <c r="X108" s="21" t="s">
        <v>17</v>
      </c>
      <c r="Y108" s="21" t="s">
        <v>17</v>
      </c>
      <c r="Z108" s="21" t="s">
        <v>1085</v>
      </c>
      <c r="AA108" s="21" t="s">
        <v>234</v>
      </c>
      <c r="AB108" s="21" t="s">
        <v>740</v>
      </c>
      <c r="AC108" s="21" t="s">
        <v>1086</v>
      </c>
      <c r="AD108" s="21" t="s">
        <v>1087</v>
      </c>
    </row>
    <row r="109" spans="1:30">
      <c r="A109" s="21">
        <v>211226</v>
      </c>
      <c r="B109" s="21" t="s">
        <v>726</v>
      </c>
      <c r="C109" s="21" t="s">
        <v>27</v>
      </c>
      <c r="D109" s="21" t="s">
        <v>727</v>
      </c>
      <c r="E109" s="21" t="s">
        <v>727</v>
      </c>
      <c r="F109" s="21" t="s">
        <v>727</v>
      </c>
      <c r="G109" s="21" t="s">
        <v>747</v>
      </c>
      <c r="H109" s="21" t="s">
        <v>17</v>
      </c>
      <c r="I109" s="21" t="s">
        <v>17</v>
      </c>
      <c r="J109" s="21" t="s">
        <v>17</v>
      </c>
      <c r="K109" s="21">
        <v>35</v>
      </c>
      <c r="L109" s="21" t="s">
        <v>730</v>
      </c>
      <c r="M109" s="21" t="s">
        <v>758</v>
      </c>
      <c r="N109" s="21" t="s">
        <v>748</v>
      </c>
      <c r="O109" s="21" t="s">
        <v>754</v>
      </c>
      <c r="P109" s="21" t="s">
        <v>17</v>
      </c>
      <c r="Q109" s="21" t="s">
        <v>17</v>
      </c>
      <c r="R109" s="21" t="s">
        <v>17</v>
      </c>
      <c r="S109" s="21" t="s">
        <v>17</v>
      </c>
      <c r="T109" s="21" t="s">
        <v>17</v>
      </c>
      <c r="U109" s="21" t="s">
        <v>17</v>
      </c>
      <c r="V109" s="21" t="s">
        <v>17</v>
      </c>
      <c r="W109" s="21" t="s">
        <v>17</v>
      </c>
      <c r="X109" s="21" t="s">
        <v>17</v>
      </c>
      <c r="Y109" s="21" t="s">
        <v>17</v>
      </c>
      <c r="Z109" s="21" t="s">
        <v>1088</v>
      </c>
      <c r="AA109" s="21" t="s">
        <v>235</v>
      </c>
      <c r="AB109" s="21" t="s">
        <v>740</v>
      </c>
      <c r="AC109" s="21" t="s">
        <v>1089</v>
      </c>
      <c r="AD109" s="21" t="s">
        <v>1090</v>
      </c>
    </row>
    <row r="110" spans="1:30">
      <c r="A110" s="21">
        <v>211225</v>
      </c>
      <c r="B110" s="21" t="s">
        <v>726</v>
      </c>
      <c r="C110" s="21" t="s">
        <v>27</v>
      </c>
      <c r="D110" s="21" t="s">
        <v>727</v>
      </c>
      <c r="E110" s="21" t="s">
        <v>727</v>
      </c>
      <c r="F110" s="21" t="s">
        <v>727</v>
      </c>
      <c r="G110" s="21" t="s">
        <v>747</v>
      </c>
      <c r="H110" s="21" t="s">
        <v>17</v>
      </c>
      <c r="I110" s="21" t="s">
        <v>17</v>
      </c>
      <c r="J110" s="21" t="s">
        <v>17</v>
      </c>
      <c r="K110" s="21">
        <v>35</v>
      </c>
      <c r="L110" s="21" t="s">
        <v>730</v>
      </c>
      <c r="M110" s="21" t="s">
        <v>758</v>
      </c>
      <c r="N110" s="21" t="s">
        <v>748</v>
      </c>
      <c r="O110" s="21" t="s">
        <v>754</v>
      </c>
      <c r="P110" s="21" t="s">
        <v>17</v>
      </c>
      <c r="Q110" s="21" t="s">
        <v>17</v>
      </c>
      <c r="R110" s="21" t="s">
        <v>17</v>
      </c>
      <c r="S110" s="21" t="s">
        <v>17</v>
      </c>
      <c r="T110" s="21" t="s">
        <v>17</v>
      </c>
      <c r="U110" s="21" t="s">
        <v>17</v>
      </c>
      <c r="V110" s="21" t="s">
        <v>17</v>
      </c>
      <c r="W110" s="21" t="s">
        <v>17</v>
      </c>
      <c r="X110" s="21" t="s">
        <v>17</v>
      </c>
      <c r="Y110" s="21" t="s">
        <v>17</v>
      </c>
      <c r="Z110" s="21" t="s">
        <v>1091</v>
      </c>
      <c r="AA110" s="21" t="s">
        <v>237</v>
      </c>
      <c r="AB110" s="21" t="s">
        <v>740</v>
      </c>
      <c r="AC110" s="21" t="s">
        <v>1092</v>
      </c>
      <c r="AD110" s="21" t="s">
        <v>1093</v>
      </c>
    </row>
    <row r="111" spans="1:30">
      <c r="A111" s="21">
        <v>211224</v>
      </c>
      <c r="B111" s="21" t="s">
        <v>726</v>
      </c>
      <c r="C111" s="21" t="s">
        <v>27</v>
      </c>
      <c r="D111" s="21" t="s">
        <v>727</v>
      </c>
      <c r="E111" s="21" t="s">
        <v>727</v>
      </c>
      <c r="F111" s="21" t="s">
        <v>727</v>
      </c>
      <c r="G111" s="21" t="s">
        <v>747</v>
      </c>
      <c r="H111" s="21" t="s">
        <v>17</v>
      </c>
      <c r="I111" s="21" t="s">
        <v>17</v>
      </c>
      <c r="J111" s="21" t="s">
        <v>17</v>
      </c>
      <c r="K111" s="21">
        <v>35</v>
      </c>
      <c r="L111" s="21" t="s">
        <v>730</v>
      </c>
      <c r="M111" s="21" t="s">
        <v>758</v>
      </c>
      <c r="N111" s="21" t="s">
        <v>748</v>
      </c>
      <c r="O111" s="21" t="s">
        <v>754</v>
      </c>
      <c r="P111" s="21" t="s">
        <v>17</v>
      </c>
      <c r="Q111" s="21" t="s">
        <v>17</v>
      </c>
      <c r="R111" s="21" t="s">
        <v>17</v>
      </c>
      <c r="S111" s="21" t="s">
        <v>17</v>
      </c>
      <c r="T111" s="21" t="s">
        <v>17</v>
      </c>
      <c r="U111" s="21" t="s">
        <v>17</v>
      </c>
      <c r="V111" s="21" t="s">
        <v>17</v>
      </c>
      <c r="W111" s="21" t="s">
        <v>17</v>
      </c>
      <c r="X111" s="21" t="s">
        <v>17</v>
      </c>
      <c r="Y111" s="21" t="s">
        <v>17</v>
      </c>
      <c r="Z111" s="21" t="s">
        <v>1094</v>
      </c>
      <c r="AA111" s="21" t="s">
        <v>239</v>
      </c>
      <c r="AB111" s="21" t="s">
        <v>740</v>
      </c>
      <c r="AC111" s="21" t="s">
        <v>1095</v>
      </c>
      <c r="AD111" s="21" t="s">
        <v>1096</v>
      </c>
    </row>
    <row r="112" spans="1:30">
      <c r="A112" s="21">
        <v>211223</v>
      </c>
      <c r="B112" s="21" t="s">
        <v>726</v>
      </c>
      <c r="C112" s="21" t="s">
        <v>27</v>
      </c>
      <c r="D112" s="21" t="s">
        <v>727</v>
      </c>
      <c r="E112" s="21" t="s">
        <v>747</v>
      </c>
      <c r="F112" s="21" t="s">
        <v>727</v>
      </c>
      <c r="G112" s="21" t="s">
        <v>747</v>
      </c>
      <c r="H112" s="21" t="s">
        <v>17</v>
      </c>
      <c r="I112" s="21" t="s">
        <v>17</v>
      </c>
      <c r="J112" s="21" t="s">
        <v>17</v>
      </c>
      <c r="K112" s="21">
        <v>30</v>
      </c>
      <c r="L112" s="21" t="s">
        <v>730</v>
      </c>
      <c r="M112" s="21" t="s">
        <v>730</v>
      </c>
      <c r="N112" s="21" t="s">
        <v>748</v>
      </c>
      <c r="O112" s="21" t="s">
        <v>754</v>
      </c>
      <c r="P112" s="21" t="s">
        <v>17</v>
      </c>
      <c r="Q112" s="21" t="s">
        <v>17</v>
      </c>
      <c r="R112" s="21" t="s">
        <v>17</v>
      </c>
      <c r="S112" s="21" t="s">
        <v>17</v>
      </c>
      <c r="T112" s="21" t="s">
        <v>17</v>
      </c>
      <c r="U112" s="21" t="s">
        <v>17</v>
      </c>
      <c r="V112" s="21" t="s">
        <v>17</v>
      </c>
      <c r="W112" s="21" t="s">
        <v>17</v>
      </c>
      <c r="X112" s="21" t="s">
        <v>17</v>
      </c>
      <c r="Y112" s="21" t="s">
        <v>17</v>
      </c>
      <c r="Z112" s="21" t="s">
        <v>1094</v>
      </c>
      <c r="AA112" s="21" t="s">
        <v>241</v>
      </c>
      <c r="AB112" s="21" t="s">
        <v>740</v>
      </c>
      <c r="AC112" s="21" t="s">
        <v>1097</v>
      </c>
      <c r="AD112" s="21" t="s">
        <v>1098</v>
      </c>
    </row>
    <row r="113" spans="1:30">
      <c r="A113" s="21">
        <v>211222</v>
      </c>
      <c r="B113" s="21" t="s">
        <v>726</v>
      </c>
      <c r="C113" s="21" t="s">
        <v>27</v>
      </c>
      <c r="D113" s="21" t="s">
        <v>727</v>
      </c>
      <c r="E113" s="21" t="s">
        <v>727</v>
      </c>
      <c r="F113" s="21" t="s">
        <v>727</v>
      </c>
      <c r="G113" s="21" t="s">
        <v>747</v>
      </c>
      <c r="H113" s="21" t="s">
        <v>17</v>
      </c>
      <c r="I113" s="21" t="s">
        <v>17</v>
      </c>
      <c r="J113" s="21" t="s">
        <v>17</v>
      </c>
      <c r="K113" s="21">
        <v>35</v>
      </c>
      <c r="L113" s="21" t="s">
        <v>730</v>
      </c>
      <c r="M113" s="21" t="s">
        <v>758</v>
      </c>
      <c r="N113" s="21" t="s">
        <v>748</v>
      </c>
      <c r="O113" s="21" t="s">
        <v>754</v>
      </c>
      <c r="P113" s="21" t="s">
        <v>17</v>
      </c>
      <c r="Q113" s="21" t="s">
        <v>17</v>
      </c>
      <c r="R113" s="21" t="s">
        <v>17</v>
      </c>
      <c r="S113" s="21" t="s">
        <v>17</v>
      </c>
      <c r="T113" s="21" t="s">
        <v>17</v>
      </c>
      <c r="U113" s="21" t="s">
        <v>17</v>
      </c>
      <c r="V113" s="21" t="s">
        <v>17</v>
      </c>
      <c r="W113" s="21" t="s">
        <v>17</v>
      </c>
      <c r="X113" s="21" t="s">
        <v>17</v>
      </c>
      <c r="Y113" s="21" t="s">
        <v>17</v>
      </c>
      <c r="Z113" s="21" t="s">
        <v>1099</v>
      </c>
      <c r="AA113" s="21" t="s">
        <v>242</v>
      </c>
      <c r="AB113" s="21" t="s">
        <v>1100</v>
      </c>
      <c r="AC113" s="21" t="s">
        <v>1101</v>
      </c>
      <c r="AD113" s="21" t="s">
        <v>1102</v>
      </c>
    </row>
    <row r="114" spans="1:30">
      <c r="A114" s="21">
        <v>211221</v>
      </c>
      <c r="B114" s="21" t="s">
        <v>726</v>
      </c>
      <c r="C114" s="21" t="s">
        <v>27</v>
      </c>
      <c r="D114" s="21" t="s">
        <v>752</v>
      </c>
      <c r="E114" s="21" t="s">
        <v>747</v>
      </c>
      <c r="F114" s="21" t="s">
        <v>727</v>
      </c>
      <c r="G114" s="21" t="s">
        <v>747</v>
      </c>
      <c r="H114" s="21" t="s">
        <v>17</v>
      </c>
      <c r="I114" s="21" t="s">
        <v>17</v>
      </c>
      <c r="J114" s="21" t="s">
        <v>17</v>
      </c>
      <c r="K114" s="21">
        <v>10</v>
      </c>
      <c r="L114" s="21" t="s">
        <v>753</v>
      </c>
      <c r="M114" s="21" t="s">
        <v>730</v>
      </c>
      <c r="N114" s="21" t="s">
        <v>748</v>
      </c>
      <c r="O114" s="21" t="s">
        <v>754</v>
      </c>
      <c r="P114" s="21" t="s">
        <v>17</v>
      </c>
      <c r="Q114" s="21" t="s">
        <v>17</v>
      </c>
      <c r="R114" s="21" t="s">
        <v>17</v>
      </c>
      <c r="S114" s="21" t="s">
        <v>17</v>
      </c>
      <c r="T114" s="21" t="s">
        <v>17</v>
      </c>
      <c r="U114" s="21" t="s">
        <v>17</v>
      </c>
      <c r="V114" s="21" t="s">
        <v>17</v>
      </c>
      <c r="W114" s="21" t="s">
        <v>17</v>
      </c>
      <c r="X114" s="21" t="s">
        <v>17</v>
      </c>
      <c r="Y114" s="21" t="s">
        <v>17</v>
      </c>
      <c r="Z114" s="21" t="s">
        <v>1103</v>
      </c>
      <c r="AA114" s="21" t="s">
        <v>244</v>
      </c>
      <c r="AB114" s="21" t="s">
        <v>1104</v>
      </c>
      <c r="AC114" s="21" t="s">
        <v>1105</v>
      </c>
      <c r="AD114" s="21" t="s">
        <v>1106</v>
      </c>
    </row>
    <row r="115" spans="1:30">
      <c r="A115" s="21">
        <v>211220</v>
      </c>
      <c r="B115" s="21" t="s">
        <v>726</v>
      </c>
      <c r="C115" s="21" t="s">
        <v>27</v>
      </c>
      <c r="D115" s="21" t="s">
        <v>727</v>
      </c>
      <c r="E115" s="21" t="s">
        <v>955</v>
      </c>
      <c r="F115" s="21" t="s">
        <v>727</v>
      </c>
      <c r="G115" s="21" t="s">
        <v>747</v>
      </c>
      <c r="H115" s="21" t="s">
        <v>17</v>
      </c>
      <c r="I115" s="21" t="s">
        <v>17</v>
      </c>
      <c r="J115" s="21" t="s">
        <v>17</v>
      </c>
      <c r="K115" s="21">
        <v>28</v>
      </c>
      <c r="L115" s="21" t="s">
        <v>730</v>
      </c>
      <c r="M115" s="21" t="s">
        <v>1040</v>
      </c>
      <c r="N115" s="21" t="s">
        <v>748</v>
      </c>
      <c r="O115" s="21" t="s">
        <v>754</v>
      </c>
      <c r="P115" s="21" t="s">
        <v>17</v>
      </c>
      <c r="Q115" s="21" t="s">
        <v>17</v>
      </c>
      <c r="R115" s="21" t="s">
        <v>17</v>
      </c>
      <c r="S115" s="21" t="s">
        <v>17</v>
      </c>
      <c r="T115" s="21" t="s">
        <v>17</v>
      </c>
      <c r="U115" s="21" t="s">
        <v>17</v>
      </c>
      <c r="V115" s="21" t="s">
        <v>17</v>
      </c>
      <c r="W115" s="21" t="s">
        <v>17</v>
      </c>
      <c r="X115" s="21" t="s">
        <v>17</v>
      </c>
      <c r="Y115" s="21" t="s">
        <v>17</v>
      </c>
      <c r="Z115" s="21" t="s">
        <v>1107</v>
      </c>
      <c r="AA115" s="21" t="s">
        <v>246</v>
      </c>
      <c r="AB115" s="21" t="s">
        <v>740</v>
      </c>
      <c r="AC115" s="21" t="s">
        <v>1108</v>
      </c>
      <c r="AD115" s="21" t="s">
        <v>1109</v>
      </c>
    </row>
    <row r="116" spans="1:30">
      <c r="A116" s="21">
        <v>211219</v>
      </c>
      <c r="B116" s="21" t="s">
        <v>726</v>
      </c>
      <c r="C116" s="21" t="s">
        <v>27</v>
      </c>
      <c r="D116" s="21" t="s">
        <v>727</v>
      </c>
      <c r="E116" s="21" t="s">
        <v>727</v>
      </c>
      <c r="F116" s="21" t="s">
        <v>727</v>
      </c>
      <c r="G116" s="21" t="s">
        <v>747</v>
      </c>
      <c r="H116" s="21" t="s">
        <v>17</v>
      </c>
      <c r="I116" s="21" t="s">
        <v>17</v>
      </c>
      <c r="J116" s="21" t="s">
        <v>17</v>
      </c>
      <c r="K116" s="21">
        <v>35</v>
      </c>
      <c r="L116" s="21" t="s">
        <v>730</v>
      </c>
      <c r="M116" s="21" t="s">
        <v>758</v>
      </c>
      <c r="N116" s="21" t="s">
        <v>748</v>
      </c>
      <c r="O116" s="21" t="s">
        <v>754</v>
      </c>
      <c r="P116" s="21" t="s">
        <v>17</v>
      </c>
      <c r="Q116" s="21" t="s">
        <v>17</v>
      </c>
      <c r="R116" s="21" t="s">
        <v>17</v>
      </c>
      <c r="S116" s="21" t="s">
        <v>17</v>
      </c>
      <c r="T116" s="21" t="s">
        <v>17</v>
      </c>
      <c r="U116" s="21" t="s">
        <v>17</v>
      </c>
      <c r="V116" s="21" t="s">
        <v>17</v>
      </c>
      <c r="W116" s="21" t="s">
        <v>17</v>
      </c>
      <c r="X116" s="21" t="s">
        <v>17</v>
      </c>
      <c r="Y116" s="21" t="s">
        <v>17</v>
      </c>
      <c r="Z116" s="21" t="s">
        <v>1107</v>
      </c>
      <c r="AA116" s="21" t="s">
        <v>248</v>
      </c>
      <c r="AB116" s="21" t="s">
        <v>1110</v>
      </c>
      <c r="AC116" s="21" t="s">
        <v>1111</v>
      </c>
      <c r="AD116" s="21" t="s">
        <v>1112</v>
      </c>
    </row>
    <row r="117" spans="1:30">
      <c r="A117" s="21">
        <v>211218</v>
      </c>
      <c r="B117" s="21" t="s">
        <v>726</v>
      </c>
      <c r="C117" s="21" t="s">
        <v>27</v>
      </c>
      <c r="D117" s="21" t="s">
        <v>727</v>
      </c>
      <c r="E117" s="21" t="s">
        <v>727</v>
      </c>
      <c r="F117" s="21" t="s">
        <v>727</v>
      </c>
      <c r="G117" s="21" t="s">
        <v>747</v>
      </c>
      <c r="H117" s="21" t="s">
        <v>17</v>
      </c>
      <c r="I117" s="21" t="s">
        <v>17</v>
      </c>
      <c r="J117" s="21" t="s">
        <v>17</v>
      </c>
      <c r="K117" s="21">
        <v>35</v>
      </c>
      <c r="L117" s="21" t="s">
        <v>730</v>
      </c>
      <c r="M117" s="21" t="s">
        <v>758</v>
      </c>
      <c r="N117" s="21" t="s">
        <v>748</v>
      </c>
      <c r="O117" s="21" t="s">
        <v>754</v>
      </c>
      <c r="P117" s="21" t="s">
        <v>17</v>
      </c>
      <c r="Q117" s="21" t="s">
        <v>17</v>
      </c>
      <c r="R117" s="21" t="s">
        <v>17</v>
      </c>
      <c r="S117" s="21" t="s">
        <v>17</v>
      </c>
      <c r="T117" s="21" t="s">
        <v>17</v>
      </c>
      <c r="U117" s="21" t="s">
        <v>17</v>
      </c>
      <c r="V117" s="21" t="s">
        <v>17</v>
      </c>
      <c r="W117" s="21" t="s">
        <v>17</v>
      </c>
      <c r="X117" s="21" t="s">
        <v>17</v>
      </c>
      <c r="Y117" s="21" t="s">
        <v>17</v>
      </c>
      <c r="Z117" s="21" t="s">
        <v>1107</v>
      </c>
      <c r="AA117" s="21" t="s">
        <v>249</v>
      </c>
      <c r="AB117" s="21" t="s">
        <v>740</v>
      </c>
      <c r="AC117" s="21" t="s">
        <v>1113</v>
      </c>
      <c r="AD117" s="21" t="s">
        <v>1114</v>
      </c>
    </row>
    <row r="118" spans="1:30">
      <c r="A118" s="21">
        <v>211217</v>
      </c>
      <c r="B118" s="21" t="s">
        <v>726</v>
      </c>
      <c r="C118" s="21" t="s">
        <v>27</v>
      </c>
      <c r="D118" s="21" t="s">
        <v>727</v>
      </c>
      <c r="E118" s="21" t="s">
        <v>955</v>
      </c>
      <c r="F118" s="21" t="s">
        <v>727</v>
      </c>
      <c r="G118" s="21" t="s">
        <v>747</v>
      </c>
      <c r="H118" s="21" t="s">
        <v>17</v>
      </c>
      <c r="I118" s="21" t="s">
        <v>17</v>
      </c>
      <c r="J118" s="21" t="s">
        <v>17</v>
      </c>
      <c r="K118" s="21">
        <v>28</v>
      </c>
      <c r="L118" s="21" t="s">
        <v>730</v>
      </c>
      <c r="M118" s="21" t="s">
        <v>1040</v>
      </c>
      <c r="N118" s="21" t="s">
        <v>748</v>
      </c>
      <c r="O118" s="21" t="s">
        <v>754</v>
      </c>
      <c r="P118" s="21" t="s">
        <v>17</v>
      </c>
      <c r="Q118" s="21" t="s">
        <v>17</v>
      </c>
      <c r="R118" s="21" t="s">
        <v>17</v>
      </c>
      <c r="S118" s="21" t="s">
        <v>17</v>
      </c>
      <c r="T118" s="21" t="s">
        <v>17</v>
      </c>
      <c r="U118" s="21" t="s">
        <v>17</v>
      </c>
      <c r="V118" s="21" t="s">
        <v>17</v>
      </c>
      <c r="W118" s="21" t="s">
        <v>17</v>
      </c>
      <c r="X118" s="21" t="s">
        <v>17</v>
      </c>
      <c r="Y118" s="21" t="s">
        <v>17</v>
      </c>
      <c r="Z118" s="21" t="s">
        <v>1115</v>
      </c>
      <c r="AA118" s="21" t="s">
        <v>250</v>
      </c>
      <c r="AB118" s="21" t="s">
        <v>1116</v>
      </c>
      <c r="AC118" s="21" t="s">
        <v>1117</v>
      </c>
      <c r="AD118" s="21" t="s">
        <v>1118</v>
      </c>
    </row>
    <row r="119" spans="1:30">
      <c r="A119" s="21">
        <v>211216</v>
      </c>
      <c r="B119" s="21" t="s">
        <v>726</v>
      </c>
      <c r="C119" s="21" t="s">
        <v>27</v>
      </c>
      <c r="D119" s="21" t="s">
        <v>727</v>
      </c>
      <c r="E119" s="21" t="s">
        <v>727</v>
      </c>
      <c r="F119" s="21" t="s">
        <v>727</v>
      </c>
      <c r="G119" s="21" t="s">
        <v>747</v>
      </c>
      <c r="H119" s="21" t="s">
        <v>17</v>
      </c>
      <c r="I119" s="21" t="s">
        <v>17</v>
      </c>
      <c r="J119" s="21" t="s">
        <v>17</v>
      </c>
      <c r="K119" s="21">
        <v>35</v>
      </c>
      <c r="L119" s="21" t="s">
        <v>730</v>
      </c>
      <c r="M119" s="21" t="s">
        <v>758</v>
      </c>
      <c r="N119" s="21" t="s">
        <v>758</v>
      </c>
      <c r="O119" s="21" t="s">
        <v>754</v>
      </c>
      <c r="P119" s="21" t="s">
        <v>17</v>
      </c>
      <c r="Q119" s="21" t="s">
        <v>17</v>
      </c>
      <c r="R119" s="21" t="s">
        <v>17</v>
      </c>
      <c r="S119" s="21" t="s">
        <v>17</v>
      </c>
      <c r="T119" s="21" t="s">
        <v>17</v>
      </c>
      <c r="U119" s="21" t="s">
        <v>17</v>
      </c>
      <c r="V119" s="21" t="s">
        <v>17</v>
      </c>
      <c r="W119" s="21" t="s">
        <v>17</v>
      </c>
      <c r="X119" s="21" t="s">
        <v>17</v>
      </c>
      <c r="Y119" s="21" t="s">
        <v>17</v>
      </c>
      <c r="Z119" s="21" t="s">
        <v>1119</v>
      </c>
      <c r="AA119" s="21" t="s">
        <v>252</v>
      </c>
      <c r="AB119" s="21" t="s">
        <v>740</v>
      </c>
      <c r="AC119" s="21" t="s">
        <v>1120</v>
      </c>
      <c r="AD119" s="21" t="s">
        <v>1121</v>
      </c>
    </row>
    <row r="120" spans="1:30">
      <c r="A120" s="21">
        <v>211214</v>
      </c>
      <c r="B120" s="21" t="s">
        <v>726</v>
      </c>
      <c r="C120" s="21" t="s">
        <v>27</v>
      </c>
      <c r="D120" s="21" t="s">
        <v>727</v>
      </c>
      <c r="E120" s="21" t="s">
        <v>727</v>
      </c>
      <c r="F120" s="21" t="s">
        <v>727</v>
      </c>
      <c r="G120" s="21" t="s">
        <v>747</v>
      </c>
      <c r="H120" s="21" t="s">
        <v>17</v>
      </c>
      <c r="I120" s="21" t="s">
        <v>17</v>
      </c>
      <c r="J120" s="21" t="s">
        <v>17</v>
      </c>
      <c r="K120" s="21">
        <v>35</v>
      </c>
      <c r="L120" s="21" t="s">
        <v>730</v>
      </c>
      <c r="M120" s="21" t="s">
        <v>758</v>
      </c>
      <c r="N120" s="21" t="s">
        <v>748</v>
      </c>
      <c r="O120" s="21" t="s">
        <v>754</v>
      </c>
      <c r="P120" s="21" t="s">
        <v>17</v>
      </c>
      <c r="Q120" s="21" t="s">
        <v>17</v>
      </c>
      <c r="R120" s="21" t="s">
        <v>17</v>
      </c>
      <c r="S120" s="21" t="s">
        <v>17</v>
      </c>
      <c r="T120" s="21" t="s">
        <v>17</v>
      </c>
      <c r="U120" s="21" t="s">
        <v>17</v>
      </c>
      <c r="V120" s="21" t="s">
        <v>17</v>
      </c>
      <c r="W120" s="21" t="s">
        <v>17</v>
      </c>
      <c r="X120" s="21" t="s">
        <v>17</v>
      </c>
      <c r="Y120" s="21" t="s">
        <v>17</v>
      </c>
      <c r="Z120" s="21" t="s">
        <v>1119</v>
      </c>
      <c r="AA120" s="21" t="s">
        <v>254</v>
      </c>
      <c r="AB120" s="21" t="s">
        <v>740</v>
      </c>
      <c r="AC120" s="21" t="s">
        <v>1120</v>
      </c>
      <c r="AD120" s="21" t="s">
        <v>1121</v>
      </c>
    </row>
    <row r="121" spans="1:30">
      <c r="A121" s="21">
        <v>211213</v>
      </c>
      <c r="B121" s="21" t="s">
        <v>726</v>
      </c>
      <c r="C121" s="21" t="s">
        <v>27</v>
      </c>
      <c r="D121" s="21" t="s">
        <v>752</v>
      </c>
      <c r="E121" s="21" t="s">
        <v>727</v>
      </c>
      <c r="F121" s="21" t="s">
        <v>727</v>
      </c>
      <c r="G121" s="21" t="s">
        <v>747</v>
      </c>
      <c r="H121" s="21" t="s">
        <v>17</v>
      </c>
      <c r="I121" s="21" t="s">
        <v>17</v>
      </c>
      <c r="J121" s="21" t="s">
        <v>17</v>
      </c>
      <c r="K121" s="21">
        <v>15</v>
      </c>
      <c r="L121" s="21" t="s">
        <v>956</v>
      </c>
      <c r="M121" s="21" t="s">
        <v>758</v>
      </c>
      <c r="N121" s="21" t="s">
        <v>748</v>
      </c>
      <c r="O121" s="21" t="s">
        <v>754</v>
      </c>
      <c r="P121" s="21" t="s">
        <v>17</v>
      </c>
      <c r="Q121" s="21" t="s">
        <v>17</v>
      </c>
      <c r="R121" s="21" t="s">
        <v>17</v>
      </c>
      <c r="S121" s="21" t="s">
        <v>256</v>
      </c>
      <c r="T121" s="21" t="s">
        <v>17</v>
      </c>
      <c r="U121" s="21" t="s">
        <v>17</v>
      </c>
      <c r="V121" s="21" t="s">
        <v>17</v>
      </c>
      <c r="W121" s="21" t="s">
        <v>17</v>
      </c>
      <c r="X121" s="21" t="s">
        <v>17</v>
      </c>
      <c r="Y121" s="21" t="s">
        <v>17</v>
      </c>
      <c r="Z121" s="21" t="s">
        <v>1122</v>
      </c>
      <c r="AA121" s="21" t="s">
        <v>255</v>
      </c>
      <c r="AB121" s="21" t="s">
        <v>796</v>
      </c>
      <c r="AC121" s="21" t="s">
        <v>1123</v>
      </c>
      <c r="AD121" s="21" t="s">
        <v>1124</v>
      </c>
    </row>
    <row r="122" spans="1:30">
      <c r="A122" s="21">
        <v>211212</v>
      </c>
      <c r="B122" s="21" t="s">
        <v>726</v>
      </c>
      <c r="C122" s="21" t="s">
        <v>27</v>
      </c>
      <c r="D122" s="21" t="s">
        <v>727</v>
      </c>
      <c r="E122" s="21" t="s">
        <v>727</v>
      </c>
      <c r="F122" s="21" t="s">
        <v>727</v>
      </c>
      <c r="G122" s="21" t="s">
        <v>747</v>
      </c>
      <c r="H122" s="21" t="s">
        <v>17</v>
      </c>
      <c r="I122" s="21" t="s">
        <v>17</v>
      </c>
      <c r="J122" s="21" t="s">
        <v>17</v>
      </c>
      <c r="K122" s="21">
        <v>35</v>
      </c>
      <c r="L122" s="21" t="s">
        <v>730</v>
      </c>
      <c r="M122" s="21" t="s">
        <v>758</v>
      </c>
      <c r="N122" s="21" t="s">
        <v>748</v>
      </c>
      <c r="O122" s="21" t="s">
        <v>754</v>
      </c>
      <c r="P122" s="21" t="s">
        <v>17</v>
      </c>
      <c r="Q122" s="21" t="s">
        <v>17</v>
      </c>
      <c r="R122" s="21" t="s">
        <v>17</v>
      </c>
      <c r="S122" s="21" t="s">
        <v>17</v>
      </c>
      <c r="T122" s="21" t="s">
        <v>17</v>
      </c>
      <c r="U122" s="21" t="s">
        <v>17</v>
      </c>
      <c r="V122" s="21" t="s">
        <v>17</v>
      </c>
      <c r="W122" s="21" t="s">
        <v>17</v>
      </c>
      <c r="X122" s="21" t="s">
        <v>17</v>
      </c>
      <c r="Y122" s="21" t="s">
        <v>17</v>
      </c>
      <c r="Z122" s="21" t="s">
        <v>1125</v>
      </c>
      <c r="AA122" s="21" t="s">
        <v>258</v>
      </c>
      <c r="AB122" s="21" t="s">
        <v>740</v>
      </c>
      <c r="AC122" s="21" t="s">
        <v>1126</v>
      </c>
      <c r="AD122" s="21" t="s">
        <v>1127</v>
      </c>
    </row>
    <row r="123" spans="1:30">
      <c r="A123" s="21">
        <v>211211</v>
      </c>
      <c r="B123" s="21" t="s">
        <v>726</v>
      </c>
      <c r="C123" s="21" t="s">
        <v>27</v>
      </c>
      <c r="D123" s="21" t="s">
        <v>727</v>
      </c>
      <c r="E123" s="21" t="s">
        <v>955</v>
      </c>
      <c r="F123" s="21" t="s">
        <v>727</v>
      </c>
      <c r="G123" s="21" t="s">
        <v>747</v>
      </c>
      <c r="H123" s="21" t="s">
        <v>17</v>
      </c>
      <c r="I123" s="21" t="s">
        <v>17</v>
      </c>
      <c r="J123" s="21" t="s">
        <v>17</v>
      </c>
      <c r="K123" s="21">
        <v>28</v>
      </c>
      <c r="L123" s="21" t="s">
        <v>730</v>
      </c>
      <c r="M123" s="21" t="s">
        <v>1040</v>
      </c>
      <c r="N123" s="21" t="s">
        <v>748</v>
      </c>
      <c r="O123" s="21" t="s">
        <v>754</v>
      </c>
      <c r="P123" s="21" t="s">
        <v>17</v>
      </c>
      <c r="Q123" s="21" t="s">
        <v>17</v>
      </c>
      <c r="R123" s="21" t="s">
        <v>17</v>
      </c>
      <c r="S123" s="21" t="s">
        <v>17</v>
      </c>
      <c r="T123" s="21" t="s">
        <v>17</v>
      </c>
      <c r="U123" s="21" t="s">
        <v>17</v>
      </c>
      <c r="V123" s="21" t="s">
        <v>17</v>
      </c>
      <c r="W123" s="21" t="s">
        <v>17</v>
      </c>
      <c r="X123" s="21" t="s">
        <v>17</v>
      </c>
      <c r="Y123" s="21" t="s">
        <v>17</v>
      </c>
      <c r="Z123" s="21" t="s">
        <v>1128</v>
      </c>
      <c r="AA123" s="21" t="s">
        <v>260</v>
      </c>
      <c r="AB123" s="21" t="s">
        <v>740</v>
      </c>
      <c r="AC123" s="21" t="s">
        <v>1129</v>
      </c>
      <c r="AD123" s="21" t="s">
        <v>1130</v>
      </c>
    </row>
    <row r="124" spans="1:30">
      <c r="A124" s="21">
        <v>211210</v>
      </c>
      <c r="B124" s="21" t="s">
        <v>726</v>
      </c>
      <c r="C124" s="21" t="s">
        <v>27</v>
      </c>
      <c r="D124" s="21" t="s">
        <v>727</v>
      </c>
      <c r="E124" s="21" t="s">
        <v>727</v>
      </c>
      <c r="F124" s="21" t="s">
        <v>727</v>
      </c>
      <c r="G124" s="21" t="s">
        <v>747</v>
      </c>
      <c r="H124" s="21" t="s">
        <v>17</v>
      </c>
      <c r="I124" s="21" t="s">
        <v>17</v>
      </c>
      <c r="J124" s="21" t="s">
        <v>17</v>
      </c>
      <c r="K124" s="21">
        <v>35</v>
      </c>
      <c r="L124" s="21" t="s">
        <v>730</v>
      </c>
      <c r="M124" s="21" t="s">
        <v>758</v>
      </c>
      <c r="N124" s="21" t="s">
        <v>748</v>
      </c>
      <c r="O124" s="21" t="s">
        <v>754</v>
      </c>
      <c r="P124" s="21" t="s">
        <v>17</v>
      </c>
      <c r="Q124" s="21" t="s">
        <v>17</v>
      </c>
      <c r="R124" s="21" t="s">
        <v>17</v>
      </c>
      <c r="S124" s="21" t="s">
        <v>17</v>
      </c>
      <c r="T124" s="21" t="s">
        <v>17</v>
      </c>
      <c r="U124" s="21" t="s">
        <v>17</v>
      </c>
      <c r="V124" s="21" t="s">
        <v>17</v>
      </c>
      <c r="W124" s="21" t="s">
        <v>17</v>
      </c>
      <c r="X124" s="21" t="s">
        <v>17</v>
      </c>
      <c r="Y124" s="21" t="s">
        <v>17</v>
      </c>
      <c r="Z124" s="21" t="s">
        <v>1131</v>
      </c>
      <c r="AA124" s="21" t="s">
        <v>262</v>
      </c>
      <c r="AB124" s="21" t="s">
        <v>740</v>
      </c>
      <c r="AC124" s="21" t="s">
        <v>1132</v>
      </c>
      <c r="AD124" s="21" t="s">
        <v>1133</v>
      </c>
    </row>
    <row r="125" spans="1:30">
      <c r="A125" s="21">
        <v>211209</v>
      </c>
      <c r="B125" s="21" t="s">
        <v>726</v>
      </c>
      <c r="C125" s="21" t="s">
        <v>27</v>
      </c>
      <c r="D125" s="21" t="s">
        <v>727</v>
      </c>
      <c r="E125" s="21" t="s">
        <v>727</v>
      </c>
      <c r="F125" s="21" t="s">
        <v>727</v>
      </c>
      <c r="G125" s="21" t="s">
        <v>747</v>
      </c>
      <c r="H125" s="21" t="s">
        <v>17</v>
      </c>
      <c r="I125" s="21" t="s">
        <v>17</v>
      </c>
      <c r="J125" s="21" t="s">
        <v>17</v>
      </c>
      <c r="K125" s="21">
        <v>35</v>
      </c>
      <c r="L125" s="21" t="s">
        <v>730</v>
      </c>
      <c r="M125" s="21" t="s">
        <v>758</v>
      </c>
      <c r="N125" s="21" t="s">
        <v>748</v>
      </c>
      <c r="O125" s="21" t="s">
        <v>754</v>
      </c>
      <c r="P125" s="21" t="s">
        <v>17</v>
      </c>
      <c r="Q125" s="21" t="s">
        <v>17</v>
      </c>
      <c r="R125" s="21" t="s">
        <v>17</v>
      </c>
      <c r="S125" s="21" t="s">
        <v>17</v>
      </c>
      <c r="T125" s="21" t="s">
        <v>17</v>
      </c>
      <c r="U125" s="21" t="s">
        <v>17</v>
      </c>
      <c r="V125" s="21" t="s">
        <v>17</v>
      </c>
      <c r="W125" s="21" t="s">
        <v>17</v>
      </c>
      <c r="X125" s="21" t="s">
        <v>17</v>
      </c>
      <c r="Y125" s="21" t="s">
        <v>17</v>
      </c>
      <c r="Z125" s="21" t="s">
        <v>1134</v>
      </c>
      <c r="AA125" s="21" t="s">
        <v>264</v>
      </c>
      <c r="AB125" s="21" t="s">
        <v>740</v>
      </c>
      <c r="AC125" s="21" t="s">
        <v>1135</v>
      </c>
      <c r="AD125" s="21" t="s">
        <v>1136</v>
      </c>
    </row>
    <row r="126" spans="1:30">
      <c r="A126" s="21">
        <v>211208</v>
      </c>
      <c r="B126" s="21" t="s">
        <v>726</v>
      </c>
      <c r="C126" s="21" t="s">
        <v>27</v>
      </c>
      <c r="D126" s="21" t="s">
        <v>727</v>
      </c>
      <c r="E126" s="21" t="s">
        <v>727</v>
      </c>
      <c r="F126" s="21" t="s">
        <v>727</v>
      </c>
      <c r="G126" s="21" t="s">
        <v>747</v>
      </c>
      <c r="H126" s="21" t="s">
        <v>17</v>
      </c>
      <c r="I126" s="21" t="s">
        <v>17</v>
      </c>
      <c r="J126" s="21" t="s">
        <v>17</v>
      </c>
      <c r="K126" s="21">
        <v>35</v>
      </c>
      <c r="L126" s="21" t="s">
        <v>730</v>
      </c>
      <c r="M126" s="21" t="s">
        <v>758</v>
      </c>
      <c r="N126" s="21" t="s">
        <v>748</v>
      </c>
      <c r="O126" s="21" t="s">
        <v>754</v>
      </c>
      <c r="P126" s="21" t="s">
        <v>17</v>
      </c>
      <c r="Q126" s="21" t="s">
        <v>17</v>
      </c>
      <c r="R126" s="21" t="s">
        <v>17</v>
      </c>
      <c r="S126" s="21" t="s">
        <v>17</v>
      </c>
      <c r="T126" s="21" t="s">
        <v>17</v>
      </c>
      <c r="U126" s="21" t="s">
        <v>17</v>
      </c>
      <c r="V126" s="21" t="s">
        <v>17</v>
      </c>
      <c r="W126" s="21" t="s">
        <v>17</v>
      </c>
      <c r="X126" s="21" t="s">
        <v>17</v>
      </c>
      <c r="Y126" s="21" t="s">
        <v>17</v>
      </c>
      <c r="Z126" s="21" t="s">
        <v>1134</v>
      </c>
      <c r="AA126" s="21" t="s">
        <v>266</v>
      </c>
      <c r="AB126" s="21" t="s">
        <v>1137</v>
      </c>
      <c r="AC126" s="21" t="s">
        <v>1138</v>
      </c>
      <c r="AD126" s="21" t="s">
        <v>1139</v>
      </c>
    </row>
    <row r="127" spans="1:30">
      <c r="A127" s="21">
        <v>211207</v>
      </c>
      <c r="B127" s="21" t="s">
        <v>726</v>
      </c>
      <c r="C127" s="21" t="s">
        <v>27</v>
      </c>
      <c r="D127" s="21" t="s">
        <v>727</v>
      </c>
      <c r="E127" s="21" t="s">
        <v>747</v>
      </c>
      <c r="F127" s="21" t="s">
        <v>727</v>
      </c>
      <c r="G127" s="21" t="s">
        <v>747</v>
      </c>
      <c r="H127" s="21" t="s">
        <v>17</v>
      </c>
      <c r="I127" s="21" t="s">
        <v>17</v>
      </c>
      <c r="J127" s="21" t="s">
        <v>17</v>
      </c>
      <c r="K127" s="21">
        <v>30</v>
      </c>
      <c r="L127" s="21" t="s">
        <v>730</v>
      </c>
      <c r="M127" s="21" t="s">
        <v>730</v>
      </c>
      <c r="N127" s="21" t="s">
        <v>748</v>
      </c>
      <c r="O127" s="21" t="s">
        <v>754</v>
      </c>
      <c r="P127" s="21" t="s">
        <v>17</v>
      </c>
      <c r="Q127" s="21" t="s">
        <v>17</v>
      </c>
      <c r="R127" s="21" t="s">
        <v>17</v>
      </c>
      <c r="S127" s="21" t="s">
        <v>17</v>
      </c>
      <c r="T127" s="21" t="s">
        <v>17</v>
      </c>
      <c r="U127" s="21" t="s">
        <v>17</v>
      </c>
      <c r="V127" s="21" t="s">
        <v>17</v>
      </c>
      <c r="W127" s="21" t="s">
        <v>17</v>
      </c>
      <c r="X127" s="21" t="s">
        <v>17</v>
      </c>
      <c r="Y127" s="21" t="s">
        <v>17</v>
      </c>
      <c r="Z127" s="21" t="s">
        <v>1134</v>
      </c>
      <c r="AA127" s="21" t="s">
        <v>267</v>
      </c>
      <c r="AB127" s="21" t="s">
        <v>740</v>
      </c>
      <c r="AC127" s="21" t="s">
        <v>1140</v>
      </c>
      <c r="AD127" s="21" t="s">
        <v>1141</v>
      </c>
    </row>
    <row r="128" spans="1:30">
      <c r="A128" s="21">
        <v>211206</v>
      </c>
      <c r="B128" s="21" t="s">
        <v>726</v>
      </c>
      <c r="C128" s="21" t="s">
        <v>27</v>
      </c>
      <c r="D128" s="21" t="s">
        <v>727</v>
      </c>
      <c r="E128" s="21" t="s">
        <v>747</v>
      </c>
      <c r="F128" s="21" t="s">
        <v>727</v>
      </c>
      <c r="G128" s="21" t="s">
        <v>747</v>
      </c>
      <c r="H128" s="21" t="s">
        <v>17</v>
      </c>
      <c r="I128" s="21" t="s">
        <v>17</v>
      </c>
      <c r="J128" s="21" t="s">
        <v>17</v>
      </c>
      <c r="K128" s="21">
        <v>30</v>
      </c>
      <c r="L128" s="21" t="s">
        <v>730</v>
      </c>
      <c r="M128" s="21" t="s">
        <v>730</v>
      </c>
      <c r="N128" s="21" t="s">
        <v>748</v>
      </c>
      <c r="O128" s="21" t="s">
        <v>754</v>
      </c>
      <c r="P128" s="21" t="s">
        <v>17</v>
      </c>
      <c r="Q128" s="21" t="s">
        <v>17</v>
      </c>
      <c r="R128" s="21" t="s">
        <v>17</v>
      </c>
      <c r="S128" s="21" t="s">
        <v>17</v>
      </c>
      <c r="T128" s="21" t="s">
        <v>17</v>
      </c>
      <c r="U128" s="21" t="s">
        <v>17</v>
      </c>
      <c r="V128" s="21" t="s">
        <v>17</v>
      </c>
      <c r="W128" s="21" t="s">
        <v>17</v>
      </c>
      <c r="X128" s="21" t="s">
        <v>17</v>
      </c>
      <c r="Y128" s="21" t="s">
        <v>17</v>
      </c>
      <c r="Z128" s="21" t="s">
        <v>1142</v>
      </c>
      <c r="AA128" s="21" t="s">
        <v>268</v>
      </c>
      <c r="AB128" s="21" t="s">
        <v>740</v>
      </c>
      <c r="AC128" s="21" t="s">
        <v>1143</v>
      </c>
      <c r="AD128" s="21" t="s">
        <v>1144</v>
      </c>
    </row>
    <row r="129" spans="1:30">
      <c r="A129" s="21">
        <v>211205</v>
      </c>
      <c r="B129" s="21" t="s">
        <v>726</v>
      </c>
      <c r="C129" s="21" t="s">
        <v>27</v>
      </c>
      <c r="D129" s="21" t="s">
        <v>727</v>
      </c>
      <c r="E129" s="21" t="s">
        <v>747</v>
      </c>
      <c r="F129" s="21" t="s">
        <v>727</v>
      </c>
      <c r="G129" s="21" t="s">
        <v>747</v>
      </c>
      <c r="H129" s="21" t="s">
        <v>17</v>
      </c>
      <c r="I129" s="21" t="s">
        <v>17</v>
      </c>
      <c r="J129" s="21" t="s">
        <v>17</v>
      </c>
      <c r="K129" s="21">
        <v>30</v>
      </c>
      <c r="L129" s="21" t="s">
        <v>730</v>
      </c>
      <c r="M129" s="21" t="s">
        <v>730</v>
      </c>
      <c r="N129" s="21" t="s">
        <v>748</v>
      </c>
      <c r="O129" s="21" t="s">
        <v>754</v>
      </c>
      <c r="P129" s="21" t="s">
        <v>17</v>
      </c>
      <c r="Q129" s="21" t="s">
        <v>17</v>
      </c>
      <c r="R129" s="21" t="s">
        <v>17</v>
      </c>
      <c r="S129" s="21" t="s">
        <v>17</v>
      </c>
      <c r="T129" s="21" t="s">
        <v>17</v>
      </c>
      <c r="U129" s="21" t="s">
        <v>17</v>
      </c>
      <c r="V129" s="21" t="s">
        <v>17</v>
      </c>
      <c r="W129" s="21" t="s">
        <v>17</v>
      </c>
      <c r="X129" s="21" t="s">
        <v>17</v>
      </c>
      <c r="Y129" s="21" t="s">
        <v>17</v>
      </c>
      <c r="Z129" s="21" t="s">
        <v>1142</v>
      </c>
      <c r="AA129" s="21" t="s">
        <v>270</v>
      </c>
      <c r="AB129" s="21" t="s">
        <v>879</v>
      </c>
      <c r="AC129" s="21" t="s">
        <v>1145</v>
      </c>
      <c r="AD129" s="21" t="s">
        <v>1146</v>
      </c>
    </row>
    <row r="130" spans="1:30">
      <c r="A130" s="21">
        <v>211204</v>
      </c>
      <c r="B130" s="21" t="s">
        <v>726</v>
      </c>
      <c r="C130" s="21" t="s">
        <v>27</v>
      </c>
      <c r="D130" s="21" t="s">
        <v>727</v>
      </c>
      <c r="E130" s="21" t="s">
        <v>727</v>
      </c>
      <c r="F130" s="21" t="s">
        <v>727</v>
      </c>
      <c r="G130" s="21" t="s">
        <v>747</v>
      </c>
      <c r="H130" s="21" t="s">
        <v>17</v>
      </c>
      <c r="I130" s="21" t="s">
        <v>17</v>
      </c>
      <c r="J130" s="21" t="s">
        <v>17</v>
      </c>
      <c r="K130" s="21">
        <v>35</v>
      </c>
      <c r="L130" s="21" t="s">
        <v>730</v>
      </c>
      <c r="M130" s="21" t="s">
        <v>758</v>
      </c>
      <c r="N130" s="21" t="s">
        <v>965</v>
      </c>
      <c r="O130" s="21" t="s">
        <v>754</v>
      </c>
      <c r="P130" s="21" t="s">
        <v>17</v>
      </c>
      <c r="Q130" s="21" t="s">
        <v>17</v>
      </c>
      <c r="R130" s="21" t="s">
        <v>17</v>
      </c>
      <c r="S130" s="21" t="s">
        <v>17</v>
      </c>
      <c r="T130" s="21" t="s">
        <v>17</v>
      </c>
      <c r="U130" s="21" t="s">
        <v>17</v>
      </c>
      <c r="V130" s="21" t="s">
        <v>17</v>
      </c>
      <c r="W130" s="21" t="s">
        <v>17</v>
      </c>
      <c r="X130" s="21" t="s">
        <v>17</v>
      </c>
      <c r="Y130" s="21" t="s">
        <v>17</v>
      </c>
      <c r="Z130" s="21" t="s">
        <v>1147</v>
      </c>
      <c r="AA130" s="21" t="s">
        <v>271</v>
      </c>
      <c r="AB130" s="21" t="s">
        <v>796</v>
      </c>
      <c r="AC130" s="21" t="s">
        <v>1148</v>
      </c>
      <c r="AD130" s="21" t="s">
        <v>1149</v>
      </c>
    </row>
    <row r="131" spans="1:30">
      <c r="A131" s="21">
        <v>211203</v>
      </c>
      <c r="B131" s="21" t="s">
        <v>726</v>
      </c>
      <c r="C131" s="21" t="s">
        <v>27</v>
      </c>
      <c r="D131" s="21" t="s">
        <v>727</v>
      </c>
      <c r="E131" s="21" t="s">
        <v>727</v>
      </c>
      <c r="F131" s="21" t="s">
        <v>727</v>
      </c>
      <c r="G131" s="21" t="s">
        <v>747</v>
      </c>
      <c r="H131" s="21" t="s">
        <v>17</v>
      </c>
      <c r="I131" s="21" t="s">
        <v>17</v>
      </c>
      <c r="J131" s="21" t="s">
        <v>17</v>
      </c>
      <c r="K131" s="21">
        <v>35</v>
      </c>
      <c r="L131" s="21" t="s">
        <v>730</v>
      </c>
      <c r="M131" s="21" t="s">
        <v>758</v>
      </c>
      <c r="N131" s="21" t="s">
        <v>748</v>
      </c>
      <c r="O131" s="21" t="s">
        <v>754</v>
      </c>
      <c r="P131" s="21" t="s">
        <v>17</v>
      </c>
      <c r="Q131" s="21" t="s">
        <v>17</v>
      </c>
      <c r="R131" s="21" t="s">
        <v>17</v>
      </c>
      <c r="S131" s="21" t="s">
        <v>17</v>
      </c>
      <c r="T131" s="21" t="s">
        <v>17</v>
      </c>
      <c r="U131" s="21" t="s">
        <v>17</v>
      </c>
      <c r="V131" s="21" t="s">
        <v>17</v>
      </c>
      <c r="W131" s="21" t="s">
        <v>17</v>
      </c>
      <c r="X131" s="21" t="s">
        <v>17</v>
      </c>
      <c r="Y131" s="21" t="s">
        <v>17</v>
      </c>
      <c r="Z131" s="21" t="s">
        <v>1150</v>
      </c>
      <c r="AA131" s="21" t="s">
        <v>273</v>
      </c>
      <c r="AB131" s="21" t="s">
        <v>740</v>
      </c>
      <c r="AC131" s="21" t="s">
        <v>1151</v>
      </c>
      <c r="AD131" s="21" t="s">
        <v>1152</v>
      </c>
    </row>
    <row r="132" spans="1:30">
      <c r="A132" s="21">
        <v>211202</v>
      </c>
      <c r="B132" s="21" t="s">
        <v>726</v>
      </c>
      <c r="C132" s="21" t="s">
        <v>27</v>
      </c>
      <c r="D132" s="21" t="s">
        <v>727</v>
      </c>
      <c r="E132" s="21" t="s">
        <v>955</v>
      </c>
      <c r="F132" s="21" t="s">
        <v>727</v>
      </c>
      <c r="G132" s="21" t="s">
        <v>747</v>
      </c>
      <c r="H132" s="21" t="s">
        <v>17</v>
      </c>
      <c r="I132" s="21" t="s">
        <v>17</v>
      </c>
      <c r="J132" s="21" t="s">
        <v>17</v>
      </c>
      <c r="K132" s="21">
        <v>28</v>
      </c>
      <c r="L132" s="21" t="s">
        <v>730</v>
      </c>
      <c r="M132" s="21" t="s">
        <v>1040</v>
      </c>
      <c r="N132" s="21" t="s">
        <v>748</v>
      </c>
      <c r="O132" s="21" t="s">
        <v>754</v>
      </c>
      <c r="P132" s="21" t="s">
        <v>17</v>
      </c>
      <c r="Q132" s="21" t="s">
        <v>17</v>
      </c>
      <c r="R132" s="21" t="s">
        <v>17</v>
      </c>
      <c r="S132" s="21" t="s">
        <v>17</v>
      </c>
      <c r="T132" s="21" t="s">
        <v>17</v>
      </c>
      <c r="U132" s="21" t="s">
        <v>17</v>
      </c>
      <c r="V132" s="21" t="s">
        <v>17</v>
      </c>
      <c r="W132" s="21" t="s">
        <v>17</v>
      </c>
      <c r="X132" s="21" t="s">
        <v>17</v>
      </c>
      <c r="Y132" s="21" t="s">
        <v>17</v>
      </c>
      <c r="Z132" s="21" t="s">
        <v>1150</v>
      </c>
      <c r="AA132" s="21" t="s">
        <v>275</v>
      </c>
      <c r="AB132" s="21" t="s">
        <v>1153</v>
      </c>
      <c r="AC132" s="21" t="s">
        <v>1154</v>
      </c>
      <c r="AD132" s="21" t="s">
        <v>1155</v>
      </c>
    </row>
    <row r="133" spans="1:30">
      <c r="A133" s="21">
        <v>211201</v>
      </c>
      <c r="B133" s="21" t="s">
        <v>726</v>
      </c>
      <c r="C133" s="21" t="s">
        <v>27</v>
      </c>
      <c r="D133" s="21" t="s">
        <v>727</v>
      </c>
      <c r="E133" s="21" t="s">
        <v>727</v>
      </c>
      <c r="F133" s="21" t="s">
        <v>727</v>
      </c>
      <c r="G133" s="21" t="s">
        <v>747</v>
      </c>
      <c r="H133" s="21" t="s">
        <v>17</v>
      </c>
      <c r="I133" s="21" t="s">
        <v>17</v>
      </c>
      <c r="J133" s="21" t="s">
        <v>17</v>
      </c>
      <c r="K133" s="21">
        <v>35</v>
      </c>
      <c r="L133" s="21" t="s">
        <v>730</v>
      </c>
      <c r="M133" s="21" t="s">
        <v>758</v>
      </c>
      <c r="N133" s="21" t="s">
        <v>748</v>
      </c>
      <c r="O133" s="21" t="s">
        <v>754</v>
      </c>
      <c r="P133" s="21" t="s">
        <v>17</v>
      </c>
      <c r="Q133" s="21" t="s">
        <v>17</v>
      </c>
      <c r="R133" s="21" t="s">
        <v>17</v>
      </c>
      <c r="S133" s="21" t="s">
        <v>17</v>
      </c>
      <c r="T133" s="21" t="s">
        <v>17</v>
      </c>
      <c r="U133" s="21" t="s">
        <v>17</v>
      </c>
      <c r="V133" s="21" t="s">
        <v>17</v>
      </c>
      <c r="W133" s="21" t="s">
        <v>17</v>
      </c>
      <c r="X133" s="21" t="s">
        <v>17</v>
      </c>
      <c r="Y133" s="21" t="s">
        <v>17</v>
      </c>
      <c r="Z133" s="21" t="s">
        <v>1156</v>
      </c>
      <c r="AA133" s="21" t="s">
        <v>276</v>
      </c>
      <c r="AB133" s="21" t="s">
        <v>796</v>
      </c>
      <c r="AC133" s="21" t="s">
        <v>1157</v>
      </c>
      <c r="AD133" s="21" t="s">
        <v>1158</v>
      </c>
    </row>
    <row r="134" spans="1:30">
      <c r="A134" s="21">
        <v>211200</v>
      </c>
      <c r="B134" s="21" t="s">
        <v>726</v>
      </c>
      <c r="C134" s="21" t="s">
        <v>27</v>
      </c>
      <c r="D134" s="21" t="s">
        <v>727</v>
      </c>
      <c r="E134" s="21" t="s">
        <v>747</v>
      </c>
      <c r="F134" s="21" t="s">
        <v>727</v>
      </c>
      <c r="G134" s="21" t="s">
        <v>747</v>
      </c>
      <c r="H134" s="21" t="s">
        <v>17</v>
      </c>
      <c r="I134" s="21" t="s">
        <v>17</v>
      </c>
      <c r="J134" s="21" t="s">
        <v>17</v>
      </c>
      <c r="K134" s="21">
        <v>30</v>
      </c>
      <c r="L134" s="21" t="s">
        <v>730</v>
      </c>
      <c r="M134" s="21" t="s">
        <v>730</v>
      </c>
      <c r="N134" s="21" t="s">
        <v>748</v>
      </c>
      <c r="O134" s="21" t="s">
        <v>754</v>
      </c>
      <c r="P134" s="21" t="s">
        <v>17</v>
      </c>
      <c r="Q134" s="21" t="s">
        <v>17</v>
      </c>
      <c r="R134" s="21" t="s">
        <v>17</v>
      </c>
      <c r="S134" s="21" t="s">
        <v>17</v>
      </c>
      <c r="T134" s="21" t="s">
        <v>17</v>
      </c>
      <c r="U134" s="21" t="s">
        <v>17</v>
      </c>
      <c r="V134" s="21" t="s">
        <v>17</v>
      </c>
      <c r="W134" s="21" t="s">
        <v>17</v>
      </c>
      <c r="X134" s="21" t="s">
        <v>17</v>
      </c>
      <c r="Y134" s="21" t="s">
        <v>17</v>
      </c>
      <c r="Z134" s="21" t="s">
        <v>1156</v>
      </c>
      <c r="AA134" s="21" t="s">
        <v>278</v>
      </c>
      <c r="AB134" s="21" t="s">
        <v>774</v>
      </c>
      <c r="AC134" s="21" t="s">
        <v>1159</v>
      </c>
      <c r="AD134" s="21" t="s">
        <v>1160</v>
      </c>
    </row>
    <row r="135" spans="1:30">
      <c r="A135" s="21">
        <v>211199</v>
      </c>
      <c r="B135" s="21" t="s">
        <v>726</v>
      </c>
      <c r="C135" s="21" t="s">
        <v>27</v>
      </c>
      <c r="D135" s="21" t="s">
        <v>727</v>
      </c>
      <c r="E135" s="21" t="s">
        <v>727</v>
      </c>
      <c r="F135" s="21" t="s">
        <v>727</v>
      </c>
      <c r="G135" s="21" t="s">
        <v>747</v>
      </c>
      <c r="H135" s="21" t="s">
        <v>17</v>
      </c>
      <c r="I135" s="21" t="s">
        <v>17</v>
      </c>
      <c r="J135" s="21" t="s">
        <v>17</v>
      </c>
      <c r="K135" s="21">
        <v>35</v>
      </c>
      <c r="L135" s="21" t="s">
        <v>730</v>
      </c>
      <c r="M135" s="21" t="s">
        <v>758</v>
      </c>
      <c r="N135" s="21" t="s">
        <v>748</v>
      </c>
      <c r="O135" s="21" t="s">
        <v>754</v>
      </c>
      <c r="P135" s="21" t="s">
        <v>17</v>
      </c>
      <c r="Q135" s="21" t="s">
        <v>17</v>
      </c>
      <c r="R135" s="21" t="s">
        <v>17</v>
      </c>
      <c r="S135" s="21" t="s">
        <v>17</v>
      </c>
      <c r="T135" s="21" t="s">
        <v>17</v>
      </c>
      <c r="U135" s="21" t="s">
        <v>17</v>
      </c>
      <c r="V135" s="21" t="s">
        <v>17</v>
      </c>
      <c r="W135" s="21" t="s">
        <v>17</v>
      </c>
      <c r="X135" s="21" t="s">
        <v>17</v>
      </c>
      <c r="Y135" s="21" t="s">
        <v>17</v>
      </c>
      <c r="Z135" s="21" t="s">
        <v>1161</v>
      </c>
      <c r="AA135" s="21" t="s">
        <v>279</v>
      </c>
      <c r="AB135" s="21" t="s">
        <v>1162</v>
      </c>
      <c r="AC135" s="21" t="s">
        <v>1163</v>
      </c>
      <c r="AD135" s="21" t="s">
        <v>1164</v>
      </c>
    </row>
    <row r="136" spans="1:30">
      <c r="A136" s="21">
        <v>211198</v>
      </c>
      <c r="B136" s="21" t="s">
        <v>726</v>
      </c>
      <c r="C136" s="21" t="s">
        <v>27</v>
      </c>
      <c r="D136" s="21" t="s">
        <v>727</v>
      </c>
      <c r="E136" s="21" t="s">
        <v>727</v>
      </c>
      <c r="F136" s="21" t="s">
        <v>727</v>
      </c>
      <c r="G136" s="21" t="s">
        <v>747</v>
      </c>
      <c r="H136" s="21" t="s">
        <v>17</v>
      </c>
      <c r="I136" s="21" t="s">
        <v>17</v>
      </c>
      <c r="J136" s="21" t="s">
        <v>17</v>
      </c>
      <c r="K136" s="21">
        <v>35</v>
      </c>
      <c r="L136" s="21" t="s">
        <v>730</v>
      </c>
      <c r="M136" s="21" t="s">
        <v>758</v>
      </c>
      <c r="N136" s="21" t="s">
        <v>748</v>
      </c>
      <c r="O136" s="21" t="s">
        <v>754</v>
      </c>
      <c r="P136" s="21" t="s">
        <v>17</v>
      </c>
      <c r="Q136" s="21" t="s">
        <v>17</v>
      </c>
      <c r="R136" s="21" t="s">
        <v>17</v>
      </c>
      <c r="S136" s="21" t="s">
        <v>17</v>
      </c>
      <c r="T136" s="21" t="s">
        <v>17</v>
      </c>
      <c r="U136" s="21" t="s">
        <v>17</v>
      </c>
      <c r="V136" s="21" t="s">
        <v>17</v>
      </c>
      <c r="W136" s="21" t="s">
        <v>17</v>
      </c>
      <c r="X136" s="21" t="s">
        <v>17</v>
      </c>
      <c r="Y136" s="21" t="s">
        <v>17</v>
      </c>
      <c r="Z136" s="21" t="s">
        <v>1165</v>
      </c>
      <c r="AA136" s="21" t="s">
        <v>281</v>
      </c>
      <c r="AB136" s="21" t="s">
        <v>740</v>
      </c>
      <c r="AC136" s="21" t="s">
        <v>1166</v>
      </c>
      <c r="AD136" s="21" t="s">
        <v>1167</v>
      </c>
    </row>
    <row r="137" spans="1:30">
      <c r="A137" s="21">
        <v>211197</v>
      </c>
      <c r="B137" s="21" t="s">
        <v>726</v>
      </c>
      <c r="C137" s="21" t="s">
        <v>27</v>
      </c>
      <c r="D137" s="21" t="s">
        <v>727</v>
      </c>
      <c r="E137" s="21" t="s">
        <v>727</v>
      </c>
      <c r="F137" s="21" t="s">
        <v>727</v>
      </c>
      <c r="G137" s="21" t="s">
        <v>747</v>
      </c>
      <c r="H137" s="21" t="s">
        <v>17</v>
      </c>
      <c r="I137" s="21" t="s">
        <v>17</v>
      </c>
      <c r="J137" s="21" t="s">
        <v>17</v>
      </c>
      <c r="K137" s="21">
        <v>35</v>
      </c>
      <c r="L137" s="21" t="s">
        <v>730</v>
      </c>
      <c r="M137" s="21" t="s">
        <v>758</v>
      </c>
      <c r="N137" s="21" t="s">
        <v>748</v>
      </c>
      <c r="O137" s="21" t="s">
        <v>754</v>
      </c>
      <c r="P137" s="21" t="s">
        <v>17</v>
      </c>
      <c r="Q137" s="21" t="s">
        <v>17</v>
      </c>
      <c r="R137" s="21" t="s">
        <v>17</v>
      </c>
      <c r="S137" s="21" t="s">
        <v>17</v>
      </c>
      <c r="T137" s="21" t="s">
        <v>17</v>
      </c>
      <c r="U137" s="21" t="s">
        <v>17</v>
      </c>
      <c r="V137" s="21" t="s">
        <v>17</v>
      </c>
      <c r="W137" s="21" t="s">
        <v>17</v>
      </c>
      <c r="X137" s="21" t="s">
        <v>17</v>
      </c>
      <c r="Y137" s="21" t="s">
        <v>17</v>
      </c>
      <c r="Z137" s="21" t="s">
        <v>1165</v>
      </c>
      <c r="AA137" s="21" t="s">
        <v>283</v>
      </c>
      <c r="AB137" s="21" t="s">
        <v>740</v>
      </c>
      <c r="AC137" s="21" t="s">
        <v>1168</v>
      </c>
      <c r="AD137" s="21" t="s">
        <v>1169</v>
      </c>
    </row>
    <row r="138" spans="1:30">
      <c r="A138" s="21">
        <v>211196</v>
      </c>
      <c r="B138" s="21" t="s">
        <v>726</v>
      </c>
      <c r="C138" s="21" t="s">
        <v>27</v>
      </c>
      <c r="D138" s="21" t="s">
        <v>727</v>
      </c>
      <c r="E138" s="21" t="s">
        <v>727</v>
      </c>
      <c r="F138" s="21" t="s">
        <v>727</v>
      </c>
      <c r="G138" s="21" t="s">
        <v>747</v>
      </c>
      <c r="H138" s="21" t="s">
        <v>17</v>
      </c>
      <c r="I138" s="21" t="s">
        <v>17</v>
      </c>
      <c r="J138" s="21" t="s">
        <v>17</v>
      </c>
      <c r="K138" s="21">
        <v>35</v>
      </c>
      <c r="L138" s="21" t="s">
        <v>730</v>
      </c>
      <c r="M138" s="21" t="s">
        <v>758</v>
      </c>
      <c r="N138" s="21" t="s">
        <v>748</v>
      </c>
      <c r="O138" s="21" t="s">
        <v>754</v>
      </c>
      <c r="P138" s="21" t="s">
        <v>17</v>
      </c>
      <c r="Q138" s="21" t="s">
        <v>17</v>
      </c>
      <c r="R138" s="21" t="s">
        <v>17</v>
      </c>
      <c r="S138" s="21" t="s">
        <v>17</v>
      </c>
      <c r="T138" s="21" t="s">
        <v>17</v>
      </c>
      <c r="U138" s="21" t="s">
        <v>17</v>
      </c>
      <c r="V138" s="21" t="s">
        <v>17</v>
      </c>
      <c r="W138" s="21" t="s">
        <v>17</v>
      </c>
      <c r="X138" s="21" t="s">
        <v>17</v>
      </c>
      <c r="Y138" s="21" t="s">
        <v>17</v>
      </c>
      <c r="Z138" s="21" t="s">
        <v>1165</v>
      </c>
      <c r="AA138" s="21" t="s">
        <v>284</v>
      </c>
      <c r="AB138" s="21" t="s">
        <v>796</v>
      </c>
      <c r="AC138" s="21" t="s">
        <v>1170</v>
      </c>
      <c r="AD138" s="21" t="s">
        <v>1171</v>
      </c>
    </row>
    <row r="139" spans="1:30">
      <c r="A139" s="21">
        <v>211195</v>
      </c>
      <c r="B139" s="21" t="s">
        <v>726</v>
      </c>
      <c r="C139" s="21" t="s">
        <v>27</v>
      </c>
      <c r="D139" s="21" t="s">
        <v>727</v>
      </c>
      <c r="E139" s="21" t="s">
        <v>727</v>
      </c>
      <c r="F139" s="21" t="s">
        <v>752</v>
      </c>
      <c r="G139" s="21" t="s">
        <v>747</v>
      </c>
      <c r="H139" s="21" t="s">
        <v>17</v>
      </c>
      <c r="I139" s="21" t="s">
        <v>17</v>
      </c>
      <c r="J139" s="21" t="s">
        <v>17</v>
      </c>
      <c r="K139" s="21">
        <v>15</v>
      </c>
      <c r="L139" s="21" t="s">
        <v>730</v>
      </c>
      <c r="M139" s="21" t="s">
        <v>730</v>
      </c>
      <c r="N139" s="21" t="s">
        <v>843</v>
      </c>
      <c r="O139" s="21" t="s">
        <v>754</v>
      </c>
      <c r="P139" s="21" t="s">
        <v>17</v>
      </c>
      <c r="Q139" s="21" t="s">
        <v>17</v>
      </c>
      <c r="R139" s="21" t="s">
        <v>17</v>
      </c>
      <c r="S139" s="21" t="s">
        <v>17</v>
      </c>
      <c r="T139" s="21" t="s">
        <v>17</v>
      </c>
      <c r="U139" s="21" t="s">
        <v>17</v>
      </c>
      <c r="V139" s="21" t="s">
        <v>17</v>
      </c>
      <c r="W139" s="21" t="s">
        <v>17</v>
      </c>
      <c r="X139" s="21" t="s">
        <v>17</v>
      </c>
      <c r="Y139" s="21" t="s">
        <v>17</v>
      </c>
      <c r="Z139" s="21" t="s">
        <v>1172</v>
      </c>
      <c r="AA139" s="21" t="s">
        <v>285</v>
      </c>
      <c r="AB139" s="21" t="s">
        <v>1173</v>
      </c>
      <c r="AC139" s="21" t="s">
        <v>1174</v>
      </c>
      <c r="AD139" s="21" t="s">
        <v>1175</v>
      </c>
    </row>
    <row r="140" spans="1:30">
      <c r="A140" s="21">
        <v>211194</v>
      </c>
      <c r="B140" s="21" t="s">
        <v>726</v>
      </c>
      <c r="C140" s="21" t="s">
        <v>27</v>
      </c>
      <c r="D140" s="21" t="s">
        <v>727</v>
      </c>
      <c r="E140" s="21" t="s">
        <v>727</v>
      </c>
      <c r="F140" s="21" t="s">
        <v>727</v>
      </c>
      <c r="G140" s="21" t="s">
        <v>747</v>
      </c>
      <c r="H140" s="21" t="s">
        <v>17</v>
      </c>
      <c r="I140" s="21" t="s">
        <v>17</v>
      </c>
      <c r="J140" s="21" t="s">
        <v>17</v>
      </c>
      <c r="K140" s="21">
        <v>35</v>
      </c>
      <c r="L140" s="21" t="s">
        <v>730</v>
      </c>
      <c r="M140" s="21" t="s">
        <v>758</v>
      </c>
      <c r="N140" s="21" t="s">
        <v>1176</v>
      </c>
      <c r="O140" s="21" t="s">
        <v>754</v>
      </c>
      <c r="P140" s="21" t="s">
        <v>17</v>
      </c>
      <c r="Q140" s="21" t="s">
        <v>17</v>
      </c>
      <c r="R140" s="21" t="s">
        <v>17</v>
      </c>
      <c r="S140" s="21" t="s">
        <v>17</v>
      </c>
      <c r="T140" s="21" t="s">
        <v>17</v>
      </c>
      <c r="U140" s="21" t="s">
        <v>17</v>
      </c>
      <c r="V140" s="21" t="s">
        <v>17</v>
      </c>
      <c r="W140" s="21" t="s">
        <v>17</v>
      </c>
      <c r="X140" s="21" t="s">
        <v>17</v>
      </c>
      <c r="Y140" s="21" t="s">
        <v>17</v>
      </c>
      <c r="Z140" s="21" t="s">
        <v>1172</v>
      </c>
      <c r="AA140" s="21" t="s">
        <v>287</v>
      </c>
      <c r="AB140" s="21" t="s">
        <v>774</v>
      </c>
      <c r="AC140" s="21" t="s">
        <v>1177</v>
      </c>
      <c r="AD140" s="21" t="s">
        <v>1178</v>
      </c>
    </row>
    <row r="141" spans="1:30">
      <c r="A141" s="21">
        <v>211193</v>
      </c>
      <c r="B141" s="21" t="s">
        <v>726</v>
      </c>
      <c r="C141" s="21" t="s">
        <v>27</v>
      </c>
      <c r="D141" s="21" t="s">
        <v>727</v>
      </c>
      <c r="E141" s="21" t="s">
        <v>747</v>
      </c>
      <c r="F141" s="21" t="s">
        <v>727</v>
      </c>
      <c r="G141" s="21" t="s">
        <v>747</v>
      </c>
      <c r="H141" s="21" t="s">
        <v>17</v>
      </c>
      <c r="I141" s="21" t="s">
        <v>17</v>
      </c>
      <c r="J141" s="21" t="s">
        <v>17</v>
      </c>
      <c r="K141" s="21">
        <v>30</v>
      </c>
      <c r="L141" s="21" t="s">
        <v>730</v>
      </c>
      <c r="M141" s="21" t="s">
        <v>730</v>
      </c>
      <c r="N141" s="21" t="s">
        <v>748</v>
      </c>
      <c r="O141" s="21" t="s">
        <v>754</v>
      </c>
      <c r="P141" s="21" t="s">
        <v>17</v>
      </c>
      <c r="Q141" s="21" t="s">
        <v>17</v>
      </c>
      <c r="R141" s="21" t="s">
        <v>17</v>
      </c>
      <c r="S141" s="21" t="s">
        <v>17</v>
      </c>
      <c r="T141" s="21" t="s">
        <v>17</v>
      </c>
      <c r="U141" s="21" t="s">
        <v>17</v>
      </c>
      <c r="V141" s="21" t="s">
        <v>17</v>
      </c>
      <c r="W141" s="21" t="s">
        <v>17</v>
      </c>
      <c r="X141" s="21" t="s">
        <v>17</v>
      </c>
      <c r="Y141" s="21" t="s">
        <v>17</v>
      </c>
      <c r="Z141" s="21" t="s">
        <v>1179</v>
      </c>
      <c r="AA141" s="21" t="s">
        <v>288</v>
      </c>
      <c r="AB141" s="21" t="s">
        <v>740</v>
      </c>
      <c r="AC141" s="21" t="s">
        <v>1180</v>
      </c>
      <c r="AD141" s="21" t="s">
        <v>1181</v>
      </c>
    </row>
    <row r="142" spans="1:30">
      <c r="A142" s="21">
        <v>211192</v>
      </c>
      <c r="B142" s="21" t="s">
        <v>726</v>
      </c>
      <c r="C142" s="21" t="s">
        <v>27</v>
      </c>
      <c r="D142" s="21" t="s">
        <v>727</v>
      </c>
      <c r="E142" s="21" t="s">
        <v>727</v>
      </c>
      <c r="F142" s="21" t="s">
        <v>727</v>
      </c>
      <c r="G142" s="21" t="s">
        <v>747</v>
      </c>
      <c r="H142" s="21" t="s">
        <v>17</v>
      </c>
      <c r="I142" s="21" t="s">
        <v>17</v>
      </c>
      <c r="J142" s="21" t="s">
        <v>17</v>
      </c>
      <c r="K142" s="21">
        <v>35</v>
      </c>
      <c r="L142" s="21" t="s">
        <v>730</v>
      </c>
      <c r="M142" s="21" t="s">
        <v>758</v>
      </c>
      <c r="N142" s="21" t="s">
        <v>748</v>
      </c>
      <c r="O142" s="21" t="s">
        <v>754</v>
      </c>
      <c r="P142" s="21" t="s">
        <v>17</v>
      </c>
      <c r="Q142" s="21" t="s">
        <v>17</v>
      </c>
      <c r="R142" s="21" t="s">
        <v>17</v>
      </c>
      <c r="S142" s="21" t="s">
        <v>17</v>
      </c>
      <c r="T142" s="21" t="s">
        <v>17</v>
      </c>
      <c r="U142" s="21" t="s">
        <v>17</v>
      </c>
      <c r="V142" s="21" t="s">
        <v>17</v>
      </c>
      <c r="W142" s="21" t="s">
        <v>17</v>
      </c>
      <c r="X142" s="21" t="s">
        <v>17</v>
      </c>
      <c r="Y142" s="21" t="s">
        <v>17</v>
      </c>
      <c r="Z142" s="21" t="s">
        <v>1179</v>
      </c>
      <c r="AA142" s="21" t="s">
        <v>290</v>
      </c>
      <c r="AB142" s="21" t="s">
        <v>796</v>
      </c>
      <c r="AC142" s="21" t="s">
        <v>1182</v>
      </c>
      <c r="AD142" s="21" t="s">
        <v>1183</v>
      </c>
    </row>
    <row r="143" spans="1:30">
      <c r="A143" s="21">
        <v>211191</v>
      </c>
      <c r="B143" s="21" t="s">
        <v>726</v>
      </c>
      <c r="C143" s="21" t="s">
        <v>27</v>
      </c>
      <c r="D143" s="21" t="s">
        <v>727</v>
      </c>
      <c r="E143" s="21" t="s">
        <v>747</v>
      </c>
      <c r="F143" s="21" t="s">
        <v>727</v>
      </c>
      <c r="G143" s="21" t="s">
        <v>747</v>
      </c>
      <c r="H143" s="21" t="s">
        <v>17</v>
      </c>
      <c r="I143" s="21" t="s">
        <v>17</v>
      </c>
      <c r="J143" s="21" t="s">
        <v>17</v>
      </c>
      <c r="K143" s="21">
        <v>30</v>
      </c>
      <c r="L143" s="21" t="s">
        <v>730</v>
      </c>
      <c r="M143" s="21" t="s">
        <v>730</v>
      </c>
      <c r="N143" s="21" t="s">
        <v>748</v>
      </c>
      <c r="O143" s="21" t="s">
        <v>754</v>
      </c>
      <c r="P143" s="21" t="s">
        <v>17</v>
      </c>
      <c r="Q143" s="21" t="s">
        <v>17</v>
      </c>
      <c r="R143" s="21" t="s">
        <v>17</v>
      </c>
      <c r="S143" s="21" t="s">
        <v>17</v>
      </c>
      <c r="T143" s="21" t="s">
        <v>17</v>
      </c>
      <c r="U143" s="21" t="s">
        <v>17</v>
      </c>
      <c r="V143" s="21" t="s">
        <v>17</v>
      </c>
      <c r="W143" s="21" t="s">
        <v>17</v>
      </c>
      <c r="X143" s="21" t="s">
        <v>17</v>
      </c>
      <c r="Y143" s="21" t="s">
        <v>17</v>
      </c>
      <c r="Z143" s="21" t="s">
        <v>1179</v>
      </c>
      <c r="AA143" s="21" t="s">
        <v>291</v>
      </c>
      <c r="AB143" s="21" t="s">
        <v>740</v>
      </c>
      <c r="AC143" s="21" t="s">
        <v>1184</v>
      </c>
      <c r="AD143" s="21" t="s">
        <v>1185</v>
      </c>
    </row>
    <row r="144" spans="1:30">
      <c r="A144" s="21">
        <v>211190</v>
      </c>
      <c r="B144" s="21" t="s">
        <v>726</v>
      </c>
      <c r="C144" s="21" t="s">
        <v>27</v>
      </c>
      <c r="D144" s="21" t="s">
        <v>727</v>
      </c>
      <c r="E144" s="21" t="s">
        <v>727</v>
      </c>
      <c r="F144" s="21" t="s">
        <v>727</v>
      </c>
      <c r="G144" s="21" t="s">
        <v>955</v>
      </c>
      <c r="H144" s="21" t="s">
        <v>17</v>
      </c>
      <c r="I144" s="21" t="s">
        <v>17</v>
      </c>
      <c r="J144" s="21" t="s">
        <v>17</v>
      </c>
      <c r="K144" s="21">
        <v>33</v>
      </c>
      <c r="L144" s="21" t="s">
        <v>730</v>
      </c>
      <c r="M144" s="21" t="s">
        <v>758</v>
      </c>
      <c r="N144" s="21" t="s">
        <v>748</v>
      </c>
      <c r="O144" s="21" t="s">
        <v>957</v>
      </c>
      <c r="P144" s="21" t="s">
        <v>17</v>
      </c>
      <c r="Q144" s="21" t="s">
        <v>17</v>
      </c>
      <c r="R144" s="21" t="s">
        <v>17</v>
      </c>
      <c r="S144" s="21" t="s">
        <v>17</v>
      </c>
      <c r="T144" s="21" t="s">
        <v>17</v>
      </c>
      <c r="U144" s="21" t="s">
        <v>17</v>
      </c>
      <c r="V144" s="21" t="s">
        <v>17</v>
      </c>
      <c r="W144" s="21" t="s">
        <v>17</v>
      </c>
      <c r="X144" s="21" t="s">
        <v>17</v>
      </c>
      <c r="Y144" s="21" t="s">
        <v>17</v>
      </c>
      <c r="Z144" s="21" t="s">
        <v>1179</v>
      </c>
      <c r="AA144" s="21" t="s">
        <v>292</v>
      </c>
      <c r="AB144" s="21" t="s">
        <v>959</v>
      </c>
      <c r="AC144" s="21" t="s">
        <v>1186</v>
      </c>
      <c r="AD144" s="21" t="s">
        <v>1187</v>
      </c>
    </row>
    <row r="145" spans="1:30">
      <c r="A145" s="21">
        <v>211189</v>
      </c>
      <c r="B145" s="21" t="s">
        <v>726</v>
      </c>
      <c r="C145" s="21" t="s">
        <v>27</v>
      </c>
      <c r="D145" s="21" t="s">
        <v>727</v>
      </c>
      <c r="E145" s="21" t="s">
        <v>727</v>
      </c>
      <c r="F145" s="21" t="s">
        <v>727</v>
      </c>
      <c r="G145" s="21" t="s">
        <v>747</v>
      </c>
      <c r="H145" s="21" t="s">
        <v>17</v>
      </c>
      <c r="I145" s="21" t="s">
        <v>17</v>
      </c>
      <c r="J145" s="21" t="s">
        <v>17</v>
      </c>
      <c r="K145" s="21">
        <v>35</v>
      </c>
      <c r="L145" s="21" t="s">
        <v>730</v>
      </c>
      <c r="M145" s="21" t="s">
        <v>758</v>
      </c>
      <c r="N145" s="21" t="s">
        <v>748</v>
      </c>
      <c r="O145" s="21" t="s">
        <v>754</v>
      </c>
      <c r="P145" s="21" t="s">
        <v>17</v>
      </c>
      <c r="Q145" s="21" t="s">
        <v>17</v>
      </c>
      <c r="R145" s="21" t="s">
        <v>17</v>
      </c>
      <c r="S145" s="21" t="s">
        <v>17</v>
      </c>
      <c r="T145" s="21" t="s">
        <v>17</v>
      </c>
      <c r="U145" s="21" t="s">
        <v>17</v>
      </c>
      <c r="V145" s="21" t="s">
        <v>17</v>
      </c>
      <c r="W145" s="21" t="s">
        <v>17</v>
      </c>
      <c r="X145" s="21" t="s">
        <v>17</v>
      </c>
      <c r="Y145" s="21" t="s">
        <v>17</v>
      </c>
      <c r="Z145" s="21" t="s">
        <v>1179</v>
      </c>
      <c r="AA145" s="21" t="s">
        <v>293</v>
      </c>
      <c r="AB145" s="21" t="s">
        <v>740</v>
      </c>
      <c r="AC145" s="21" t="s">
        <v>1188</v>
      </c>
      <c r="AD145" s="21" t="s">
        <v>1189</v>
      </c>
    </row>
    <row r="146" spans="1:30">
      <c r="A146" s="21">
        <v>211187</v>
      </c>
      <c r="B146" s="21" t="s">
        <v>726</v>
      </c>
      <c r="C146" s="21" t="s">
        <v>27</v>
      </c>
      <c r="D146" s="21" t="s">
        <v>727</v>
      </c>
      <c r="E146" s="21" t="s">
        <v>727</v>
      </c>
      <c r="F146" s="21" t="s">
        <v>727</v>
      </c>
      <c r="G146" s="21" t="s">
        <v>747</v>
      </c>
      <c r="H146" s="21" t="s">
        <v>17</v>
      </c>
      <c r="I146" s="21" t="s">
        <v>17</v>
      </c>
      <c r="J146" s="21" t="s">
        <v>17</v>
      </c>
      <c r="K146" s="21">
        <v>35</v>
      </c>
      <c r="L146" s="21" t="s">
        <v>730</v>
      </c>
      <c r="M146" s="21" t="s">
        <v>758</v>
      </c>
      <c r="N146" s="21" t="s">
        <v>748</v>
      </c>
      <c r="O146" s="21" t="s">
        <v>754</v>
      </c>
      <c r="P146" s="21" t="s">
        <v>17</v>
      </c>
      <c r="Q146" s="21" t="s">
        <v>17</v>
      </c>
      <c r="R146" s="21" t="s">
        <v>17</v>
      </c>
      <c r="S146" s="21" t="s">
        <v>17</v>
      </c>
      <c r="T146" s="21" t="s">
        <v>17</v>
      </c>
      <c r="U146" s="21" t="s">
        <v>17</v>
      </c>
      <c r="V146" s="21" t="s">
        <v>17</v>
      </c>
      <c r="W146" s="21" t="s">
        <v>17</v>
      </c>
      <c r="X146" s="21" t="s">
        <v>17</v>
      </c>
      <c r="Y146" s="21" t="s">
        <v>17</v>
      </c>
      <c r="Z146" s="21" t="s">
        <v>1190</v>
      </c>
      <c r="AA146" s="21" t="s">
        <v>294</v>
      </c>
      <c r="AB146" s="21" t="s">
        <v>796</v>
      </c>
      <c r="AC146" s="21" t="s">
        <v>1191</v>
      </c>
      <c r="AD146" s="21" t="s">
        <v>1192</v>
      </c>
    </row>
    <row r="147" spans="1:30">
      <c r="A147" s="21">
        <v>211186</v>
      </c>
      <c r="B147" s="21" t="s">
        <v>726</v>
      </c>
      <c r="C147" s="21" t="s">
        <v>27</v>
      </c>
      <c r="D147" s="21" t="s">
        <v>727</v>
      </c>
      <c r="E147" s="21" t="s">
        <v>727</v>
      </c>
      <c r="F147" s="21" t="s">
        <v>727</v>
      </c>
      <c r="G147" s="21" t="s">
        <v>747</v>
      </c>
      <c r="H147" s="21" t="s">
        <v>17</v>
      </c>
      <c r="I147" s="21" t="s">
        <v>17</v>
      </c>
      <c r="J147" s="21" t="s">
        <v>17</v>
      </c>
      <c r="K147" s="21">
        <v>35</v>
      </c>
      <c r="L147" s="21" t="s">
        <v>730</v>
      </c>
      <c r="M147" s="21" t="s">
        <v>758</v>
      </c>
      <c r="N147" s="21" t="s">
        <v>748</v>
      </c>
      <c r="O147" s="21" t="s">
        <v>754</v>
      </c>
      <c r="P147" s="21" t="s">
        <v>17</v>
      </c>
      <c r="Q147" s="21" t="s">
        <v>17</v>
      </c>
      <c r="R147" s="21" t="s">
        <v>17</v>
      </c>
      <c r="S147" s="21" t="s">
        <v>17</v>
      </c>
      <c r="T147" s="21" t="s">
        <v>17</v>
      </c>
      <c r="U147" s="21" t="s">
        <v>17</v>
      </c>
      <c r="V147" s="21" t="s">
        <v>17</v>
      </c>
      <c r="W147" s="21" t="s">
        <v>17</v>
      </c>
      <c r="X147" s="21" t="s">
        <v>17</v>
      </c>
      <c r="Y147" s="21" t="s">
        <v>17</v>
      </c>
      <c r="Z147" s="21" t="s">
        <v>1190</v>
      </c>
      <c r="AA147" s="21" t="s">
        <v>296</v>
      </c>
      <c r="AB147" s="21" t="s">
        <v>1193</v>
      </c>
      <c r="AC147" s="21" t="s">
        <v>1194</v>
      </c>
      <c r="AD147" s="21" t="s">
        <v>1195</v>
      </c>
    </row>
    <row r="148" spans="1:30">
      <c r="A148" s="21">
        <v>211185</v>
      </c>
      <c r="B148" s="21" t="s">
        <v>726</v>
      </c>
      <c r="C148" s="21" t="s">
        <v>27</v>
      </c>
      <c r="D148" s="21" t="s">
        <v>727</v>
      </c>
      <c r="E148" s="21" t="s">
        <v>727</v>
      </c>
      <c r="F148" s="21" t="s">
        <v>727</v>
      </c>
      <c r="G148" s="21" t="s">
        <v>747</v>
      </c>
      <c r="H148" s="21" t="s">
        <v>17</v>
      </c>
      <c r="I148" s="21" t="s">
        <v>17</v>
      </c>
      <c r="J148" s="21" t="s">
        <v>17</v>
      </c>
      <c r="K148" s="21">
        <v>35</v>
      </c>
      <c r="L148" s="21" t="s">
        <v>730</v>
      </c>
      <c r="M148" s="21" t="s">
        <v>730</v>
      </c>
      <c r="N148" s="21" t="s">
        <v>748</v>
      </c>
      <c r="O148" s="21" t="s">
        <v>754</v>
      </c>
      <c r="P148" s="21" t="s">
        <v>17</v>
      </c>
      <c r="Q148" s="21" t="s">
        <v>17</v>
      </c>
      <c r="R148" s="21" t="s">
        <v>17</v>
      </c>
      <c r="S148" s="21" t="s">
        <v>17</v>
      </c>
      <c r="T148" s="21" t="s">
        <v>17</v>
      </c>
      <c r="U148" s="21" t="s">
        <v>17</v>
      </c>
      <c r="V148" s="21" t="s">
        <v>17</v>
      </c>
      <c r="W148" s="21" t="s">
        <v>17</v>
      </c>
      <c r="X148" s="21" t="s">
        <v>17</v>
      </c>
      <c r="Y148" s="21" t="s">
        <v>17</v>
      </c>
      <c r="Z148" s="21" t="s">
        <v>1196</v>
      </c>
      <c r="AA148" s="21" t="s">
        <v>297</v>
      </c>
      <c r="AB148" s="21" t="s">
        <v>740</v>
      </c>
      <c r="AC148" s="21" t="s">
        <v>1197</v>
      </c>
      <c r="AD148" s="21" t="s">
        <v>1198</v>
      </c>
    </row>
    <row r="149" spans="1:30">
      <c r="A149" s="21">
        <v>211184</v>
      </c>
      <c r="B149" s="21" t="s">
        <v>726</v>
      </c>
      <c r="C149" s="21" t="s">
        <v>27</v>
      </c>
      <c r="D149" s="21" t="s">
        <v>727</v>
      </c>
      <c r="E149" s="21" t="s">
        <v>727</v>
      </c>
      <c r="F149" s="21" t="s">
        <v>727</v>
      </c>
      <c r="G149" s="21" t="s">
        <v>747</v>
      </c>
      <c r="H149" s="21" t="s">
        <v>17</v>
      </c>
      <c r="I149" s="21" t="s">
        <v>17</v>
      </c>
      <c r="J149" s="21" t="s">
        <v>17</v>
      </c>
      <c r="K149" s="21">
        <v>35</v>
      </c>
      <c r="L149" s="21" t="s">
        <v>730</v>
      </c>
      <c r="M149" s="21" t="s">
        <v>758</v>
      </c>
      <c r="N149" s="21" t="s">
        <v>748</v>
      </c>
      <c r="O149" s="21" t="s">
        <v>754</v>
      </c>
      <c r="P149" s="21" t="s">
        <v>17</v>
      </c>
      <c r="Q149" s="21" t="s">
        <v>17</v>
      </c>
      <c r="R149" s="21" t="s">
        <v>17</v>
      </c>
      <c r="S149" s="21" t="s">
        <v>17</v>
      </c>
      <c r="T149" s="21" t="s">
        <v>17</v>
      </c>
      <c r="U149" s="21" t="s">
        <v>17</v>
      </c>
      <c r="V149" s="21" t="s">
        <v>17</v>
      </c>
      <c r="W149" s="21" t="s">
        <v>17</v>
      </c>
      <c r="X149" s="21" t="s">
        <v>17</v>
      </c>
      <c r="Y149" s="21" t="s">
        <v>17</v>
      </c>
      <c r="Z149" s="21" t="s">
        <v>1196</v>
      </c>
      <c r="AA149" s="21" t="s">
        <v>299</v>
      </c>
      <c r="AB149" s="21" t="s">
        <v>1199</v>
      </c>
      <c r="AC149" s="21" t="s">
        <v>1200</v>
      </c>
      <c r="AD149" s="21" t="s">
        <v>1201</v>
      </c>
    </row>
    <row r="150" spans="1:30">
      <c r="A150" s="21">
        <v>211183</v>
      </c>
      <c r="B150" s="21" t="s">
        <v>726</v>
      </c>
      <c r="C150" s="21" t="s">
        <v>27</v>
      </c>
      <c r="D150" s="21" t="s">
        <v>727</v>
      </c>
      <c r="E150" s="21" t="s">
        <v>747</v>
      </c>
      <c r="F150" s="21" t="s">
        <v>727</v>
      </c>
      <c r="G150" s="21" t="s">
        <v>747</v>
      </c>
      <c r="H150" s="21" t="s">
        <v>17</v>
      </c>
      <c r="I150" s="21" t="s">
        <v>17</v>
      </c>
      <c r="J150" s="21" t="s">
        <v>17</v>
      </c>
      <c r="K150" s="21">
        <v>30</v>
      </c>
      <c r="L150" s="21" t="s">
        <v>730</v>
      </c>
      <c r="M150" s="21" t="s">
        <v>730</v>
      </c>
      <c r="N150" s="21" t="s">
        <v>748</v>
      </c>
      <c r="O150" s="21" t="s">
        <v>754</v>
      </c>
      <c r="P150" s="21" t="s">
        <v>17</v>
      </c>
      <c r="Q150" s="21" t="s">
        <v>17</v>
      </c>
      <c r="R150" s="21" t="s">
        <v>17</v>
      </c>
      <c r="S150" s="21" t="s">
        <v>17</v>
      </c>
      <c r="T150" s="21" t="s">
        <v>17</v>
      </c>
      <c r="U150" s="21" t="s">
        <v>17</v>
      </c>
      <c r="V150" s="21" t="s">
        <v>17</v>
      </c>
      <c r="W150" s="21" t="s">
        <v>17</v>
      </c>
      <c r="X150" s="21" t="s">
        <v>17</v>
      </c>
      <c r="Y150" s="21" t="s">
        <v>17</v>
      </c>
      <c r="Z150" s="21" t="s">
        <v>1202</v>
      </c>
      <c r="AA150" s="21" t="s">
        <v>300</v>
      </c>
      <c r="AB150" s="21" t="s">
        <v>740</v>
      </c>
      <c r="AC150" s="21" t="s">
        <v>1203</v>
      </c>
      <c r="AD150" s="21" t="s">
        <v>1204</v>
      </c>
    </row>
    <row r="151" spans="1:30">
      <c r="A151" s="21">
        <v>211182</v>
      </c>
      <c r="B151" s="21" t="s">
        <v>726</v>
      </c>
      <c r="C151" s="21" t="s">
        <v>27</v>
      </c>
      <c r="D151" s="21" t="s">
        <v>727</v>
      </c>
      <c r="E151" s="21" t="s">
        <v>747</v>
      </c>
      <c r="F151" s="21" t="s">
        <v>727</v>
      </c>
      <c r="G151" s="21" t="s">
        <v>747</v>
      </c>
      <c r="H151" s="21" t="s">
        <v>17</v>
      </c>
      <c r="I151" s="21" t="s">
        <v>17</v>
      </c>
      <c r="J151" s="21" t="s">
        <v>17</v>
      </c>
      <c r="K151" s="21">
        <v>30</v>
      </c>
      <c r="L151" s="21" t="s">
        <v>730</v>
      </c>
      <c r="M151" s="21" t="s">
        <v>730</v>
      </c>
      <c r="N151" s="21" t="s">
        <v>748</v>
      </c>
      <c r="O151" s="21" t="s">
        <v>754</v>
      </c>
      <c r="P151" s="21" t="s">
        <v>17</v>
      </c>
      <c r="Q151" s="21" t="s">
        <v>17</v>
      </c>
      <c r="R151" s="21" t="s">
        <v>17</v>
      </c>
      <c r="S151" s="21" t="s">
        <v>17</v>
      </c>
      <c r="T151" s="21" t="s">
        <v>17</v>
      </c>
      <c r="U151" s="21" t="s">
        <v>17</v>
      </c>
      <c r="V151" s="21" t="s">
        <v>17</v>
      </c>
      <c r="W151" s="21" t="s">
        <v>17</v>
      </c>
      <c r="X151" s="21" t="s">
        <v>17</v>
      </c>
      <c r="Y151" s="21" t="s">
        <v>17</v>
      </c>
      <c r="Z151" s="21" t="s">
        <v>1202</v>
      </c>
      <c r="AA151" s="21" t="s">
        <v>302</v>
      </c>
      <c r="AB151" s="21" t="s">
        <v>740</v>
      </c>
      <c r="AC151" s="21" t="s">
        <v>1205</v>
      </c>
      <c r="AD151" s="21" t="s">
        <v>1206</v>
      </c>
    </row>
    <row r="152" spans="1:30">
      <c r="A152" s="21">
        <v>211181</v>
      </c>
      <c r="B152" s="21" t="s">
        <v>726</v>
      </c>
      <c r="C152" s="21" t="s">
        <v>27</v>
      </c>
      <c r="D152" s="21" t="s">
        <v>727</v>
      </c>
      <c r="E152" s="21" t="s">
        <v>747</v>
      </c>
      <c r="F152" s="21" t="s">
        <v>727</v>
      </c>
      <c r="G152" s="21" t="s">
        <v>747</v>
      </c>
      <c r="H152" s="21" t="s">
        <v>17</v>
      </c>
      <c r="I152" s="21" t="s">
        <v>17</v>
      </c>
      <c r="J152" s="21" t="s">
        <v>17</v>
      </c>
      <c r="K152" s="21">
        <v>30</v>
      </c>
      <c r="L152" s="21" t="s">
        <v>730</v>
      </c>
      <c r="M152" s="21" t="s">
        <v>730</v>
      </c>
      <c r="N152" s="21" t="s">
        <v>748</v>
      </c>
      <c r="O152" s="21" t="s">
        <v>754</v>
      </c>
      <c r="P152" s="21" t="s">
        <v>17</v>
      </c>
      <c r="Q152" s="21" t="s">
        <v>17</v>
      </c>
      <c r="R152" s="21" t="s">
        <v>17</v>
      </c>
      <c r="S152" s="21" t="s">
        <v>17</v>
      </c>
      <c r="T152" s="21" t="s">
        <v>17</v>
      </c>
      <c r="U152" s="21" t="s">
        <v>17</v>
      </c>
      <c r="V152" s="21" t="s">
        <v>17</v>
      </c>
      <c r="W152" s="21" t="s">
        <v>17</v>
      </c>
      <c r="X152" s="21" t="s">
        <v>17</v>
      </c>
      <c r="Y152" s="21" t="s">
        <v>17</v>
      </c>
      <c r="Z152" s="21" t="s">
        <v>1202</v>
      </c>
      <c r="AA152" s="21" t="s">
        <v>303</v>
      </c>
      <c r="AB152" s="21" t="s">
        <v>879</v>
      </c>
      <c r="AC152" s="21" t="s">
        <v>1207</v>
      </c>
      <c r="AD152" s="21" t="s">
        <v>1208</v>
      </c>
    </row>
    <row r="153" spans="1:30">
      <c r="A153" s="21">
        <v>211180</v>
      </c>
      <c r="B153" s="21" t="s">
        <v>726</v>
      </c>
      <c r="C153" s="21" t="s">
        <v>27</v>
      </c>
      <c r="D153" s="21" t="s">
        <v>727</v>
      </c>
      <c r="E153" s="21" t="s">
        <v>955</v>
      </c>
      <c r="F153" s="21" t="s">
        <v>727</v>
      </c>
      <c r="G153" s="21" t="s">
        <v>747</v>
      </c>
      <c r="H153" s="21" t="s">
        <v>17</v>
      </c>
      <c r="I153" s="21" t="s">
        <v>17</v>
      </c>
      <c r="J153" s="21" t="s">
        <v>17</v>
      </c>
      <c r="K153" s="21">
        <v>28</v>
      </c>
      <c r="L153" s="21" t="s">
        <v>730</v>
      </c>
      <c r="M153" s="21" t="s">
        <v>1040</v>
      </c>
      <c r="N153" s="21" t="s">
        <v>748</v>
      </c>
      <c r="O153" s="21" t="s">
        <v>754</v>
      </c>
      <c r="P153" s="21" t="s">
        <v>17</v>
      </c>
      <c r="Q153" s="21" t="s">
        <v>17</v>
      </c>
      <c r="R153" s="21" t="s">
        <v>17</v>
      </c>
      <c r="S153" s="21" t="s">
        <v>17</v>
      </c>
      <c r="T153" s="21" t="s">
        <v>17</v>
      </c>
      <c r="U153" s="21" t="s">
        <v>17</v>
      </c>
      <c r="V153" s="21" t="s">
        <v>17</v>
      </c>
      <c r="W153" s="21" t="s">
        <v>17</v>
      </c>
      <c r="X153" s="21" t="s">
        <v>17</v>
      </c>
      <c r="Y153" s="21" t="s">
        <v>17</v>
      </c>
      <c r="Z153" s="21" t="s">
        <v>1202</v>
      </c>
      <c r="AA153" s="21" t="s">
        <v>304</v>
      </c>
      <c r="AB153" s="21" t="s">
        <v>919</v>
      </c>
      <c r="AC153" s="21" t="s">
        <v>1209</v>
      </c>
      <c r="AD153" s="21" t="s">
        <v>1210</v>
      </c>
    </row>
    <row r="154" spans="1:30">
      <c r="A154" s="21">
        <v>211179</v>
      </c>
      <c r="B154" s="21" t="s">
        <v>726</v>
      </c>
      <c r="C154" s="21" t="s">
        <v>27</v>
      </c>
      <c r="D154" s="21" t="s">
        <v>752</v>
      </c>
      <c r="E154" s="21" t="s">
        <v>747</v>
      </c>
      <c r="F154" s="21" t="s">
        <v>727</v>
      </c>
      <c r="G154" s="21" t="s">
        <v>955</v>
      </c>
      <c r="H154" s="21" t="s">
        <v>17</v>
      </c>
      <c r="I154" s="21" t="s">
        <v>17</v>
      </c>
      <c r="J154" s="21" t="s">
        <v>17</v>
      </c>
      <c r="K154" s="21">
        <v>8</v>
      </c>
      <c r="L154" s="21" t="s">
        <v>753</v>
      </c>
      <c r="M154" s="21" t="s">
        <v>730</v>
      </c>
      <c r="N154" s="21" t="s">
        <v>1176</v>
      </c>
      <c r="O154" s="21" t="s">
        <v>957</v>
      </c>
      <c r="P154" s="21" t="s">
        <v>17</v>
      </c>
      <c r="Q154" s="21" t="s">
        <v>17</v>
      </c>
      <c r="R154" s="21" t="s">
        <v>17</v>
      </c>
      <c r="S154" s="21" t="s">
        <v>17</v>
      </c>
      <c r="T154" s="21" t="s">
        <v>17</v>
      </c>
      <c r="U154" s="21" t="s">
        <v>17</v>
      </c>
      <c r="V154" s="21" t="s">
        <v>17</v>
      </c>
      <c r="W154" s="21" t="s">
        <v>17</v>
      </c>
      <c r="X154" s="21" t="s">
        <v>17</v>
      </c>
      <c r="Y154" s="21" t="s">
        <v>17</v>
      </c>
      <c r="Z154" s="21" t="s">
        <v>1211</v>
      </c>
      <c r="AA154" s="21" t="s">
        <v>305</v>
      </c>
      <c r="AB154" s="21" t="s">
        <v>1212</v>
      </c>
      <c r="AC154" s="21" t="s">
        <v>1213</v>
      </c>
      <c r="AD154" s="21" t="s">
        <v>1214</v>
      </c>
    </row>
    <row r="155" spans="1:30">
      <c r="A155" s="21">
        <v>211178</v>
      </c>
      <c r="B155" s="21" t="s">
        <v>726</v>
      </c>
      <c r="C155" s="21" t="s">
        <v>27</v>
      </c>
      <c r="D155" s="21" t="s">
        <v>727</v>
      </c>
      <c r="E155" s="21" t="s">
        <v>727</v>
      </c>
      <c r="F155" s="21" t="s">
        <v>727</v>
      </c>
      <c r="G155" s="21" t="s">
        <v>747</v>
      </c>
      <c r="H155" s="21" t="s">
        <v>17</v>
      </c>
      <c r="I155" s="21" t="s">
        <v>17</v>
      </c>
      <c r="J155" s="21" t="s">
        <v>17</v>
      </c>
      <c r="K155" s="21">
        <v>35</v>
      </c>
      <c r="L155" s="21" t="s">
        <v>730</v>
      </c>
      <c r="M155" s="21" t="s">
        <v>758</v>
      </c>
      <c r="N155" s="21" t="s">
        <v>748</v>
      </c>
      <c r="O155" s="21" t="s">
        <v>754</v>
      </c>
      <c r="P155" s="21" t="s">
        <v>17</v>
      </c>
      <c r="Q155" s="21" t="s">
        <v>17</v>
      </c>
      <c r="R155" s="21" t="s">
        <v>17</v>
      </c>
      <c r="S155" s="21" t="s">
        <v>17</v>
      </c>
      <c r="T155" s="21" t="s">
        <v>17</v>
      </c>
      <c r="U155" s="21" t="s">
        <v>17</v>
      </c>
      <c r="V155" s="21" t="s">
        <v>17</v>
      </c>
      <c r="W155" s="21" t="s">
        <v>17</v>
      </c>
      <c r="X155" s="21" t="s">
        <v>17</v>
      </c>
      <c r="Y155" s="21" t="s">
        <v>17</v>
      </c>
      <c r="Z155" s="21" t="s">
        <v>1215</v>
      </c>
      <c r="AA155" s="21" t="s">
        <v>307</v>
      </c>
      <c r="AB155" s="21" t="s">
        <v>774</v>
      </c>
      <c r="AC155" s="21" t="s">
        <v>1216</v>
      </c>
      <c r="AD155" s="21" t="s">
        <v>1217</v>
      </c>
    </row>
    <row r="156" spans="1:30">
      <c r="A156" s="21">
        <v>211177</v>
      </c>
      <c r="B156" s="21" t="s">
        <v>726</v>
      </c>
      <c r="C156" s="21" t="s">
        <v>27</v>
      </c>
      <c r="D156" s="21" t="s">
        <v>727</v>
      </c>
      <c r="E156" s="21" t="s">
        <v>727</v>
      </c>
      <c r="F156" s="21" t="s">
        <v>727</v>
      </c>
      <c r="G156" s="21" t="s">
        <v>747</v>
      </c>
      <c r="H156" s="21" t="s">
        <v>17</v>
      </c>
      <c r="I156" s="21" t="s">
        <v>17</v>
      </c>
      <c r="J156" s="21" t="s">
        <v>17</v>
      </c>
      <c r="K156" s="21">
        <v>35</v>
      </c>
      <c r="L156" s="21" t="s">
        <v>730</v>
      </c>
      <c r="M156" s="21" t="s">
        <v>758</v>
      </c>
      <c r="N156" s="21" t="s">
        <v>758</v>
      </c>
      <c r="O156" s="21" t="s">
        <v>754</v>
      </c>
      <c r="P156" s="21" t="s">
        <v>17</v>
      </c>
      <c r="Q156" s="21" t="s">
        <v>17</v>
      </c>
      <c r="R156" s="21" t="s">
        <v>17</v>
      </c>
      <c r="S156" s="21" t="s">
        <v>17</v>
      </c>
      <c r="T156" s="21" t="s">
        <v>17</v>
      </c>
      <c r="U156" s="21" t="s">
        <v>17</v>
      </c>
      <c r="V156" s="21" t="s">
        <v>17</v>
      </c>
      <c r="W156" s="21" t="s">
        <v>17</v>
      </c>
      <c r="X156" s="21" t="s">
        <v>17</v>
      </c>
      <c r="Y156" s="21" t="s">
        <v>17</v>
      </c>
      <c r="Z156" s="21" t="s">
        <v>1215</v>
      </c>
      <c r="AA156" s="21" t="s">
        <v>309</v>
      </c>
      <c r="AB156" s="21" t="s">
        <v>774</v>
      </c>
      <c r="AC156" s="21" t="s">
        <v>1218</v>
      </c>
      <c r="AD156" s="21" t="s">
        <v>1219</v>
      </c>
    </row>
    <row r="157" spans="1:30">
      <c r="A157" s="21">
        <v>211176</v>
      </c>
      <c r="B157" s="21" t="s">
        <v>726</v>
      </c>
      <c r="C157" s="21" t="s">
        <v>27</v>
      </c>
      <c r="D157" s="21" t="s">
        <v>727</v>
      </c>
      <c r="E157" s="21" t="s">
        <v>727</v>
      </c>
      <c r="F157" s="21" t="s">
        <v>727</v>
      </c>
      <c r="G157" s="21" t="s">
        <v>747</v>
      </c>
      <c r="H157" s="21" t="s">
        <v>17</v>
      </c>
      <c r="I157" s="21" t="s">
        <v>17</v>
      </c>
      <c r="J157" s="21" t="s">
        <v>17</v>
      </c>
      <c r="K157" s="21">
        <v>35</v>
      </c>
      <c r="L157" s="21" t="s">
        <v>730</v>
      </c>
      <c r="M157" s="21" t="s">
        <v>758</v>
      </c>
      <c r="N157" s="21" t="s">
        <v>748</v>
      </c>
      <c r="O157" s="21" t="s">
        <v>754</v>
      </c>
      <c r="P157" s="21" t="s">
        <v>17</v>
      </c>
      <c r="Q157" s="21" t="s">
        <v>17</v>
      </c>
      <c r="R157" s="21" t="s">
        <v>17</v>
      </c>
      <c r="S157" s="21" t="s">
        <v>17</v>
      </c>
      <c r="T157" s="21" t="s">
        <v>17</v>
      </c>
      <c r="U157" s="21" t="s">
        <v>17</v>
      </c>
      <c r="V157" s="21" t="s">
        <v>17</v>
      </c>
      <c r="W157" s="21" t="s">
        <v>17</v>
      </c>
      <c r="X157" s="21" t="s">
        <v>17</v>
      </c>
      <c r="Y157" s="21" t="s">
        <v>17</v>
      </c>
      <c r="Z157" s="21" t="s">
        <v>1220</v>
      </c>
      <c r="AA157" s="21" t="s">
        <v>310</v>
      </c>
      <c r="AB157" s="21" t="s">
        <v>740</v>
      </c>
      <c r="AC157" s="21" t="s">
        <v>1221</v>
      </c>
      <c r="AD157" s="21" t="s">
        <v>1222</v>
      </c>
    </row>
    <row r="158" spans="1:30">
      <c r="A158" s="21">
        <v>211175</v>
      </c>
      <c r="B158" s="21" t="s">
        <v>726</v>
      </c>
      <c r="C158" s="21" t="s">
        <v>27</v>
      </c>
      <c r="D158" s="21" t="s">
        <v>727</v>
      </c>
      <c r="E158" s="21" t="s">
        <v>727</v>
      </c>
      <c r="F158" s="21" t="s">
        <v>727</v>
      </c>
      <c r="G158" s="21" t="s">
        <v>747</v>
      </c>
      <c r="H158" s="21" t="s">
        <v>17</v>
      </c>
      <c r="I158" s="21" t="s">
        <v>17</v>
      </c>
      <c r="J158" s="21" t="s">
        <v>17</v>
      </c>
      <c r="K158" s="21">
        <v>35</v>
      </c>
      <c r="L158" s="21" t="s">
        <v>730</v>
      </c>
      <c r="M158" s="21" t="s">
        <v>758</v>
      </c>
      <c r="N158" s="21" t="s">
        <v>748</v>
      </c>
      <c r="O158" s="21" t="s">
        <v>754</v>
      </c>
      <c r="P158" s="21" t="s">
        <v>17</v>
      </c>
      <c r="Q158" s="21" t="s">
        <v>17</v>
      </c>
      <c r="R158" s="21" t="s">
        <v>17</v>
      </c>
      <c r="S158" s="21" t="s">
        <v>17</v>
      </c>
      <c r="T158" s="21" t="s">
        <v>17</v>
      </c>
      <c r="U158" s="21" t="s">
        <v>17</v>
      </c>
      <c r="V158" s="21" t="s">
        <v>17</v>
      </c>
      <c r="W158" s="21" t="s">
        <v>17</v>
      </c>
      <c r="X158" s="21" t="s">
        <v>17</v>
      </c>
      <c r="Y158" s="21" t="s">
        <v>17</v>
      </c>
      <c r="Z158" s="21" t="s">
        <v>1220</v>
      </c>
      <c r="AA158" s="21" t="s">
        <v>312</v>
      </c>
      <c r="AB158" s="21" t="s">
        <v>740</v>
      </c>
      <c r="AC158" s="21" t="s">
        <v>1223</v>
      </c>
      <c r="AD158" s="21" t="s">
        <v>1224</v>
      </c>
    </row>
    <row r="159" spans="1:30">
      <c r="A159" s="21">
        <v>211168</v>
      </c>
      <c r="B159" s="21" t="s">
        <v>726</v>
      </c>
      <c r="C159" s="21" t="s">
        <v>27</v>
      </c>
      <c r="D159" s="21" t="s">
        <v>727</v>
      </c>
      <c r="E159" s="21" t="s">
        <v>727</v>
      </c>
      <c r="F159" s="21" t="s">
        <v>727</v>
      </c>
      <c r="G159" s="21" t="s">
        <v>747</v>
      </c>
      <c r="H159" s="21" t="s">
        <v>17</v>
      </c>
      <c r="I159" s="21" t="s">
        <v>17</v>
      </c>
      <c r="J159" s="21" t="s">
        <v>17</v>
      </c>
      <c r="K159" s="21">
        <v>35</v>
      </c>
      <c r="L159" s="21" t="s">
        <v>730</v>
      </c>
      <c r="M159" s="21" t="s">
        <v>758</v>
      </c>
      <c r="N159" s="21" t="s">
        <v>748</v>
      </c>
      <c r="O159" s="21" t="s">
        <v>754</v>
      </c>
      <c r="P159" s="21" t="s">
        <v>17</v>
      </c>
      <c r="Q159" s="21" t="s">
        <v>17</v>
      </c>
      <c r="R159" s="21" t="s">
        <v>17</v>
      </c>
      <c r="S159" s="21" t="s">
        <v>17</v>
      </c>
      <c r="T159" s="21" t="s">
        <v>17</v>
      </c>
      <c r="U159" s="21" t="s">
        <v>17</v>
      </c>
      <c r="V159" s="21" t="s">
        <v>17</v>
      </c>
      <c r="W159" s="21" t="s">
        <v>17</v>
      </c>
      <c r="X159" s="21" t="s">
        <v>17</v>
      </c>
      <c r="Y159" s="21" t="s">
        <v>17</v>
      </c>
      <c r="Z159" s="21" t="s">
        <v>1225</v>
      </c>
      <c r="AA159" s="21" t="s">
        <v>313</v>
      </c>
      <c r="AB159" s="21" t="s">
        <v>774</v>
      </c>
      <c r="AC159" s="21" t="s">
        <v>1226</v>
      </c>
      <c r="AD159" s="21" t="s">
        <v>1227</v>
      </c>
    </row>
    <row r="160" spans="1:30">
      <c r="A160" s="21">
        <v>211164</v>
      </c>
      <c r="B160" s="21" t="s">
        <v>726</v>
      </c>
      <c r="C160" s="21" t="s">
        <v>27</v>
      </c>
      <c r="D160" s="21" t="s">
        <v>727</v>
      </c>
      <c r="E160" s="21" t="s">
        <v>747</v>
      </c>
      <c r="F160" s="21" t="s">
        <v>727</v>
      </c>
      <c r="G160" s="21" t="s">
        <v>747</v>
      </c>
      <c r="H160" s="21" t="s">
        <v>17</v>
      </c>
      <c r="I160" s="21" t="s">
        <v>17</v>
      </c>
      <c r="J160" s="21" t="s">
        <v>17</v>
      </c>
      <c r="K160" s="21">
        <v>30</v>
      </c>
      <c r="L160" s="21" t="s">
        <v>730</v>
      </c>
      <c r="M160" s="21" t="s">
        <v>730</v>
      </c>
      <c r="N160" s="21" t="s">
        <v>748</v>
      </c>
      <c r="O160" s="21" t="s">
        <v>754</v>
      </c>
      <c r="P160" s="21" t="s">
        <v>17</v>
      </c>
      <c r="Q160" s="21" t="s">
        <v>17</v>
      </c>
      <c r="R160" s="21" t="s">
        <v>17</v>
      </c>
      <c r="S160" s="21" t="s">
        <v>17</v>
      </c>
      <c r="T160" s="21" t="s">
        <v>17</v>
      </c>
      <c r="U160" s="21" t="s">
        <v>17</v>
      </c>
      <c r="V160" s="21" t="s">
        <v>17</v>
      </c>
      <c r="W160" s="21" t="s">
        <v>17</v>
      </c>
      <c r="X160" s="21" t="s">
        <v>17</v>
      </c>
      <c r="Y160" s="21" t="s">
        <v>17</v>
      </c>
      <c r="Z160" s="21" t="s">
        <v>1228</v>
      </c>
      <c r="AA160" s="21" t="s">
        <v>315</v>
      </c>
      <c r="AB160" s="21" t="s">
        <v>1193</v>
      </c>
      <c r="AC160" s="21" t="s">
        <v>1229</v>
      </c>
      <c r="AD160" s="21" t="s">
        <v>1230</v>
      </c>
    </row>
    <row r="161" spans="1:30">
      <c r="A161" s="21">
        <v>211151</v>
      </c>
      <c r="B161" s="21" t="s">
        <v>726</v>
      </c>
      <c r="C161" s="21" t="s">
        <v>27</v>
      </c>
      <c r="D161" s="21" t="s">
        <v>727</v>
      </c>
      <c r="E161" s="21" t="s">
        <v>727</v>
      </c>
      <c r="F161" s="21" t="s">
        <v>727</v>
      </c>
      <c r="G161" s="21" t="s">
        <v>747</v>
      </c>
      <c r="H161" s="21" t="s">
        <v>17</v>
      </c>
      <c r="I161" s="21" t="s">
        <v>17</v>
      </c>
      <c r="J161" s="21" t="s">
        <v>17</v>
      </c>
      <c r="K161" s="21">
        <v>35</v>
      </c>
      <c r="L161" s="21" t="s">
        <v>730</v>
      </c>
      <c r="M161" s="21" t="s">
        <v>758</v>
      </c>
      <c r="N161" s="21" t="s">
        <v>748</v>
      </c>
      <c r="O161" s="21" t="s">
        <v>754</v>
      </c>
      <c r="P161" s="21" t="s">
        <v>17</v>
      </c>
      <c r="Q161" s="21" t="s">
        <v>17</v>
      </c>
      <c r="R161" s="21" t="s">
        <v>17</v>
      </c>
      <c r="S161" s="21" t="s">
        <v>17</v>
      </c>
      <c r="T161" s="21" t="s">
        <v>17</v>
      </c>
      <c r="U161" s="21" t="s">
        <v>17</v>
      </c>
      <c r="V161" s="21" t="s">
        <v>17</v>
      </c>
      <c r="W161" s="21" t="s">
        <v>17</v>
      </c>
      <c r="X161" s="21" t="s">
        <v>17</v>
      </c>
      <c r="Y161" s="21" t="s">
        <v>17</v>
      </c>
      <c r="Z161" s="21" t="s">
        <v>1231</v>
      </c>
      <c r="AA161" s="21" t="s">
        <v>317</v>
      </c>
      <c r="AB161" s="21" t="s">
        <v>740</v>
      </c>
      <c r="AC161" s="21" t="s">
        <v>1232</v>
      </c>
      <c r="AD161" s="21" t="s">
        <v>1233</v>
      </c>
    </row>
    <row r="162" spans="1:30">
      <c r="A162" s="21">
        <v>211150</v>
      </c>
      <c r="B162" s="21" t="s">
        <v>726</v>
      </c>
      <c r="C162" s="21" t="s">
        <v>27</v>
      </c>
      <c r="D162" s="21" t="s">
        <v>727</v>
      </c>
      <c r="E162" s="21" t="s">
        <v>727</v>
      </c>
      <c r="F162" s="21" t="s">
        <v>727</v>
      </c>
      <c r="G162" s="21" t="s">
        <v>747</v>
      </c>
      <c r="H162" s="21" t="s">
        <v>17</v>
      </c>
      <c r="I162" s="21" t="s">
        <v>17</v>
      </c>
      <c r="J162" s="21" t="s">
        <v>17</v>
      </c>
      <c r="K162" s="21">
        <v>35</v>
      </c>
      <c r="L162" s="21" t="s">
        <v>730</v>
      </c>
      <c r="M162" s="21" t="s">
        <v>758</v>
      </c>
      <c r="N162" s="21" t="s">
        <v>748</v>
      </c>
      <c r="O162" s="21" t="s">
        <v>754</v>
      </c>
      <c r="P162" s="21" t="s">
        <v>17</v>
      </c>
      <c r="Q162" s="21" t="s">
        <v>17</v>
      </c>
      <c r="R162" s="21" t="s">
        <v>17</v>
      </c>
      <c r="S162" s="21" t="s">
        <v>17</v>
      </c>
      <c r="T162" s="21" t="s">
        <v>17</v>
      </c>
      <c r="U162" s="21" t="s">
        <v>17</v>
      </c>
      <c r="V162" s="21" t="s">
        <v>17</v>
      </c>
      <c r="W162" s="21" t="s">
        <v>17</v>
      </c>
      <c r="X162" s="21" t="s">
        <v>17</v>
      </c>
      <c r="Y162" s="21" t="s">
        <v>17</v>
      </c>
      <c r="Z162" s="21" t="s">
        <v>1234</v>
      </c>
      <c r="AA162" s="21" t="s">
        <v>319</v>
      </c>
      <c r="AB162" s="21" t="s">
        <v>740</v>
      </c>
      <c r="AC162" s="21" t="s">
        <v>1235</v>
      </c>
      <c r="AD162" s="21" t="s">
        <v>1236</v>
      </c>
    </row>
    <row r="163" spans="1:30">
      <c r="A163" s="21">
        <v>211143</v>
      </c>
      <c r="B163" s="21" t="s">
        <v>726</v>
      </c>
      <c r="C163" s="21" t="s">
        <v>27</v>
      </c>
      <c r="D163" s="21" t="s">
        <v>727</v>
      </c>
      <c r="E163" s="21" t="s">
        <v>727</v>
      </c>
      <c r="F163" s="21" t="s">
        <v>727</v>
      </c>
      <c r="G163" s="21" t="s">
        <v>747</v>
      </c>
      <c r="H163" s="21" t="s">
        <v>17</v>
      </c>
      <c r="I163" s="21" t="s">
        <v>17</v>
      </c>
      <c r="J163" s="21" t="s">
        <v>17</v>
      </c>
      <c r="K163" s="21">
        <v>35</v>
      </c>
      <c r="L163" s="21" t="s">
        <v>730</v>
      </c>
      <c r="M163" s="21" t="s">
        <v>758</v>
      </c>
      <c r="N163" s="21" t="s">
        <v>748</v>
      </c>
      <c r="O163" s="21" t="s">
        <v>754</v>
      </c>
      <c r="P163" s="21" t="s">
        <v>17</v>
      </c>
      <c r="Q163" s="21" t="s">
        <v>17</v>
      </c>
      <c r="R163" s="21" t="s">
        <v>17</v>
      </c>
      <c r="S163" s="21" t="s">
        <v>17</v>
      </c>
      <c r="T163" s="21" t="s">
        <v>17</v>
      </c>
      <c r="U163" s="21" t="s">
        <v>17</v>
      </c>
      <c r="V163" s="21" t="s">
        <v>17</v>
      </c>
      <c r="W163" s="21" t="s">
        <v>17</v>
      </c>
      <c r="X163" s="21" t="s">
        <v>17</v>
      </c>
      <c r="Y163" s="21" t="s">
        <v>17</v>
      </c>
      <c r="Z163" s="21" t="s">
        <v>1237</v>
      </c>
      <c r="AA163" s="21" t="s">
        <v>321</v>
      </c>
      <c r="AB163" s="21" t="s">
        <v>1238</v>
      </c>
      <c r="AC163" s="21" t="s">
        <v>1239</v>
      </c>
      <c r="AD163" s="21" t="s">
        <v>1240</v>
      </c>
    </row>
    <row r="164" spans="1:30">
      <c r="A164" s="21">
        <v>211142</v>
      </c>
      <c r="B164" s="21" t="s">
        <v>726</v>
      </c>
      <c r="C164" s="21" t="s">
        <v>27</v>
      </c>
      <c r="D164" s="21" t="s">
        <v>727</v>
      </c>
      <c r="E164" s="21" t="s">
        <v>727</v>
      </c>
      <c r="F164" s="21" t="s">
        <v>727</v>
      </c>
      <c r="G164" s="21" t="s">
        <v>747</v>
      </c>
      <c r="H164" s="21" t="s">
        <v>17</v>
      </c>
      <c r="I164" s="21" t="s">
        <v>17</v>
      </c>
      <c r="J164" s="21" t="s">
        <v>17</v>
      </c>
      <c r="K164" s="21">
        <v>35</v>
      </c>
      <c r="L164" s="21" t="s">
        <v>730</v>
      </c>
      <c r="M164" s="21" t="s">
        <v>758</v>
      </c>
      <c r="N164" s="21" t="s">
        <v>748</v>
      </c>
      <c r="O164" s="21" t="s">
        <v>754</v>
      </c>
      <c r="P164" s="21" t="s">
        <v>17</v>
      </c>
      <c r="Q164" s="21" t="s">
        <v>17</v>
      </c>
      <c r="R164" s="21" t="s">
        <v>17</v>
      </c>
      <c r="S164" s="21" t="s">
        <v>17</v>
      </c>
      <c r="T164" s="21" t="s">
        <v>17</v>
      </c>
      <c r="U164" s="21" t="s">
        <v>17</v>
      </c>
      <c r="V164" s="21" t="s">
        <v>17</v>
      </c>
      <c r="W164" s="21" t="s">
        <v>17</v>
      </c>
      <c r="X164" s="21" t="s">
        <v>17</v>
      </c>
      <c r="Y164" s="21" t="s">
        <v>17</v>
      </c>
      <c r="Z164" s="21" t="s">
        <v>1241</v>
      </c>
      <c r="AA164" s="21" t="s">
        <v>323</v>
      </c>
      <c r="AB164" s="21" t="s">
        <v>740</v>
      </c>
      <c r="AC164" s="21" t="s">
        <v>1242</v>
      </c>
      <c r="AD164" s="21" t="s">
        <v>1243</v>
      </c>
    </row>
    <row r="165" spans="1:30">
      <c r="A165" s="21">
        <v>211141</v>
      </c>
      <c r="B165" s="21" t="s">
        <v>726</v>
      </c>
      <c r="C165" s="21" t="s">
        <v>27</v>
      </c>
      <c r="D165" s="21" t="s">
        <v>727</v>
      </c>
      <c r="E165" s="21" t="s">
        <v>727</v>
      </c>
      <c r="F165" s="21" t="s">
        <v>727</v>
      </c>
      <c r="G165" s="21" t="s">
        <v>727</v>
      </c>
      <c r="H165" s="21" t="s">
        <v>17</v>
      </c>
      <c r="I165" s="21" t="s">
        <v>17</v>
      </c>
      <c r="J165" s="21" t="s">
        <v>17</v>
      </c>
      <c r="K165" s="21">
        <v>40</v>
      </c>
      <c r="L165" s="21" t="s">
        <v>730</v>
      </c>
      <c r="M165" s="21" t="s">
        <v>758</v>
      </c>
      <c r="N165" s="21" t="s">
        <v>748</v>
      </c>
      <c r="O165" s="21" t="s">
        <v>748</v>
      </c>
      <c r="P165" s="21" t="s">
        <v>17</v>
      </c>
      <c r="Q165" s="21" t="s">
        <v>17</v>
      </c>
      <c r="R165" s="21" t="s">
        <v>17</v>
      </c>
      <c r="S165" s="21" t="s">
        <v>17</v>
      </c>
      <c r="T165" s="21" t="s">
        <v>17</v>
      </c>
      <c r="U165" s="21" t="s">
        <v>17</v>
      </c>
      <c r="V165" s="21" t="s">
        <v>17</v>
      </c>
      <c r="W165" s="21" t="s">
        <v>17</v>
      </c>
      <c r="X165" s="21" t="s">
        <v>17</v>
      </c>
      <c r="Y165" s="21" t="s">
        <v>17</v>
      </c>
      <c r="Z165" s="21" t="s">
        <v>1244</v>
      </c>
      <c r="AA165" s="21" t="s">
        <v>325</v>
      </c>
      <c r="AB165" s="21" t="s">
        <v>786</v>
      </c>
      <c r="AC165" s="21" t="s">
        <v>1245</v>
      </c>
      <c r="AD165" s="21" t="s">
        <v>1246</v>
      </c>
    </row>
    <row r="166" spans="1:30">
      <c r="A166" s="21">
        <v>211140</v>
      </c>
      <c r="B166" s="21" t="s">
        <v>726</v>
      </c>
      <c r="C166" s="21" t="s">
        <v>27</v>
      </c>
      <c r="D166" s="21" t="s">
        <v>727</v>
      </c>
      <c r="E166" s="21" t="s">
        <v>727</v>
      </c>
      <c r="F166" s="21" t="s">
        <v>727</v>
      </c>
      <c r="G166" s="21" t="s">
        <v>747</v>
      </c>
      <c r="H166" s="21" t="s">
        <v>17</v>
      </c>
      <c r="I166" s="21" t="s">
        <v>17</v>
      </c>
      <c r="J166" s="21" t="s">
        <v>17</v>
      </c>
      <c r="K166" s="21">
        <v>35</v>
      </c>
      <c r="L166" s="21" t="s">
        <v>730</v>
      </c>
      <c r="M166" s="21" t="s">
        <v>758</v>
      </c>
      <c r="N166" s="21" t="s">
        <v>748</v>
      </c>
      <c r="O166" s="21" t="s">
        <v>754</v>
      </c>
      <c r="P166" s="21" t="s">
        <v>17</v>
      </c>
      <c r="Q166" s="21" t="s">
        <v>17</v>
      </c>
      <c r="R166" s="21" t="s">
        <v>17</v>
      </c>
      <c r="S166" s="21" t="s">
        <v>17</v>
      </c>
      <c r="T166" s="21" t="s">
        <v>17</v>
      </c>
      <c r="U166" s="21" t="s">
        <v>17</v>
      </c>
      <c r="V166" s="21" t="s">
        <v>17</v>
      </c>
      <c r="W166" s="21" t="s">
        <v>17</v>
      </c>
      <c r="X166" s="21" t="s">
        <v>17</v>
      </c>
      <c r="Y166" s="21" t="s">
        <v>17</v>
      </c>
      <c r="Z166" s="21" t="s">
        <v>1247</v>
      </c>
      <c r="AA166" s="21" t="s">
        <v>327</v>
      </c>
      <c r="AB166" s="21" t="s">
        <v>1248</v>
      </c>
      <c r="AC166" s="21" t="s">
        <v>1249</v>
      </c>
      <c r="AD166" s="21" t="s">
        <v>1250</v>
      </c>
    </row>
    <row r="167" spans="1:30">
      <c r="A167" s="21">
        <v>211139</v>
      </c>
      <c r="B167" s="21" t="s">
        <v>726</v>
      </c>
      <c r="C167" s="21" t="s">
        <v>27</v>
      </c>
      <c r="D167" s="21" t="s">
        <v>727</v>
      </c>
      <c r="E167" s="21" t="s">
        <v>747</v>
      </c>
      <c r="F167" s="21" t="s">
        <v>727</v>
      </c>
      <c r="G167" s="21" t="s">
        <v>747</v>
      </c>
      <c r="H167" s="21" t="s">
        <v>17</v>
      </c>
      <c r="I167" s="21" t="s">
        <v>17</v>
      </c>
      <c r="J167" s="21" t="s">
        <v>17</v>
      </c>
      <c r="K167" s="21">
        <v>30</v>
      </c>
      <c r="L167" s="21" t="s">
        <v>730</v>
      </c>
      <c r="M167" s="21" t="s">
        <v>730</v>
      </c>
      <c r="N167" s="21" t="s">
        <v>748</v>
      </c>
      <c r="O167" s="21" t="s">
        <v>754</v>
      </c>
      <c r="P167" s="21" t="s">
        <v>17</v>
      </c>
      <c r="Q167" s="21" t="s">
        <v>17</v>
      </c>
      <c r="R167" s="21" t="s">
        <v>17</v>
      </c>
      <c r="S167" s="21" t="s">
        <v>17</v>
      </c>
      <c r="T167" s="21" t="s">
        <v>17</v>
      </c>
      <c r="U167" s="21" t="s">
        <v>17</v>
      </c>
      <c r="V167" s="21" t="s">
        <v>17</v>
      </c>
      <c r="W167" s="21" t="s">
        <v>17</v>
      </c>
      <c r="X167" s="21" t="s">
        <v>17</v>
      </c>
      <c r="Y167" s="21" t="s">
        <v>17</v>
      </c>
      <c r="Z167" s="21" t="s">
        <v>1251</v>
      </c>
      <c r="AA167" s="21" t="s">
        <v>329</v>
      </c>
      <c r="AB167" s="21" t="s">
        <v>879</v>
      </c>
      <c r="AC167" s="21" t="s">
        <v>1252</v>
      </c>
      <c r="AD167" s="21" t="s">
        <v>1253</v>
      </c>
    </row>
    <row r="168" spans="1:30">
      <c r="A168" s="21">
        <v>211138</v>
      </c>
      <c r="B168" s="21" t="s">
        <v>726</v>
      </c>
      <c r="C168" s="21" t="s">
        <v>27</v>
      </c>
      <c r="D168" s="21" t="s">
        <v>727</v>
      </c>
      <c r="E168" s="21" t="s">
        <v>747</v>
      </c>
      <c r="F168" s="21" t="s">
        <v>727</v>
      </c>
      <c r="G168" s="21" t="s">
        <v>747</v>
      </c>
      <c r="H168" s="21" t="s">
        <v>17</v>
      </c>
      <c r="I168" s="21" t="s">
        <v>17</v>
      </c>
      <c r="J168" s="21" t="s">
        <v>17</v>
      </c>
      <c r="K168" s="21">
        <v>30</v>
      </c>
      <c r="L168" s="21" t="s">
        <v>730</v>
      </c>
      <c r="M168" s="21" t="s">
        <v>730</v>
      </c>
      <c r="N168" s="21" t="s">
        <v>748</v>
      </c>
      <c r="O168" s="21" t="s">
        <v>754</v>
      </c>
      <c r="P168" s="21" t="s">
        <v>17</v>
      </c>
      <c r="Q168" s="21" t="s">
        <v>17</v>
      </c>
      <c r="R168" s="21" t="s">
        <v>17</v>
      </c>
      <c r="S168" s="21" t="s">
        <v>17</v>
      </c>
      <c r="T168" s="21" t="s">
        <v>17</v>
      </c>
      <c r="U168" s="21" t="s">
        <v>17</v>
      </c>
      <c r="V168" s="21" t="s">
        <v>17</v>
      </c>
      <c r="W168" s="21" t="s">
        <v>17</v>
      </c>
      <c r="X168" s="21" t="s">
        <v>17</v>
      </c>
      <c r="Y168" s="21" t="s">
        <v>17</v>
      </c>
      <c r="Z168" s="21" t="s">
        <v>1254</v>
      </c>
      <c r="AA168" s="21" t="s">
        <v>331</v>
      </c>
      <c r="AB168" s="21" t="s">
        <v>740</v>
      </c>
      <c r="AC168" s="21" t="s">
        <v>1255</v>
      </c>
      <c r="AD168" s="21" t="s">
        <v>1256</v>
      </c>
    </row>
    <row r="169" spans="1:30">
      <c r="A169" s="21">
        <v>211137</v>
      </c>
      <c r="B169" s="21" t="s">
        <v>726</v>
      </c>
      <c r="C169" s="21" t="s">
        <v>27</v>
      </c>
      <c r="D169" s="21" t="s">
        <v>727</v>
      </c>
      <c r="E169" s="21" t="s">
        <v>727</v>
      </c>
      <c r="F169" s="21" t="s">
        <v>727</v>
      </c>
      <c r="G169" s="21" t="s">
        <v>747</v>
      </c>
      <c r="H169" s="21" t="s">
        <v>17</v>
      </c>
      <c r="I169" s="21" t="s">
        <v>17</v>
      </c>
      <c r="J169" s="21" t="s">
        <v>17</v>
      </c>
      <c r="K169" s="21">
        <v>35</v>
      </c>
      <c r="L169" s="21" t="s">
        <v>730</v>
      </c>
      <c r="M169" s="21" t="s">
        <v>758</v>
      </c>
      <c r="N169" s="21" t="s">
        <v>748</v>
      </c>
      <c r="O169" s="21" t="s">
        <v>754</v>
      </c>
      <c r="P169" s="21" t="s">
        <v>17</v>
      </c>
      <c r="Q169" s="21" t="s">
        <v>17</v>
      </c>
      <c r="R169" s="21" t="s">
        <v>17</v>
      </c>
      <c r="S169" s="21" t="s">
        <v>17</v>
      </c>
      <c r="T169" s="21" t="s">
        <v>17</v>
      </c>
      <c r="U169" s="21" t="s">
        <v>17</v>
      </c>
      <c r="V169" s="21" t="s">
        <v>17</v>
      </c>
      <c r="W169" s="21" t="s">
        <v>17</v>
      </c>
      <c r="X169" s="21" t="s">
        <v>17</v>
      </c>
      <c r="Y169" s="21" t="s">
        <v>17</v>
      </c>
      <c r="Z169" s="21" t="s">
        <v>1257</v>
      </c>
      <c r="AA169" s="21" t="s">
        <v>333</v>
      </c>
      <c r="AB169" s="21" t="s">
        <v>740</v>
      </c>
      <c r="AC169" s="21" t="s">
        <v>1258</v>
      </c>
      <c r="AD169" s="21" t="s">
        <v>1259</v>
      </c>
    </row>
    <row r="170" spans="1:30">
      <c r="A170" s="21">
        <v>211135</v>
      </c>
      <c r="B170" s="21" t="s">
        <v>726</v>
      </c>
      <c r="C170" s="21" t="s">
        <v>27</v>
      </c>
      <c r="D170" s="21" t="s">
        <v>727</v>
      </c>
      <c r="E170" s="21" t="s">
        <v>727</v>
      </c>
      <c r="F170" s="21" t="s">
        <v>727</v>
      </c>
      <c r="G170" s="21" t="s">
        <v>747</v>
      </c>
      <c r="H170" s="21" t="s">
        <v>17</v>
      </c>
      <c r="I170" s="21" t="s">
        <v>17</v>
      </c>
      <c r="J170" s="21" t="s">
        <v>17</v>
      </c>
      <c r="K170" s="21">
        <v>35</v>
      </c>
      <c r="L170" s="21" t="s">
        <v>730</v>
      </c>
      <c r="M170" s="21" t="s">
        <v>758</v>
      </c>
      <c r="N170" s="21" t="s">
        <v>748</v>
      </c>
      <c r="O170" s="21" t="s">
        <v>754</v>
      </c>
      <c r="P170" s="21" t="s">
        <v>17</v>
      </c>
      <c r="Q170" s="21" t="s">
        <v>17</v>
      </c>
      <c r="R170" s="21" t="s">
        <v>17</v>
      </c>
      <c r="S170" s="21" t="s">
        <v>17</v>
      </c>
      <c r="T170" s="21" t="s">
        <v>17</v>
      </c>
      <c r="U170" s="21" t="s">
        <v>17</v>
      </c>
      <c r="V170" s="21" t="s">
        <v>17</v>
      </c>
      <c r="W170" s="21" t="s">
        <v>17</v>
      </c>
      <c r="X170" s="21" t="s">
        <v>17</v>
      </c>
      <c r="Y170" s="21" t="s">
        <v>17</v>
      </c>
      <c r="Z170" s="21" t="s">
        <v>1260</v>
      </c>
      <c r="AA170" s="21" t="s">
        <v>335</v>
      </c>
      <c r="AB170" s="21" t="s">
        <v>740</v>
      </c>
      <c r="AC170" s="21" t="s">
        <v>1261</v>
      </c>
      <c r="AD170" s="21" t="s">
        <v>1262</v>
      </c>
    </row>
    <row r="171" spans="1:30">
      <c r="A171" s="21">
        <v>211134</v>
      </c>
      <c r="B171" s="21" t="s">
        <v>726</v>
      </c>
      <c r="C171" s="21" t="s">
        <v>27</v>
      </c>
      <c r="D171" s="21" t="s">
        <v>727</v>
      </c>
      <c r="E171" s="21" t="s">
        <v>747</v>
      </c>
      <c r="F171" s="21" t="s">
        <v>727</v>
      </c>
      <c r="G171" s="21" t="s">
        <v>780</v>
      </c>
      <c r="H171" s="21" t="s">
        <v>17</v>
      </c>
      <c r="I171" s="21" t="s">
        <v>17</v>
      </c>
      <c r="J171" s="21" t="s">
        <v>17</v>
      </c>
      <c r="K171" s="21">
        <v>20</v>
      </c>
      <c r="L171" s="21" t="s">
        <v>730</v>
      </c>
      <c r="M171" s="21" t="s">
        <v>730</v>
      </c>
      <c r="N171" s="21" t="s">
        <v>748</v>
      </c>
      <c r="O171" s="21" t="s">
        <v>781</v>
      </c>
      <c r="P171" s="21" t="s">
        <v>17</v>
      </c>
      <c r="Q171" s="21" t="s">
        <v>17</v>
      </c>
      <c r="R171" s="21" t="s">
        <v>17</v>
      </c>
      <c r="S171" s="21" t="s">
        <v>17</v>
      </c>
      <c r="T171" s="21" t="s">
        <v>17</v>
      </c>
      <c r="U171" s="21" t="s">
        <v>17</v>
      </c>
      <c r="V171" s="21" t="s">
        <v>17</v>
      </c>
      <c r="W171" s="21" t="s">
        <v>17</v>
      </c>
      <c r="X171" s="21" t="s">
        <v>17</v>
      </c>
      <c r="Y171" s="21" t="s">
        <v>17</v>
      </c>
      <c r="Z171" s="21" t="s">
        <v>1263</v>
      </c>
      <c r="AA171" s="21" t="s">
        <v>337</v>
      </c>
      <c r="AB171" s="21" t="s">
        <v>1264</v>
      </c>
      <c r="AC171" s="21" t="s">
        <v>1265</v>
      </c>
      <c r="AD171" s="21" t="s">
        <v>1266</v>
      </c>
    </row>
    <row r="172" spans="1:30">
      <c r="A172" s="21">
        <v>211133</v>
      </c>
      <c r="B172" s="21" t="s">
        <v>726</v>
      </c>
      <c r="C172" s="21" t="s">
        <v>27</v>
      </c>
      <c r="D172" s="21" t="s">
        <v>727</v>
      </c>
      <c r="E172" s="21" t="s">
        <v>752</v>
      </c>
      <c r="F172" s="21" t="s">
        <v>727</v>
      </c>
      <c r="G172" s="21" t="s">
        <v>727</v>
      </c>
      <c r="H172" s="21" t="s">
        <v>17</v>
      </c>
      <c r="I172" s="21" t="s">
        <v>17</v>
      </c>
      <c r="J172" s="21" t="s">
        <v>17</v>
      </c>
      <c r="K172" s="21">
        <v>20</v>
      </c>
      <c r="L172" s="21" t="s">
        <v>730</v>
      </c>
      <c r="M172" s="21" t="s">
        <v>904</v>
      </c>
      <c r="N172" s="21" t="s">
        <v>1176</v>
      </c>
      <c r="O172" s="21" t="s">
        <v>1176</v>
      </c>
      <c r="P172" s="21" t="s">
        <v>17</v>
      </c>
      <c r="Q172" s="21" t="s">
        <v>17</v>
      </c>
      <c r="R172" s="21" t="s">
        <v>17</v>
      </c>
      <c r="S172" s="21" t="s">
        <v>17</v>
      </c>
      <c r="T172" s="21" t="s">
        <v>17</v>
      </c>
      <c r="U172" s="21" t="s">
        <v>17</v>
      </c>
      <c r="V172" s="21" t="s">
        <v>17</v>
      </c>
      <c r="W172" s="21" t="s">
        <v>17</v>
      </c>
      <c r="X172" s="21" t="s">
        <v>17</v>
      </c>
      <c r="Y172" s="21" t="s">
        <v>17</v>
      </c>
      <c r="Z172" s="21" t="s">
        <v>1267</v>
      </c>
      <c r="AA172" s="21" t="s">
        <v>339</v>
      </c>
      <c r="AB172" s="21" t="s">
        <v>1268</v>
      </c>
      <c r="AC172" s="21" t="s">
        <v>1269</v>
      </c>
      <c r="AD172" s="21" t="s">
        <v>1270</v>
      </c>
    </row>
    <row r="173" spans="1:30">
      <c r="A173" s="21">
        <v>211132</v>
      </c>
      <c r="B173" s="21" t="s">
        <v>726</v>
      </c>
      <c r="C173" s="21" t="s">
        <v>27</v>
      </c>
      <c r="D173" s="21" t="s">
        <v>727</v>
      </c>
      <c r="E173" s="21" t="s">
        <v>955</v>
      </c>
      <c r="F173" s="21" t="s">
        <v>727</v>
      </c>
      <c r="G173" s="21" t="s">
        <v>955</v>
      </c>
      <c r="H173" s="21" t="s">
        <v>17</v>
      </c>
      <c r="I173" s="21" t="s">
        <v>17</v>
      </c>
      <c r="J173" s="21" t="s">
        <v>17</v>
      </c>
      <c r="K173" s="21">
        <v>26</v>
      </c>
      <c r="L173" s="21" t="s">
        <v>730</v>
      </c>
      <c r="M173" s="21" t="s">
        <v>1040</v>
      </c>
      <c r="N173" s="21" t="s">
        <v>748</v>
      </c>
      <c r="O173" s="21" t="s">
        <v>957</v>
      </c>
      <c r="P173" s="21" t="s">
        <v>17</v>
      </c>
      <c r="Q173" s="21" t="s">
        <v>17</v>
      </c>
      <c r="R173" s="21" t="s">
        <v>17</v>
      </c>
      <c r="S173" s="21" t="s">
        <v>17</v>
      </c>
      <c r="T173" s="21" t="s">
        <v>17</v>
      </c>
      <c r="U173" s="21" t="s">
        <v>17</v>
      </c>
      <c r="V173" s="21" t="s">
        <v>17</v>
      </c>
      <c r="W173" s="21" t="s">
        <v>17</v>
      </c>
      <c r="X173" s="21" t="s">
        <v>17</v>
      </c>
      <c r="Y173" s="21" t="s">
        <v>17</v>
      </c>
      <c r="Z173" s="21" t="s">
        <v>1271</v>
      </c>
      <c r="AA173" s="21" t="s">
        <v>341</v>
      </c>
      <c r="AB173" s="21" t="s">
        <v>796</v>
      </c>
      <c r="AC173" s="21" t="s">
        <v>1272</v>
      </c>
      <c r="AD173" s="21" t="s">
        <v>1273</v>
      </c>
    </row>
    <row r="174" spans="1:30">
      <c r="A174" s="21">
        <v>211131</v>
      </c>
      <c r="B174" s="21" t="s">
        <v>726</v>
      </c>
      <c r="C174" s="21" t="s">
        <v>27</v>
      </c>
      <c r="D174" s="21" t="s">
        <v>727</v>
      </c>
      <c r="E174" s="21" t="s">
        <v>727</v>
      </c>
      <c r="F174" s="21" t="s">
        <v>727</v>
      </c>
      <c r="G174" s="21" t="s">
        <v>747</v>
      </c>
      <c r="H174" s="21" t="s">
        <v>17</v>
      </c>
      <c r="I174" s="21" t="s">
        <v>17</v>
      </c>
      <c r="J174" s="21" t="s">
        <v>17</v>
      </c>
      <c r="K174" s="21">
        <v>35</v>
      </c>
      <c r="L174" s="21" t="s">
        <v>730</v>
      </c>
      <c r="M174" s="21" t="s">
        <v>758</v>
      </c>
      <c r="N174" s="21" t="s">
        <v>748</v>
      </c>
      <c r="O174" s="21" t="s">
        <v>754</v>
      </c>
      <c r="P174" s="21" t="s">
        <v>17</v>
      </c>
      <c r="Q174" s="21" t="s">
        <v>17</v>
      </c>
      <c r="R174" s="21" t="s">
        <v>17</v>
      </c>
      <c r="S174" s="21" t="s">
        <v>17</v>
      </c>
      <c r="T174" s="21" t="s">
        <v>17</v>
      </c>
      <c r="U174" s="21" t="s">
        <v>17</v>
      </c>
      <c r="V174" s="21" t="s">
        <v>17</v>
      </c>
      <c r="W174" s="21" t="s">
        <v>17</v>
      </c>
      <c r="X174" s="21" t="s">
        <v>17</v>
      </c>
      <c r="Y174" s="21" t="s">
        <v>17</v>
      </c>
      <c r="Z174" s="21" t="s">
        <v>1274</v>
      </c>
      <c r="AA174" s="21" t="s">
        <v>343</v>
      </c>
      <c r="AB174" s="21" t="s">
        <v>908</v>
      </c>
      <c r="AC174" s="21" t="s">
        <v>1275</v>
      </c>
      <c r="AD174" s="21" t="s">
        <v>1276</v>
      </c>
    </row>
    <row r="175" spans="1:30">
      <c r="A175" s="21">
        <v>211130</v>
      </c>
      <c r="B175" s="21" t="s">
        <v>726</v>
      </c>
      <c r="C175" s="21" t="s">
        <v>27</v>
      </c>
      <c r="D175" s="21" t="s">
        <v>727</v>
      </c>
      <c r="E175" s="21" t="s">
        <v>727</v>
      </c>
      <c r="F175" s="21" t="s">
        <v>727</v>
      </c>
      <c r="G175" s="21" t="s">
        <v>747</v>
      </c>
      <c r="H175" s="21" t="s">
        <v>17</v>
      </c>
      <c r="I175" s="21" t="s">
        <v>17</v>
      </c>
      <c r="J175" s="21" t="s">
        <v>17</v>
      </c>
      <c r="K175" s="21">
        <v>35</v>
      </c>
      <c r="L175" s="21" t="s">
        <v>730</v>
      </c>
      <c r="M175" s="21" t="s">
        <v>758</v>
      </c>
      <c r="N175" s="21" t="s">
        <v>748</v>
      </c>
      <c r="O175" s="21" t="s">
        <v>754</v>
      </c>
      <c r="P175" s="21" t="s">
        <v>17</v>
      </c>
      <c r="Q175" s="21" t="s">
        <v>17</v>
      </c>
      <c r="R175" s="21" t="s">
        <v>17</v>
      </c>
      <c r="S175" s="21" t="s">
        <v>17</v>
      </c>
      <c r="T175" s="21" t="s">
        <v>17</v>
      </c>
      <c r="U175" s="21" t="s">
        <v>17</v>
      </c>
      <c r="V175" s="21" t="s">
        <v>17</v>
      </c>
      <c r="W175" s="21" t="s">
        <v>17</v>
      </c>
      <c r="X175" s="21" t="s">
        <v>17</v>
      </c>
      <c r="Y175" s="21" t="s">
        <v>17</v>
      </c>
      <c r="Z175" s="21" t="s">
        <v>1277</v>
      </c>
      <c r="AA175" s="21" t="s">
        <v>345</v>
      </c>
      <c r="AB175" s="21" t="s">
        <v>1278</v>
      </c>
      <c r="AC175" s="21" t="s">
        <v>1279</v>
      </c>
      <c r="AD175" s="21" t="s">
        <v>1280</v>
      </c>
    </row>
    <row r="176" spans="1:30">
      <c r="A176" s="21">
        <v>211126</v>
      </c>
      <c r="B176" s="21" t="s">
        <v>726</v>
      </c>
      <c r="C176" s="21" t="s">
        <v>27</v>
      </c>
      <c r="D176" s="21" t="s">
        <v>727</v>
      </c>
      <c r="E176" s="21" t="s">
        <v>747</v>
      </c>
      <c r="F176" s="21" t="s">
        <v>727</v>
      </c>
      <c r="G176" s="21" t="s">
        <v>747</v>
      </c>
      <c r="H176" s="21" t="s">
        <v>17</v>
      </c>
      <c r="I176" s="21" t="s">
        <v>17</v>
      </c>
      <c r="J176" s="21" t="s">
        <v>17</v>
      </c>
      <c r="K176" s="21">
        <v>30</v>
      </c>
      <c r="L176" s="21" t="s">
        <v>730</v>
      </c>
      <c r="M176" s="21" t="s">
        <v>730</v>
      </c>
      <c r="N176" s="21" t="s">
        <v>748</v>
      </c>
      <c r="O176" s="21" t="s">
        <v>754</v>
      </c>
      <c r="P176" s="21" t="s">
        <v>17</v>
      </c>
      <c r="Q176" s="21" t="s">
        <v>17</v>
      </c>
      <c r="R176" s="21" t="s">
        <v>17</v>
      </c>
      <c r="S176" s="21" t="s">
        <v>17</v>
      </c>
      <c r="T176" s="21" t="s">
        <v>17</v>
      </c>
      <c r="U176" s="21" t="s">
        <v>17</v>
      </c>
      <c r="V176" s="21" t="s">
        <v>17</v>
      </c>
      <c r="W176" s="21" t="s">
        <v>17</v>
      </c>
      <c r="X176" s="21" t="s">
        <v>17</v>
      </c>
      <c r="Y176" s="21" t="s">
        <v>17</v>
      </c>
      <c r="Z176" s="21" t="s">
        <v>1281</v>
      </c>
      <c r="AA176" s="21" t="s">
        <v>347</v>
      </c>
      <c r="AB176" s="21" t="s">
        <v>740</v>
      </c>
      <c r="AC176" s="21" t="s">
        <v>1282</v>
      </c>
      <c r="AD176" s="21" t="s">
        <v>1283</v>
      </c>
    </row>
    <row r="177" spans="1:30">
      <c r="A177" s="21">
        <v>211121</v>
      </c>
      <c r="B177" s="21" t="s">
        <v>726</v>
      </c>
      <c r="C177" s="21" t="s">
        <v>27</v>
      </c>
      <c r="D177" s="21" t="s">
        <v>727</v>
      </c>
      <c r="E177" s="21" t="s">
        <v>727</v>
      </c>
      <c r="F177" s="21" t="s">
        <v>727</v>
      </c>
      <c r="G177" s="21" t="s">
        <v>747</v>
      </c>
      <c r="H177" s="21" t="s">
        <v>17</v>
      </c>
      <c r="I177" s="21" t="s">
        <v>17</v>
      </c>
      <c r="J177" s="21" t="s">
        <v>17</v>
      </c>
      <c r="K177" s="21">
        <v>35</v>
      </c>
      <c r="L177" s="21" t="s">
        <v>730</v>
      </c>
      <c r="M177" s="21" t="s">
        <v>758</v>
      </c>
      <c r="N177" s="21" t="s">
        <v>748</v>
      </c>
      <c r="O177" s="21" t="s">
        <v>754</v>
      </c>
      <c r="P177" s="21" t="s">
        <v>17</v>
      </c>
      <c r="Q177" s="21" t="s">
        <v>17</v>
      </c>
      <c r="R177" s="21" t="s">
        <v>17</v>
      </c>
      <c r="S177" s="21" t="s">
        <v>17</v>
      </c>
      <c r="T177" s="21" t="s">
        <v>17</v>
      </c>
      <c r="U177" s="21" t="s">
        <v>17</v>
      </c>
      <c r="V177" s="21" t="s">
        <v>17</v>
      </c>
      <c r="W177" s="21" t="s">
        <v>17</v>
      </c>
      <c r="X177" s="21" t="s">
        <v>17</v>
      </c>
      <c r="Y177" s="21" t="s">
        <v>17</v>
      </c>
      <c r="Z177" s="21" t="s">
        <v>1284</v>
      </c>
      <c r="AA177" s="21" t="s">
        <v>349</v>
      </c>
      <c r="AB177" s="21" t="s">
        <v>774</v>
      </c>
      <c r="AC177" s="21" t="s">
        <v>1285</v>
      </c>
      <c r="AD177" s="21" t="s">
        <v>1286</v>
      </c>
    </row>
    <row r="178" spans="1:30">
      <c r="A178" s="21">
        <v>211120</v>
      </c>
      <c r="B178" s="21" t="s">
        <v>726</v>
      </c>
      <c r="C178" s="21" t="s">
        <v>27</v>
      </c>
      <c r="D178" s="21" t="s">
        <v>752</v>
      </c>
      <c r="E178" s="21" t="s">
        <v>747</v>
      </c>
      <c r="F178" s="21" t="s">
        <v>727</v>
      </c>
      <c r="G178" s="21" t="s">
        <v>780</v>
      </c>
      <c r="H178" s="21" t="s">
        <v>17</v>
      </c>
      <c r="I178" s="21" t="s">
        <v>17</v>
      </c>
      <c r="J178" s="21" t="s">
        <v>17</v>
      </c>
      <c r="K178" s="21">
        <v>0</v>
      </c>
      <c r="L178" s="21" t="s">
        <v>753</v>
      </c>
      <c r="M178" s="21" t="s">
        <v>730</v>
      </c>
      <c r="N178" s="21" t="s">
        <v>748</v>
      </c>
      <c r="O178" s="21" t="s">
        <v>781</v>
      </c>
      <c r="P178" s="21" t="s">
        <v>17</v>
      </c>
      <c r="Q178" s="21" t="s">
        <v>17</v>
      </c>
      <c r="R178" s="21" t="s">
        <v>17</v>
      </c>
      <c r="S178" s="21" t="s">
        <v>17</v>
      </c>
      <c r="T178" s="21" t="s">
        <v>17</v>
      </c>
      <c r="U178" s="21" t="s">
        <v>17</v>
      </c>
      <c r="V178" s="21" t="s">
        <v>17</v>
      </c>
      <c r="W178" s="21" t="s">
        <v>17</v>
      </c>
      <c r="X178" s="21" t="s">
        <v>17</v>
      </c>
      <c r="Y178" s="21" t="s">
        <v>17</v>
      </c>
      <c r="Z178" s="21" t="s">
        <v>1287</v>
      </c>
      <c r="AA178" s="21" t="s">
        <v>351</v>
      </c>
      <c r="AB178" s="21" t="s">
        <v>879</v>
      </c>
      <c r="AC178" s="21" t="s">
        <v>1288</v>
      </c>
      <c r="AD178" s="21" t="s">
        <v>1289</v>
      </c>
    </row>
    <row r="179" spans="1:30">
      <c r="A179" s="21">
        <v>211119</v>
      </c>
      <c r="B179" s="21" t="s">
        <v>726</v>
      </c>
      <c r="C179" s="21" t="s">
        <v>27</v>
      </c>
      <c r="D179" s="21" t="s">
        <v>727</v>
      </c>
      <c r="E179" s="21" t="s">
        <v>727</v>
      </c>
      <c r="F179" s="21" t="s">
        <v>727</v>
      </c>
      <c r="G179" s="21" t="s">
        <v>747</v>
      </c>
      <c r="H179" s="21" t="s">
        <v>17</v>
      </c>
      <c r="I179" s="21" t="s">
        <v>17</v>
      </c>
      <c r="J179" s="21" t="s">
        <v>17</v>
      </c>
      <c r="K179" s="21">
        <v>35</v>
      </c>
      <c r="L179" s="21" t="s">
        <v>730</v>
      </c>
      <c r="M179" s="21" t="s">
        <v>758</v>
      </c>
      <c r="N179" s="21" t="s">
        <v>748</v>
      </c>
      <c r="O179" s="21" t="s">
        <v>754</v>
      </c>
      <c r="P179" s="21" t="s">
        <v>17</v>
      </c>
      <c r="Q179" s="21" t="s">
        <v>17</v>
      </c>
      <c r="R179" s="21" t="s">
        <v>17</v>
      </c>
      <c r="S179" s="21" t="s">
        <v>17</v>
      </c>
      <c r="T179" s="21" t="s">
        <v>17</v>
      </c>
      <c r="U179" s="21" t="s">
        <v>17</v>
      </c>
      <c r="V179" s="21" t="s">
        <v>17</v>
      </c>
      <c r="W179" s="21" t="s">
        <v>17</v>
      </c>
      <c r="X179" s="21" t="s">
        <v>17</v>
      </c>
      <c r="Y179" s="21" t="s">
        <v>17</v>
      </c>
      <c r="Z179" s="21" t="s">
        <v>1287</v>
      </c>
      <c r="AA179" s="21" t="s">
        <v>353</v>
      </c>
      <c r="AB179" s="21" t="s">
        <v>740</v>
      </c>
      <c r="AC179" s="21" t="s">
        <v>1290</v>
      </c>
      <c r="AD179" s="21" t="s">
        <v>1291</v>
      </c>
    </row>
    <row r="180" spans="1:30">
      <c r="A180" s="21">
        <v>211117</v>
      </c>
      <c r="B180" s="21" t="s">
        <v>726</v>
      </c>
      <c r="C180" s="21" t="s">
        <v>27</v>
      </c>
      <c r="D180" s="21" t="s">
        <v>727</v>
      </c>
      <c r="E180" s="21" t="s">
        <v>955</v>
      </c>
      <c r="F180" s="21" t="s">
        <v>727</v>
      </c>
      <c r="G180" s="21" t="s">
        <v>747</v>
      </c>
      <c r="H180" s="21" t="s">
        <v>17</v>
      </c>
      <c r="I180" s="21" t="s">
        <v>17</v>
      </c>
      <c r="J180" s="21" t="s">
        <v>17</v>
      </c>
      <c r="K180" s="21">
        <v>28</v>
      </c>
      <c r="L180" s="21" t="s">
        <v>730</v>
      </c>
      <c r="M180" s="21" t="s">
        <v>1040</v>
      </c>
      <c r="N180" s="21" t="s">
        <v>748</v>
      </c>
      <c r="O180" s="21" t="s">
        <v>754</v>
      </c>
      <c r="P180" s="21" t="s">
        <v>17</v>
      </c>
      <c r="Q180" s="21" t="s">
        <v>17</v>
      </c>
      <c r="R180" s="21" t="s">
        <v>17</v>
      </c>
      <c r="S180" s="21" t="s">
        <v>17</v>
      </c>
      <c r="T180" s="21" t="s">
        <v>17</v>
      </c>
      <c r="U180" s="21" t="s">
        <v>17</v>
      </c>
      <c r="V180" s="21" t="s">
        <v>17</v>
      </c>
      <c r="W180" s="21" t="s">
        <v>17</v>
      </c>
      <c r="X180" s="21" t="s">
        <v>17</v>
      </c>
      <c r="Y180" s="21" t="s">
        <v>17</v>
      </c>
      <c r="Z180" s="21" t="s">
        <v>1292</v>
      </c>
      <c r="AA180" s="21" t="s">
        <v>354</v>
      </c>
      <c r="AB180" s="21" t="s">
        <v>774</v>
      </c>
      <c r="AC180" s="21" t="s">
        <v>1293</v>
      </c>
      <c r="AD180" s="21" t="s">
        <v>1294</v>
      </c>
    </row>
    <row r="181" spans="1:30">
      <c r="A181" s="21">
        <v>211116</v>
      </c>
      <c r="B181" s="21" t="s">
        <v>726</v>
      </c>
      <c r="C181" s="21" t="s">
        <v>27</v>
      </c>
      <c r="D181" s="21" t="s">
        <v>727</v>
      </c>
      <c r="E181" s="21" t="s">
        <v>727</v>
      </c>
      <c r="F181" s="21" t="s">
        <v>727</v>
      </c>
      <c r="G181" s="21" t="s">
        <v>747</v>
      </c>
      <c r="H181" s="21" t="s">
        <v>17</v>
      </c>
      <c r="I181" s="21" t="s">
        <v>17</v>
      </c>
      <c r="J181" s="21" t="s">
        <v>17</v>
      </c>
      <c r="K181" s="21">
        <v>35</v>
      </c>
      <c r="L181" s="21" t="s">
        <v>730</v>
      </c>
      <c r="M181" s="21" t="s">
        <v>758</v>
      </c>
      <c r="N181" s="21" t="s">
        <v>748</v>
      </c>
      <c r="O181" s="21" t="s">
        <v>754</v>
      </c>
      <c r="P181" s="21" t="s">
        <v>17</v>
      </c>
      <c r="Q181" s="21" t="s">
        <v>17</v>
      </c>
      <c r="R181" s="21" t="s">
        <v>17</v>
      </c>
      <c r="S181" s="21" t="s">
        <v>17</v>
      </c>
      <c r="T181" s="21" t="s">
        <v>17</v>
      </c>
      <c r="U181" s="21" t="s">
        <v>17</v>
      </c>
      <c r="V181" s="21" t="s">
        <v>17</v>
      </c>
      <c r="W181" s="21" t="s">
        <v>17</v>
      </c>
      <c r="X181" s="21" t="s">
        <v>17</v>
      </c>
      <c r="Y181" s="21" t="s">
        <v>17</v>
      </c>
      <c r="Z181" s="21" t="s">
        <v>1292</v>
      </c>
      <c r="AA181" s="21" t="s">
        <v>356</v>
      </c>
      <c r="AB181" s="21" t="s">
        <v>796</v>
      </c>
      <c r="AC181" s="21" t="s">
        <v>1295</v>
      </c>
      <c r="AD181" s="21" t="s">
        <v>1296</v>
      </c>
    </row>
    <row r="182" spans="1:30">
      <c r="A182" s="21">
        <v>211115</v>
      </c>
      <c r="B182" s="21" t="s">
        <v>726</v>
      </c>
      <c r="C182" s="21" t="s">
        <v>27</v>
      </c>
      <c r="D182" s="21" t="s">
        <v>727</v>
      </c>
      <c r="E182" s="21" t="s">
        <v>727</v>
      </c>
      <c r="F182" s="21" t="s">
        <v>727</v>
      </c>
      <c r="G182" s="21" t="s">
        <v>747</v>
      </c>
      <c r="H182" s="21" t="s">
        <v>17</v>
      </c>
      <c r="I182" s="21" t="s">
        <v>17</v>
      </c>
      <c r="J182" s="21" t="s">
        <v>17</v>
      </c>
      <c r="K182" s="21">
        <v>35</v>
      </c>
      <c r="L182" s="21" t="s">
        <v>730</v>
      </c>
      <c r="M182" s="21" t="s">
        <v>758</v>
      </c>
      <c r="N182" s="21" t="s">
        <v>748</v>
      </c>
      <c r="O182" s="21" t="s">
        <v>754</v>
      </c>
      <c r="P182" s="21" t="s">
        <v>17</v>
      </c>
      <c r="Q182" s="21" t="s">
        <v>17</v>
      </c>
      <c r="R182" s="21" t="s">
        <v>17</v>
      </c>
      <c r="S182" s="21" t="s">
        <v>17</v>
      </c>
      <c r="T182" s="21" t="s">
        <v>17</v>
      </c>
      <c r="U182" s="21" t="s">
        <v>17</v>
      </c>
      <c r="V182" s="21" t="s">
        <v>17</v>
      </c>
      <c r="W182" s="21" t="s">
        <v>17</v>
      </c>
      <c r="X182" s="21" t="s">
        <v>17</v>
      </c>
      <c r="Y182" s="21" t="s">
        <v>17</v>
      </c>
      <c r="Z182" s="21" t="s">
        <v>1297</v>
      </c>
      <c r="AA182" s="21" t="s">
        <v>357</v>
      </c>
      <c r="AB182" s="21" t="s">
        <v>1298</v>
      </c>
      <c r="AC182" s="21" t="s">
        <v>979</v>
      </c>
      <c r="AD182" s="21" t="s">
        <v>980</v>
      </c>
    </row>
    <row r="183" spans="1:30">
      <c r="A183" s="21">
        <v>211114</v>
      </c>
      <c r="B183" s="21" t="s">
        <v>726</v>
      </c>
      <c r="C183" s="21" t="s">
        <v>27</v>
      </c>
      <c r="D183" s="21" t="s">
        <v>727</v>
      </c>
      <c r="E183" s="21" t="s">
        <v>727</v>
      </c>
      <c r="F183" s="21" t="s">
        <v>727</v>
      </c>
      <c r="G183" s="21" t="s">
        <v>747</v>
      </c>
      <c r="H183" s="21" t="s">
        <v>17</v>
      </c>
      <c r="I183" s="21" t="s">
        <v>17</v>
      </c>
      <c r="J183" s="21" t="s">
        <v>17</v>
      </c>
      <c r="K183" s="21">
        <v>35</v>
      </c>
      <c r="L183" s="21" t="s">
        <v>730</v>
      </c>
      <c r="M183" s="21" t="s">
        <v>758</v>
      </c>
      <c r="N183" s="21" t="s">
        <v>748</v>
      </c>
      <c r="O183" s="21" t="s">
        <v>754</v>
      </c>
      <c r="P183" s="21" t="s">
        <v>17</v>
      </c>
      <c r="Q183" s="21" t="s">
        <v>17</v>
      </c>
      <c r="R183" s="21" t="s">
        <v>17</v>
      </c>
      <c r="S183" s="21" t="s">
        <v>17</v>
      </c>
      <c r="T183" s="21" t="s">
        <v>17</v>
      </c>
      <c r="U183" s="21" t="s">
        <v>17</v>
      </c>
      <c r="V183" s="21" t="s">
        <v>17</v>
      </c>
      <c r="W183" s="21" t="s">
        <v>17</v>
      </c>
      <c r="X183" s="21" t="s">
        <v>17</v>
      </c>
      <c r="Y183" s="21" t="s">
        <v>17</v>
      </c>
      <c r="Z183" s="21" t="s">
        <v>1299</v>
      </c>
      <c r="AA183" s="21" t="s">
        <v>359</v>
      </c>
      <c r="AB183" s="21" t="s">
        <v>1298</v>
      </c>
      <c r="AC183" s="21" t="s">
        <v>979</v>
      </c>
      <c r="AD183" s="21" t="s">
        <v>980</v>
      </c>
    </row>
    <row r="184" spans="1:30">
      <c r="A184" s="21">
        <v>211113</v>
      </c>
      <c r="B184" s="21" t="s">
        <v>726</v>
      </c>
      <c r="C184" s="21" t="s">
        <v>27</v>
      </c>
      <c r="D184" s="21" t="s">
        <v>727</v>
      </c>
      <c r="E184" s="21" t="s">
        <v>727</v>
      </c>
      <c r="F184" s="21" t="s">
        <v>727</v>
      </c>
      <c r="G184" s="21" t="s">
        <v>747</v>
      </c>
      <c r="H184" s="21" t="s">
        <v>17</v>
      </c>
      <c r="I184" s="21" t="s">
        <v>17</v>
      </c>
      <c r="J184" s="21" t="s">
        <v>17</v>
      </c>
      <c r="K184" s="21">
        <v>35</v>
      </c>
      <c r="L184" s="21" t="s">
        <v>730</v>
      </c>
      <c r="M184" s="21" t="s">
        <v>758</v>
      </c>
      <c r="N184" s="21" t="s">
        <v>748</v>
      </c>
      <c r="O184" s="21" t="s">
        <v>754</v>
      </c>
      <c r="P184" s="21" t="s">
        <v>17</v>
      </c>
      <c r="Q184" s="21" t="s">
        <v>17</v>
      </c>
      <c r="R184" s="21" t="s">
        <v>17</v>
      </c>
      <c r="S184" s="21" t="s">
        <v>17</v>
      </c>
      <c r="T184" s="21" t="s">
        <v>17</v>
      </c>
      <c r="U184" s="21" t="s">
        <v>17</v>
      </c>
      <c r="V184" s="21" t="s">
        <v>17</v>
      </c>
      <c r="W184" s="21" t="s">
        <v>17</v>
      </c>
      <c r="X184" s="21" t="s">
        <v>17</v>
      </c>
      <c r="Y184" s="21" t="s">
        <v>17</v>
      </c>
      <c r="Z184" s="21" t="s">
        <v>1299</v>
      </c>
      <c r="AA184" s="21" t="s">
        <v>361</v>
      </c>
      <c r="AB184" s="21" t="s">
        <v>1298</v>
      </c>
      <c r="AC184" s="21" t="s">
        <v>979</v>
      </c>
      <c r="AD184" s="21" t="s">
        <v>980</v>
      </c>
    </row>
    <row r="185" spans="1:30">
      <c r="A185" s="21">
        <v>211112</v>
      </c>
      <c r="B185" s="21" t="s">
        <v>726</v>
      </c>
      <c r="C185" s="21" t="s">
        <v>27</v>
      </c>
      <c r="D185" s="21" t="s">
        <v>727</v>
      </c>
      <c r="E185" s="21" t="s">
        <v>727</v>
      </c>
      <c r="F185" s="21" t="s">
        <v>727</v>
      </c>
      <c r="G185" s="21" t="s">
        <v>747</v>
      </c>
      <c r="H185" s="21" t="s">
        <v>17</v>
      </c>
      <c r="I185" s="21" t="s">
        <v>17</v>
      </c>
      <c r="J185" s="21" t="s">
        <v>17</v>
      </c>
      <c r="K185" s="21">
        <v>35</v>
      </c>
      <c r="L185" s="21" t="s">
        <v>730</v>
      </c>
      <c r="M185" s="21" t="s">
        <v>758</v>
      </c>
      <c r="N185" s="21" t="s">
        <v>748</v>
      </c>
      <c r="O185" s="21" t="s">
        <v>754</v>
      </c>
      <c r="P185" s="21" t="s">
        <v>17</v>
      </c>
      <c r="Q185" s="21" t="s">
        <v>17</v>
      </c>
      <c r="R185" s="21" t="s">
        <v>17</v>
      </c>
      <c r="S185" s="21" t="s">
        <v>17</v>
      </c>
      <c r="T185" s="21" t="s">
        <v>17</v>
      </c>
      <c r="U185" s="21" t="s">
        <v>17</v>
      </c>
      <c r="V185" s="21" t="s">
        <v>17</v>
      </c>
      <c r="W185" s="21" t="s">
        <v>17</v>
      </c>
      <c r="X185" s="21" t="s">
        <v>17</v>
      </c>
      <c r="Y185" s="21" t="s">
        <v>17</v>
      </c>
      <c r="Z185" s="21" t="s">
        <v>1300</v>
      </c>
      <c r="AA185" s="21" t="s">
        <v>362</v>
      </c>
      <c r="AB185" s="21" t="s">
        <v>1301</v>
      </c>
      <c r="AC185" s="21" t="s">
        <v>1302</v>
      </c>
      <c r="AD185" s="21" t="s">
        <v>1303</v>
      </c>
    </row>
    <row r="186" spans="1:30">
      <c r="A186" s="21">
        <v>211110</v>
      </c>
      <c r="B186" s="21" t="s">
        <v>726</v>
      </c>
      <c r="C186" s="21" t="s">
        <v>27</v>
      </c>
      <c r="D186" s="21" t="s">
        <v>727</v>
      </c>
      <c r="E186" s="21" t="s">
        <v>727</v>
      </c>
      <c r="F186" s="21" t="s">
        <v>727</v>
      </c>
      <c r="G186" s="21" t="s">
        <v>747</v>
      </c>
      <c r="H186" s="21" t="s">
        <v>17</v>
      </c>
      <c r="I186" s="21" t="s">
        <v>17</v>
      </c>
      <c r="J186" s="21" t="s">
        <v>17</v>
      </c>
      <c r="K186" s="21">
        <v>35</v>
      </c>
      <c r="L186" s="21" t="s">
        <v>730</v>
      </c>
      <c r="M186" s="21" t="s">
        <v>758</v>
      </c>
      <c r="N186" s="21" t="s">
        <v>748</v>
      </c>
      <c r="O186" s="21" t="s">
        <v>754</v>
      </c>
      <c r="P186" s="21" t="s">
        <v>17</v>
      </c>
      <c r="Q186" s="21" t="s">
        <v>17</v>
      </c>
      <c r="R186" s="21" t="s">
        <v>17</v>
      </c>
      <c r="S186" s="21" t="s">
        <v>17</v>
      </c>
      <c r="T186" s="21" t="s">
        <v>17</v>
      </c>
      <c r="U186" s="21" t="s">
        <v>17</v>
      </c>
      <c r="V186" s="21" t="s">
        <v>17</v>
      </c>
      <c r="W186" s="21" t="s">
        <v>17</v>
      </c>
      <c r="X186" s="21" t="s">
        <v>17</v>
      </c>
      <c r="Y186" s="21" t="s">
        <v>17</v>
      </c>
      <c r="Z186" s="21" t="s">
        <v>1304</v>
      </c>
      <c r="AA186" s="21" t="s">
        <v>364</v>
      </c>
      <c r="AB186" s="21" t="s">
        <v>1264</v>
      </c>
      <c r="AC186" s="21" t="s">
        <v>1305</v>
      </c>
      <c r="AD186" s="21" t="s">
        <v>1306</v>
      </c>
    </row>
    <row r="187" spans="1:30">
      <c r="A187" s="21">
        <v>211109</v>
      </c>
      <c r="B187" s="21" t="s">
        <v>726</v>
      </c>
      <c r="C187" s="21" t="s">
        <v>27</v>
      </c>
      <c r="D187" s="21" t="s">
        <v>727</v>
      </c>
      <c r="E187" s="21" t="s">
        <v>727</v>
      </c>
      <c r="F187" s="21" t="s">
        <v>727</v>
      </c>
      <c r="G187" s="21" t="s">
        <v>747</v>
      </c>
      <c r="H187" s="21" t="s">
        <v>17</v>
      </c>
      <c r="I187" s="21" t="s">
        <v>17</v>
      </c>
      <c r="J187" s="21" t="s">
        <v>17</v>
      </c>
      <c r="K187" s="21">
        <v>35</v>
      </c>
      <c r="L187" s="21" t="s">
        <v>730</v>
      </c>
      <c r="M187" s="21" t="s">
        <v>758</v>
      </c>
      <c r="N187" s="21" t="s">
        <v>748</v>
      </c>
      <c r="O187" s="21" t="s">
        <v>754</v>
      </c>
      <c r="P187" s="21" t="s">
        <v>17</v>
      </c>
      <c r="Q187" s="21" t="s">
        <v>17</v>
      </c>
      <c r="R187" s="21" t="s">
        <v>17</v>
      </c>
      <c r="S187" s="21" t="s">
        <v>17</v>
      </c>
      <c r="T187" s="21" t="s">
        <v>17</v>
      </c>
      <c r="U187" s="21" t="s">
        <v>17</v>
      </c>
      <c r="V187" s="21" t="s">
        <v>17</v>
      </c>
      <c r="W187" s="21" t="s">
        <v>17</v>
      </c>
      <c r="X187" s="21" t="s">
        <v>17</v>
      </c>
      <c r="Y187" s="21" t="s">
        <v>17</v>
      </c>
      <c r="Z187" s="21" t="s">
        <v>1307</v>
      </c>
      <c r="AA187" s="21" t="s">
        <v>170</v>
      </c>
      <c r="AB187" s="21" t="s">
        <v>740</v>
      </c>
      <c r="AC187" s="21" t="s">
        <v>1308</v>
      </c>
      <c r="AD187" s="21" t="s">
        <v>1309</v>
      </c>
    </row>
    <row r="188" spans="1:30">
      <c r="A188" s="21">
        <v>211106</v>
      </c>
      <c r="B188" s="21" t="s">
        <v>726</v>
      </c>
      <c r="C188" s="21" t="s">
        <v>27</v>
      </c>
      <c r="D188" s="21" t="s">
        <v>727</v>
      </c>
      <c r="E188" s="21" t="s">
        <v>727</v>
      </c>
      <c r="F188" s="21" t="s">
        <v>727</v>
      </c>
      <c r="G188" s="21" t="s">
        <v>747</v>
      </c>
      <c r="H188" s="21" t="s">
        <v>17</v>
      </c>
      <c r="I188" s="21" t="s">
        <v>17</v>
      </c>
      <c r="J188" s="21" t="s">
        <v>17</v>
      </c>
      <c r="K188" s="21">
        <v>35</v>
      </c>
      <c r="L188" s="21" t="s">
        <v>730</v>
      </c>
      <c r="M188" s="21" t="s">
        <v>758</v>
      </c>
      <c r="N188" s="21" t="s">
        <v>748</v>
      </c>
      <c r="O188" s="21" t="s">
        <v>754</v>
      </c>
      <c r="P188" s="21" t="s">
        <v>17</v>
      </c>
      <c r="Q188" s="21" t="s">
        <v>17</v>
      </c>
      <c r="R188" s="21" t="s">
        <v>17</v>
      </c>
      <c r="S188" s="21" t="s">
        <v>17</v>
      </c>
      <c r="T188" s="21" t="s">
        <v>17</v>
      </c>
      <c r="U188" s="21" t="s">
        <v>17</v>
      </c>
      <c r="V188" s="21" t="s">
        <v>17</v>
      </c>
      <c r="W188" s="21" t="s">
        <v>17</v>
      </c>
      <c r="X188" s="21" t="s">
        <v>17</v>
      </c>
      <c r="Y188" s="21" t="s">
        <v>17</v>
      </c>
      <c r="Z188" s="21" t="s">
        <v>1310</v>
      </c>
      <c r="AA188" s="21" t="s">
        <v>367</v>
      </c>
      <c r="AB188" s="21" t="s">
        <v>970</v>
      </c>
      <c r="AC188" s="21" t="s">
        <v>1311</v>
      </c>
      <c r="AD188" s="21" t="s">
        <v>1312</v>
      </c>
    </row>
    <row r="189" spans="1:30">
      <c r="A189" s="21">
        <v>211102</v>
      </c>
      <c r="B189" s="21" t="s">
        <v>726</v>
      </c>
      <c r="C189" s="21" t="s">
        <v>27</v>
      </c>
      <c r="D189" s="21" t="s">
        <v>727</v>
      </c>
      <c r="E189" s="21" t="s">
        <v>747</v>
      </c>
      <c r="F189" s="21" t="s">
        <v>727</v>
      </c>
      <c r="G189" s="21" t="s">
        <v>780</v>
      </c>
      <c r="H189" s="21" t="s">
        <v>17</v>
      </c>
      <c r="I189" s="21" t="s">
        <v>17</v>
      </c>
      <c r="J189" s="21" t="s">
        <v>17</v>
      </c>
      <c r="K189" s="21">
        <v>20</v>
      </c>
      <c r="L189" s="21" t="s">
        <v>730</v>
      </c>
      <c r="M189" s="21" t="s">
        <v>730</v>
      </c>
      <c r="N189" s="21" t="s">
        <v>748</v>
      </c>
      <c r="O189" s="21" t="s">
        <v>781</v>
      </c>
      <c r="P189" s="21" t="s">
        <v>17</v>
      </c>
      <c r="Q189" s="21" t="s">
        <v>17</v>
      </c>
      <c r="R189" s="21" t="s">
        <v>17</v>
      </c>
      <c r="S189" s="21" t="s">
        <v>17</v>
      </c>
      <c r="T189" s="21" t="s">
        <v>17</v>
      </c>
      <c r="U189" s="21" t="s">
        <v>17</v>
      </c>
      <c r="V189" s="21" t="s">
        <v>17</v>
      </c>
      <c r="W189" s="21" t="s">
        <v>17</v>
      </c>
      <c r="X189" s="21" t="s">
        <v>17</v>
      </c>
      <c r="Y189" s="21" t="s">
        <v>17</v>
      </c>
      <c r="Z189" s="21" t="s">
        <v>1313</v>
      </c>
      <c r="AA189" s="21" t="s">
        <v>162</v>
      </c>
      <c r="AB189" s="21" t="s">
        <v>974</v>
      </c>
      <c r="AC189" s="21" t="s">
        <v>1314</v>
      </c>
      <c r="AD189" s="21" t="s">
        <v>1315</v>
      </c>
    </row>
    <row r="190" spans="1:30">
      <c r="A190" s="21">
        <v>211101</v>
      </c>
      <c r="B190" s="21" t="s">
        <v>726</v>
      </c>
      <c r="C190" s="21" t="s">
        <v>27</v>
      </c>
      <c r="D190" s="21" t="s">
        <v>727</v>
      </c>
      <c r="E190" s="21" t="s">
        <v>727</v>
      </c>
      <c r="F190" s="21" t="s">
        <v>727</v>
      </c>
      <c r="G190" s="21" t="s">
        <v>747</v>
      </c>
      <c r="H190" s="21" t="s">
        <v>17</v>
      </c>
      <c r="I190" s="21" t="s">
        <v>17</v>
      </c>
      <c r="J190" s="21" t="s">
        <v>17</v>
      </c>
      <c r="K190" s="21">
        <v>35</v>
      </c>
      <c r="L190" s="21" t="s">
        <v>730</v>
      </c>
      <c r="M190" s="21" t="s">
        <v>758</v>
      </c>
      <c r="N190" s="21" t="s">
        <v>748</v>
      </c>
      <c r="O190" s="21" t="s">
        <v>754</v>
      </c>
      <c r="P190" s="21" t="s">
        <v>17</v>
      </c>
      <c r="Q190" s="21" t="s">
        <v>17</v>
      </c>
      <c r="R190" s="21" t="s">
        <v>17</v>
      </c>
      <c r="S190" s="21" t="s">
        <v>17</v>
      </c>
      <c r="T190" s="21" t="s">
        <v>17</v>
      </c>
      <c r="U190" s="21" t="s">
        <v>17</v>
      </c>
      <c r="V190" s="21" t="s">
        <v>17</v>
      </c>
      <c r="W190" s="21" t="s">
        <v>17</v>
      </c>
      <c r="X190" s="21" t="s">
        <v>17</v>
      </c>
      <c r="Y190" s="21" t="s">
        <v>17</v>
      </c>
      <c r="Z190" s="21" t="s">
        <v>1313</v>
      </c>
      <c r="AA190" s="21" t="s">
        <v>370</v>
      </c>
      <c r="AB190" s="21" t="s">
        <v>740</v>
      </c>
      <c r="AC190" s="21" t="s">
        <v>1316</v>
      </c>
      <c r="AD190" s="21" t="s">
        <v>1317</v>
      </c>
    </row>
    <row r="191" spans="1:30">
      <c r="A191" s="21">
        <v>211100</v>
      </c>
      <c r="B191" s="21" t="s">
        <v>726</v>
      </c>
      <c r="C191" s="21" t="s">
        <v>27</v>
      </c>
      <c r="D191" s="21" t="s">
        <v>727</v>
      </c>
      <c r="E191" s="21" t="s">
        <v>727</v>
      </c>
      <c r="F191" s="21" t="s">
        <v>727</v>
      </c>
      <c r="G191" s="21" t="s">
        <v>747</v>
      </c>
      <c r="H191" s="21" t="s">
        <v>17</v>
      </c>
      <c r="I191" s="21" t="s">
        <v>17</v>
      </c>
      <c r="J191" s="21" t="s">
        <v>17</v>
      </c>
      <c r="K191" s="21">
        <v>35</v>
      </c>
      <c r="L191" s="21" t="s">
        <v>730</v>
      </c>
      <c r="M191" s="21" t="s">
        <v>758</v>
      </c>
      <c r="N191" s="21" t="s">
        <v>748</v>
      </c>
      <c r="O191" s="21" t="s">
        <v>754</v>
      </c>
      <c r="P191" s="21" t="s">
        <v>17</v>
      </c>
      <c r="Q191" s="21" t="s">
        <v>17</v>
      </c>
      <c r="R191" s="21" t="s">
        <v>17</v>
      </c>
      <c r="S191" s="21" t="s">
        <v>17</v>
      </c>
      <c r="T191" s="21" t="s">
        <v>17</v>
      </c>
      <c r="U191" s="21" t="s">
        <v>17</v>
      </c>
      <c r="V191" s="21" t="s">
        <v>17</v>
      </c>
      <c r="W191" s="21" t="s">
        <v>17</v>
      </c>
      <c r="X191" s="21" t="s">
        <v>17</v>
      </c>
      <c r="Y191" s="21" t="s">
        <v>17</v>
      </c>
      <c r="Z191" s="21" t="s">
        <v>1318</v>
      </c>
      <c r="AA191" s="21" t="s">
        <v>371</v>
      </c>
      <c r="AB191" s="21" t="s">
        <v>1319</v>
      </c>
      <c r="AC191" s="21" t="s">
        <v>1320</v>
      </c>
      <c r="AD191" s="21" t="s">
        <v>1321</v>
      </c>
    </row>
    <row r="192" spans="1:30">
      <c r="A192" s="21">
        <v>211099</v>
      </c>
      <c r="B192" s="21" t="s">
        <v>726</v>
      </c>
      <c r="C192" s="21" t="s">
        <v>27</v>
      </c>
      <c r="D192" s="21" t="s">
        <v>727</v>
      </c>
      <c r="E192" s="21" t="s">
        <v>747</v>
      </c>
      <c r="F192" s="21" t="s">
        <v>727</v>
      </c>
      <c r="G192" s="21" t="s">
        <v>747</v>
      </c>
      <c r="H192" s="21" t="s">
        <v>17</v>
      </c>
      <c r="I192" s="21" t="s">
        <v>17</v>
      </c>
      <c r="J192" s="21" t="s">
        <v>17</v>
      </c>
      <c r="K192" s="21">
        <v>30</v>
      </c>
      <c r="L192" s="21" t="s">
        <v>730</v>
      </c>
      <c r="M192" s="21" t="s">
        <v>730</v>
      </c>
      <c r="N192" s="21" t="s">
        <v>748</v>
      </c>
      <c r="O192" s="21" t="s">
        <v>754</v>
      </c>
      <c r="P192" s="21" t="s">
        <v>17</v>
      </c>
      <c r="Q192" s="21" t="s">
        <v>17</v>
      </c>
      <c r="R192" s="21" t="s">
        <v>17</v>
      </c>
      <c r="S192" s="21" t="s">
        <v>17</v>
      </c>
      <c r="T192" s="21" t="s">
        <v>17</v>
      </c>
      <c r="U192" s="21" t="s">
        <v>17</v>
      </c>
      <c r="V192" s="21" t="s">
        <v>17</v>
      </c>
      <c r="W192" s="21" t="s">
        <v>17</v>
      </c>
      <c r="X192" s="21" t="s">
        <v>17</v>
      </c>
      <c r="Y192" s="21" t="s">
        <v>17</v>
      </c>
      <c r="Z192" s="21" t="s">
        <v>1318</v>
      </c>
      <c r="AA192" s="21" t="s">
        <v>373</v>
      </c>
      <c r="AB192" s="21" t="s">
        <v>1037</v>
      </c>
      <c r="AC192" s="21" t="s">
        <v>1322</v>
      </c>
      <c r="AD192" s="21" t="s">
        <v>1323</v>
      </c>
    </row>
    <row r="193" spans="1:30">
      <c r="A193" s="21">
        <v>211098</v>
      </c>
      <c r="B193" s="21" t="s">
        <v>726</v>
      </c>
      <c r="C193" s="21" t="s">
        <v>27</v>
      </c>
      <c r="D193" s="21" t="s">
        <v>727</v>
      </c>
      <c r="E193" s="21" t="s">
        <v>747</v>
      </c>
      <c r="F193" s="21" t="s">
        <v>752</v>
      </c>
      <c r="G193" s="21" t="s">
        <v>747</v>
      </c>
      <c r="H193" s="21" t="s">
        <v>17</v>
      </c>
      <c r="I193" s="21" t="s">
        <v>17</v>
      </c>
      <c r="J193" s="21" t="s">
        <v>17</v>
      </c>
      <c r="K193" s="21">
        <v>10</v>
      </c>
      <c r="L193" s="21" t="s">
        <v>730</v>
      </c>
      <c r="M193" s="21" t="s">
        <v>730</v>
      </c>
      <c r="N193" s="21" t="s">
        <v>843</v>
      </c>
      <c r="O193" s="21" t="s">
        <v>754</v>
      </c>
      <c r="P193" s="21" t="s">
        <v>17</v>
      </c>
      <c r="Q193" s="21" t="s">
        <v>17</v>
      </c>
      <c r="R193" s="21" t="s">
        <v>17</v>
      </c>
      <c r="S193" s="21" t="s">
        <v>17</v>
      </c>
      <c r="T193" s="21" t="s">
        <v>17</v>
      </c>
      <c r="U193" s="21" t="s">
        <v>17</v>
      </c>
      <c r="V193" s="21" t="s">
        <v>17</v>
      </c>
      <c r="W193" s="21" t="s">
        <v>17</v>
      </c>
      <c r="X193" s="21" t="s">
        <v>17</v>
      </c>
      <c r="Y193" s="21" t="s">
        <v>17</v>
      </c>
      <c r="Z193" s="21" t="s">
        <v>1324</v>
      </c>
      <c r="AA193" s="21" t="s">
        <v>374</v>
      </c>
      <c r="AB193" s="21" t="s">
        <v>1325</v>
      </c>
      <c r="AC193" s="21" t="s">
        <v>1326</v>
      </c>
      <c r="AD193" s="21" t="s">
        <v>1327</v>
      </c>
    </row>
    <row r="194" spans="1:30">
      <c r="A194" s="21">
        <v>211096</v>
      </c>
      <c r="B194" s="21" t="s">
        <v>726</v>
      </c>
      <c r="C194" s="21" t="s">
        <v>27</v>
      </c>
      <c r="D194" s="21" t="s">
        <v>727</v>
      </c>
      <c r="E194" s="21" t="s">
        <v>727</v>
      </c>
      <c r="F194" s="21" t="s">
        <v>727</v>
      </c>
      <c r="G194" s="21" t="s">
        <v>747</v>
      </c>
      <c r="H194" s="21" t="s">
        <v>17</v>
      </c>
      <c r="I194" s="21" t="s">
        <v>17</v>
      </c>
      <c r="J194" s="21" t="s">
        <v>17</v>
      </c>
      <c r="K194" s="21">
        <v>35</v>
      </c>
      <c r="L194" s="21" t="s">
        <v>730</v>
      </c>
      <c r="M194" s="21" t="s">
        <v>758</v>
      </c>
      <c r="N194" s="21" t="s">
        <v>748</v>
      </c>
      <c r="O194" s="21" t="s">
        <v>754</v>
      </c>
      <c r="P194" s="21" t="s">
        <v>17</v>
      </c>
      <c r="Q194" s="21" t="s">
        <v>17</v>
      </c>
      <c r="R194" s="21" t="s">
        <v>17</v>
      </c>
      <c r="S194" s="21" t="s">
        <v>17</v>
      </c>
      <c r="T194" s="21" t="s">
        <v>17</v>
      </c>
      <c r="U194" s="21" t="s">
        <v>17</v>
      </c>
      <c r="V194" s="21" t="s">
        <v>17</v>
      </c>
      <c r="W194" s="21" t="s">
        <v>17</v>
      </c>
      <c r="X194" s="21" t="s">
        <v>17</v>
      </c>
      <c r="Y194" s="21" t="s">
        <v>17</v>
      </c>
      <c r="Z194" s="21" t="s">
        <v>1328</v>
      </c>
      <c r="AA194" s="21" t="s">
        <v>376</v>
      </c>
      <c r="AB194" s="21" t="s">
        <v>1329</v>
      </c>
      <c r="AC194" s="21" t="s">
        <v>1330</v>
      </c>
      <c r="AD194" s="21" t="s">
        <v>1331</v>
      </c>
    </row>
    <row r="195" spans="1:30">
      <c r="A195" s="21">
        <v>211094</v>
      </c>
      <c r="B195" s="21" t="s">
        <v>726</v>
      </c>
      <c r="C195" s="21" t="s">
        <v>27</v>
      </c>
      <c r="D195" s="21" t="s">
        <v>727</v>
      </c>
      <c r="E195" s="21" t="s">
        <v>747</v>
      </c>
      <c r="F195" s="21" t="s">
        <v>727</v>
      </c>
      <c r="G195" s="21" t="s">
        <v>747</v>
      </c>
      <c r="H195" s="21" t="s">
        <v>17</v>
      </c>
      <c r="I195" s="21" t="s">
        <v>17</v>
      </c>
      <c r="J195" s="21" t="s">
        <v>17</v>
      </c>
      <c r="K195" s="21">
        <v>30</v>
      </c>
      <c r="L195" s="21" t="s">
        <v>730</v>
      </c>
      <c r="M195" s="21" t="s">
        <v>730</v>
      </c>
      <c r="N195" s="21" t="s">
        <v>748</v>
      </c>
      <c r="O195" s="21" t="s">
        <v>754</v>
      </c>
      <c r="P195" s="21" t="s">
        <v>17</v>
      </c>
      <c r="Q195" s="21" t="s">
        <v>17</v>
      </c>
      <c r="R195" s="21" t="s">
        <v>17</v>
      </c>
      <c r="S195" s="21" t="s">
        <v>17</v>
      </c>
      <c r="T195" s="21" t="s">
        <v>17</v>
      </c>
      <c r="U195" s="21" t="s">
        <v>17</v>
      </c>
      <c r="V195" s="21" t="s">
        <v>17</v>
      </c>
      <c r="W195" s="21" t="s">
        <v>17</v>
      </c>
      <c r="X195" s="21" t="s">
        <v>17</v>
      </c>
      <c r="Y195" s="21" t="s">
        <v>17</v>
      </c>
      <c r="Z195" s="21" t="s">
        <v>1332</v>
      </c>
      <c r="AA195" s="21" t="s">
        <v>378</v>
      </c>
      <c r="AB195" s="21" t="s">
        <v>740</v>
      </c>
      <c r="AC195" s="21" t="s">
        <v>1333</v>
      </c>
      <c r="AD195" s="21" t="s">
        <v>1334</v>
      </c>
    </row>
    <row r="196" spans="1:30">
      <c r="A196" s="21">
        <v>211093</v>
      </c>
      <c r="B196" s="21" t="s">
        <v>726</v>
      </c>
      <c r="C196" s="21" t="s">
        <v>27</v>
      </c>
      <c r="D196" s="21" t="s">
        <v>727</v>
      </c>
      <c r="E196" s="21" t="s">
        <v>727</v>
      </c>
      <c r="F196" s="21" t="s">
        <v>727</v>
      </c>
      <c r="G196" s="21" t="s">
        <v>747</v>
      </c>
      <c r="H196" s="21" t="s">
        <v>17</v>
      </c>
      <c r="I196" s="21" t="s">
        <v>17</v>
      </c>
      <c r="J196" s="21" t="s">
        <v>17</v>
      </c>
      <c r="K196" s="21">
        <v>35</v>
      </c>
      <c r="L196" s="21" t="s">
        <v>730</v>
      </c>
      <c r="M196" s="21" t="s">
        <v>758</v>
      </c>
      <c r="N196" s="21" t="s">
        <v>748</v>
      </c>
      <c r="O196" s="21" t="s">
        <v>754</v>
      </c>
      <c r="P196" s="21" t="s">
        <v>17</v>
      </c>
      <c r="Q196" s="21" t="s">
        <v>17</v>
      </c>
      <c r="R196" s="21" t="s">
        <v>17</v>
      </c>
      <c r="S196" s="21" t="s">
        <v>17</v>
      </c>
      <c r="T196" s="21" t="s">
        <v>17</v>
      </c>
      <c r="U196" s="21" t="s">
        <v>17</v>
      </c>
      <c r="V196" s="21" t="s">
        <v>17</v>
      </c>
      <c r="W196" s="21" t="s">
        <v>17</v>
      </c>
      <c r="X196" s="21" t="s">
        <v>17</v>
      </c>
      <c r="Y196" s="21" t="s">
        <v>17</v>
      </c>
      <c r="Z196" s="21" t="s">
        <v>1335</v>
      </c>
      <c r="AA196" s="21" t="s">
        <v>380</v>
      </c>
      <c r="AB196" s="21" t="s">
        <v>740</v>
      </c>
      <c r="AC196" s="21" t="s">
        <v>1336</v>
      </c>
      <c r="AD196" s="21" t="s">
        <v>1337</v>
      </c>
    </row>
    <row r="197" spans="1:30">
      <c r="A197" s="21">
        <v>211090</v>
      </c>
      <c r="B197" s="21" t="s">
        <v>726</v>
      </c>
      <c r="C197" s="21" t="s">
        <v>27</v>
      </c>
      <c r="D197" s="21" t="s">
        <v>727</v>
      </c>
      <c r="E197" s="21" t="s">
        <v>727</v>
      </c>
      <c r="F197" s="21" t="s">
        <v>727</v>
      </c>
      <c r="G197" s="21" t="s">
        <v>747</v>
      </c>
      <c r="H197" s="21" t="s">
        <v>17</v>
      </c>
      <c r="I197" s="21" t="s">
        <v>17</v>
      </c>
      <c r="J197" s="21" t="s">
        <v>17</v>
      </c>
      <c r="K197" s="21">
        <v>35</v>
      </c>
      <c r="L197" s="21" t="s">
        <v>730</v>
      </c>
      <c r="M197" s="21" t="s">
        <v>758</v>
      </c>
      <c r="N197" s="21" t="s">
        <v>748</v>
      </c>
      <c r="O197" s="21" t="s">
        <v>754</v>
      </c>
      <c r="P197" s="21" t="s">
        <v>17</v>
      </c>
      <c r="Q197" s="21" t="s">
        <v>17</v>
      </c>
      <c r="R197" s="21" t="s">
        <v>17</v>
      </c>
      <c r="S197" s="21" t="s">
        <v>17</v>
      </c>
      <c r="T197" s="21" t="s">
        <v>17</v>
      </c>
      <c r="U197" s="21" t="s">
        <v>17</v>
      </c>
      <c r="V197" s="21" t="s">
        <v>17</v>
      </c>
      <c r="W197" s="21" t="s">
        <v>17</v>
      </c>
      <c r="X197" s="21" t="s">
        <v>17</v>
      </c>
      <c r="Y197" s="21" t="s">
        <v>17</v>
      </c>
      <c r="Z197" s="21" t="s">
        <v>1338</v>
      </c>
      <c r="AA197" s="21" t="s">
        <v>382</v>
      </c>
      <c r="AB197" s="21" t="s">
        <v>740</v>
      </c>
      <c r="AC197" s="21" t="s">
        <v>1339</v>
      </c>
      <c r="AD197" s="21" t="s">
        <v>1340</v>
      </c>
    </row>
    <row r="198" spans="1:30">
      <c r="A198" s="21">
        <v>211089</v>
      </c>
      <c r="B198" s="21" t="s">
        <v>726</v>
      </c>
      <c r="C198" s="21" t="s">
        <v>27</v>
      </c>
      <c r="D198" s="21" t="s">
        <v>727</v>
      </c>
      <c r="E198" s="21" t="s">
        <v>727</v>
      </c>
      <c r="F198" s="21" t="s">
        <v>727</v>
      </c>
      <c r="G198" s="21" t="s">
        <v>747</v>
      </c>
      <c r="H198" s="21" t="s">
        <v>17</v>
      </c>
      <c r="I198" s="21" t="s">
        <v>17</v>
      </c>
      <c r="J198" s="21" t="s">
        <v>17</v>
      </c>
      <c r="K198" s="21">
        <v>35</v>
      </c>
      <c r="L198" s="21" t="s">
        <v>730</v>
      </c>
      <c r="M198" s="21" t="s">
        <v>758</v>
      </c>
      <c r="N198" s="21" t="s">
        <v>748</v>
      </c>
      <c r="O198" s="21" t="s">
        <v>754</v>
      </c>
      <c r="P198" s="21" t="s">
        <v>17</v>
      </c>
      <c r="Q198" s="21" t="s">
        <v>17</v>
      </c>
      <c r="R198" s="21" t="s">
        <v>17</v>
      </c>
      <c r="S198" s="21" t="s">
        <v>17</v>
      </c>
      <c r="T198" s="21" t="s">
        <v>17</v>
      </c>
      <c r="U198" s="21" t="s">
        <v>17</v>
      </c>
      <c r="V198" s="21" t="s">
        <v>17</v>
      </c>
      <c r="W198" s="21" t="s">
        <v>17</v>
      </c>
      <c r="X198" s="21" t="s">
        <v>17</v>
      </c>
      <c r="Y198" s="21" t="s">
        <v>17</v>
      </c>
      <c r="Z198" s="21" t="s">
        <v>1341</v>
      </c>
      <c r="AA198" s="21" t="s">
        <v>384</v>
      </c>
      <c r="AB198" s="21" t="s">
        <v>1342</v>
      </c>
      <c r="AC198" s="21" t="s">
        <v>1343</v>
      </c>
      <c r="AD198" s="21" t="s">
        <v>1344</v>
      </c>
    </row>
    <row r="199" spans="1:30">
      <c r="A199" s="21">
        <v>211087</v>
      </c>
      <c r="B199" s="21" t="s">
        <v>726</v>
      </c>
      <c r="C199" s="21" t="s">
        <v>27</v>
      </c>
      <c r="D199" s="21" t="s">
        <v>727</v>
      </c>
      <c r="E199" s="21" t="s">
        <v>727</v>
      </c>
      <c r="F199" s="21" t="s">
        <v>727</v>
      </c>
      <c r="G199" s="21" t="s">
        <v>747</v>
      </c>
      <c r="H199" s="21" t="s">
        <v>17</v>
      </c>
      <c r="I199" s="21" t="s">
        <v>17</v>
      </c>
      <c r="J199" s="21" t="s">
        <v>17</v>
      </c>
      <c r="K199" s="21">
        <v>35</v>
      </c>
      <c r="L199" s="21" t="s">
        <v>730</v>
      </c>
      <c r="M199" s="21" t="s">
        <v>758</v>
      </c>
      <c r="N199" s="21" t="s">
        <v>748</v>
      </c>
      <c r="O199" s="21" t="s">
        <v>754</v>
      </c>
      <c r="P199" s="21" t="s">
        <v>17</v>
      </c>
      <c r="Q199" s="21" t="s">
        <v>17</v>
      </c>
      <c r="R199" s="21" t="s">
        <v>17</v>
      </c>
      <c r="S199" s="21" t="s">
        <v>17</v>
      </c>
      <c r="T199" s="21" t="s">
        <v>17</v>
      </c>
      <c r="U199" s="21" t="s">
        <v>17</v>
      </c>
      <c r="V199" s="21" t="s">
        <v>17</v>
      </c>
      <c r="W199" s="21" t="s">
        <v>17</v>
      </c>
      <c r="X199" s="21" t="s">
        <v>17</v>
      </c>
      <c r="Y199" s="21" t="s">
        <v>17</v>
      </c>
      <c r="Z199" s="21" t="s">
        <v>1341</v>
      </c>
      <c r="AA199" s="21" t="s">
        <v>386</v>
      </c>
      <c r="AB199" s="21" t="s">
        <v>1345</v>
      </c>
      <c r="AC199" s="21" t="s">
        <v>1346</v>
      </c>
      <c r="AD199" s="21" t="s">
        <v>1347</v>
      </c>
    </row>
    <row r="200" spans="1:30">
      <c r="A200" s="21">
        <v>211086</v>
      </c>
      <c r="B200" s="21" t="s">
        <v>726</v>
      </c>
      <c r="C200" s="21" t="s">
        <v>27</v>
      </c>
      <c r="D200" s="21" t="s">
        <v>727</v>
      </c>
      <c r="E200" s="21" t="s">
        <v>727</v>
      </c>
      <c r="F200" s="21" t="s">
        <v>727</v>
      </c>
      <c r="G200" s="21" t="s">
        <v>747</v>
      </c>
      <c r="H200" s="21" t="s">
        <v>17</v>
      </c>
      <c r="I200" s="21" t="s">
        <v>17</v>
      </c>
      <c r="J200" s="21" t="s">
        <v>17</v>
      </c>
      <c r="K200" s="21">
        <v>35</v>
      </c>
      <c r="L200" s="21" t="s">
        <v>730</v>
      </c>
      <c r="M200" s="21" t="s">
        <v>758</v>
      </c>
      <c r="N200" s="21" t="s">
        <v>748</v>
      </c>
      <c r="O200" s="21" t="s">
        <v>754</v>
      </c>
      <c r="P200" s="21" t="s">
        <v>17</v>
      </c>
      <c r="Q200" s="21" t="s">
        <v>17</v>
      </c>
      <c r="R200" s="21" t="s">
        <v>17</v>
      </c>
      <c r="S200" s="21" t="s">
        <v>17</v>
      </c>
      <c r="T200" s="21" t="s">
        <v>17</v>
      </c>
      <c r="U200" s="21" t="s">
        <v>17</v>
      </c>
      <c r="V200" s="21" t="s">
        <v>17</v>
      </c>
      <c r="W200" s="21" t="s">
        <v>17</v>
      </c>
      <c r="X200" s="21" t="s">
        <v>17</v>
      </c>
      <c r="Y200" s="21" t="s">
        <v>17</v>
      </c>
      <c r="Z200" s="21" t="s">
        <v>1348</v>
      </c>
      <c r="AA200" s="21" t="s">
        <v>387</v>
      </c>
      <c r="AB200" s="21" t="s">
        <v>740</v>
      </c>
      <c r="AC200" s="21" t="s">
        <v>1349</v>
      </c>
      <c r="AD200" s="21" t="s">
        <v>1350</v>
      </c>
    </row>
    <row r="201" spans="1:30">
      <c r="A201" s="21">
        <v>211083</v>
      </c>
      <c r="B201" s="21" t="s">
        <v>726</v>
      </c>
      <c r="C201" s="21" t="s">
        <v>27</v>
      </c>
      <c r="D201" s="21" t="s">
        <v>727</v>
      </c>
      <c r="E201" s="21" t="s">
        <v>727</v>
      </c>
      <c r="F201" s="21" t="s">
        <v>727</v>
      </c>
      <c r="G201" s="21" t="s">
        <v>747</v>
      </c>
      <c r="H201" s="21" t="s">
        <v>17</v>
      </c>
      <c r="I201" s="21" t="s">
        <v>17</v>
      </c>
      <c r="J201" s="21" t="s">
        <v>17</v>
      </c>
      <c r="K201" s="21">
        <v>35</v>
      </c>
      <c r="L201" s="21" t="s">
        <v>730</v>
      </c>
      <c r="M201" s="21" t="s">
        <v>758</v>
      </c>
      <c r="N201" s="21" t="s">
        <v>748</v>
      </c>
      <c r="O201" s="21" t="s">
        <v>754</v>
      </c>
      <c r="P201" s="21" t="s">
        <v>17</v>
      </c>
      <c r="Q201" s="21" t="s">
        <v>17</v>
      </c>
      <c r="R201" s="21" t="s">
        <v>17</v>
      </c>
      <c r="S201" s="21" t="s">
        <v>17</v>
      </c>
      <c r="T201" s="21" t="s">
        <v>17</v>
      </c>
      <c r="U201" s="21" t="s">
        <v>17</v>
      </c>
      <c r="V201" s="21" t="s">
        <v>17</v>
      </c>
      <c r="W201" s="21" t="s">
        <v>17</v>
      </c>
      <c r="X201" s="21" t="s">
        <v>17</v>
      </c>
      <c r="Y201" s="21" t="s">
        <v>17</v>
      </c>
      <c r="Z201" s="21" t="s">
        <v>1351</v>
      </c>
      <c r="AA201" s="21" t="s">
        <v>389</v>
      </c>
      <c r="AB201" s="21" t="s">
        <v>740</v>
      </c>
      <c r="AC201" s="21" t="s">
        <v>1352</v>
      </c>
      <c r="AD201" s="21" t="s">
        <v>1353</v>
      </c>
    </row>
    <row r="202" spans="1:30">
      <c r="A202" s="21">
        <v>211082</v>
      </c>
      <c r="B202" s="21" t="s">
        <v>726</v>
      </c>
      <c r="C202" s="21" t="s">
        <v>27</v>
      </c>
      <c r="D202" s="21" t="s">
        <v>727</v>
      </c>
      <c r="E202" s="21" t="s">
        <v>727</v>
      </c>
      <c r="F202" s="21" t="s">
        <v>727</v>
      </c>
      <c r="G202" s="21" t="s">
        <v>747</v>
      </c>
      <c r="H202" s="21" t="s">
        <v>17</v>
      </c>
      <c r="I202" s="21" t="s">
        <v>17</v>
      </c>
      <c r="J202" s="21" t="s">
        <v>17</v>
      </c>
      <c r="K202" s="21">
        <v>35</v>
      </c>
      <c r="L202" s="21" t="s">
        <v>730</v>
      </c>
      <c r="M202" s="21" t="s">
        <v>758</v>
      </c>
      <c r="N202" s="21" t="s">
        <v>748</v>
      </c>
      <c r="O202" s="21" t="s">
        <v>754</v>
      </c>
      <c r="P202" s="21" t="s">
        <v>17</v>
      </c>
      <c r="Q202" s="21" t="s">
        <v>17</v>
      </c>
      <c r="R202" s="21" t="s">
        <v>17</v>
      </c>
      <c r="S202" s="21" t="s">
        <v>17</v>
      </c>
      <c r="T202" s="21" t="s">
        <v>17</v>
      </c>
      <c r="U202" s="21" t="s">
        <v>17</v>
      </c>
      <c r="V202" s="21" t="s">
        <v>17</v>
      </c>
      <c r="W202" s="21" t="s">
        <v>17</v>
      </c>
      <c r="X202" s="21" t="s">
        <v>17</v>
      </c>
      <c r="Y202" s="21" t="s">
        <v>17</v>
      </c>
      <c r="Z202" s="21" t="s">
        <v>1351</v>
      </c>
      <c r="AA202" s="21" t="s">
        <v>391</v>
      </c>
      <c r="AB202" s="21" t="s">
        <v>796</v>
      </c>
      <c r="AC202" s="21" t="s">
        <v>1354</v>
      </c>
      <c r="AD202" s="21" t="s">
        <v>1355</v>
      </c>
    </row>
    <row r="203" spans="1:30">
      <c r="A203" s="21">
        <v>211081</v>
      </c>
      <c r="B203" s="21" t="s">
        <v>726</v>
      </c>
      <c r="C203" s="21" t="s">
        <v>27</v>
      </c>
      <c r="D203" s="21" t="s">
        <v>727</v>
      </c>
      <c r="E203" s="21" t="s">
        <v>727</v>
      </c>
      <c r="F203" s="21" t="s">
        <v>727</v>
      </c>
      <c r="G203" s="21" t="s">
        <v>747</v>
      </c>
      <c r="H203" s="21" t="s">
        <v>17</v>
      </c>
      <c r="I203" s="21" t="s">
        <v>17</v>
      </c>
      <c r="J203" s="21" t="s">
        <v>17</v>
      </c>
      <c r="K203" s="21">
        <v>35</v>
      </c>
      <c r="L203" s="21" t="s">
        <v>730</v>
      </c>
      <c r="M203" s="21" t="s">
        <v>758</v>
      </c>
      <c r="N203" s="21" t="s">
        <v>748</v>
      </c>
      <c r="O203" s="21" t="s">
        <v>754</v>
      </c>
      <c r="P203" s="21" t="s">
        <v>17</v>
      </c>
      <c r="Q203" s="21" t="s">
        <v>17</v>
      </c>
      <c r="R203" s="21" t="s">
        <v>17</v>
      </c>
      <c r="S203" s="21" t="s">
        <v>17</v>
      </c>
      <c r="T203" s="21" t="s">
        <v>17</v>
      </c>
      <c r="U203" s="21" t="s">
        <v>17</v>
      </c>
      <c r="V203" s="21" t="s">
        <v>17</v>
      </c>
      <c r="W203" s="21" t="s">
        <v>17</v>
      </c>
      <c r="X203" s="21" t="s">
        <v>17</v>
      </c>
      <c r="Y203" s="21" t="s">
        <v>17</v>
      </c>
      <c r="Z203" s="21" t="s">
        <v>1356</v>
      </c>
      <c r="AA203" s="21" t="s">
        <v>392</v>
      </c>
      <c r="AB203" s="21" t="s">
        <v>879</v>
      </c>
      <c r="AC203" s="21" t="s">
        <v>1357</v>
      </c>
      <c r="AD203" s="21" t="s">
        <v>1358</v>
      </c>
    </row>
    <row r="204" spans="1:30">
      <c r="A204" s="21">
        <v>211080</v>
      </c>
      <c r="B204" s="21" t="s">
        <v>726</v>
      </c>
      <c r="C204" s="21" t="s">
        <v>27</v>
      </c>
      <c r="D204" s="21" t="s">
        <v>727</v>
      </c>
      <c r="E204" s="21" t="s">
        <v>747</v>
      </c>
      <c r="F204" s="21" t="s">
        <v>727</v>
      </c>
      <c r="G204" s="21" t="s">
        <v>747</v>
      </c>
      <c r="H204" s="21" t="s">
        <v>17</v>
      </c>
      <c r="I204" s="21" t="s">
        <v>17</v>
      </c>
      <c r="J204" s="21" t="s">
        <v>17</v>
      </c>
      <c r="K204" s="21">
        <v>30</v>
      </c>
      <c r="L204" s="21" t="s">
        <v>730</v>
      </c>
      <c r="M204" s="21" t="s">
        <v>730</v>
      </c>
      <c r="N204" s="21" t="s">
        <v>748</v>
      </c>
      <c r="O204" s="21" t="s">
        <v>754</v>
      </c>
      <c r="P204" s="21" t="s">
        <v>17</v>
      </c>
      <c r="Q204" s="21" t="s">
        <v>17</v>
      </c>
      <c r="R204" s="21" t="s">
        <v>17</v>
      </c>
      <c r="S204" s="21" t="s">
        <v>17</v>
      </c>
      <c r="T204" s="21" t="s">
        <v>17</v>
      </c>
      <c r="U204" s="21" t="s">
        <v>17</v>
      </c>
      <c r="V204" s="21" t="s">
        <v>17</v>
      </c>
      <c r="W204" s="21" t="s">
        <v>17</v>
      </c>
      <c r="X204" s="21" t="s">
        <v>17</v>
      </c>
      <c r="Y204" s="21" t="s">
        <v>17</v>
      </c>
      <c r="Z204" s="21" t="s">
        <v>1356</v>
      </c>
      <c r="AA204" s="21" t="s">
        <v>394</v>
      </c>
      <c r="AB204" s="21" t="s">
        <v>740</v>
      </c>
      <c r="AC204" s="21" t="s">
        <v>1359</v>
      </c>
      <c r="AD204" s="21" t="s">
        <v>1360</v>
      </c>
    </row>
    <row r="205" spans="1:30">
      <c r="A205" s="21">
        <v>211079</v>
      </c>
      <c r="B205" s="21" t="s">
        <v>726</v>
      </c>
      <c r="C205" s="21" t="s">
        <v>27</v>
      </c>
      <c r="D205" s="21" t="s">
        <v>727</v>
      </c>
      <c r="E205" s="21" t="s">
        <v>747</v>
      </c>
      <c r="F205" s="21" t="s">
        <v>727</v>
      </c>
      <c r="G205" s="21" t="s">
        <v>747</v>
      </c>
      <c r="H205" s="21" t="s">
        <v>17</v>
      </c>
      <c r="I205" s="21" t="s">
        <v>17</v>
      </c>
      <c r="J205" s="21" t="s">
        <v>17</v>
      </c>
      <c r="K205" s="21">
        <v>30</v>
      </c>
      <c r="L205" s="21" t="s">
        <v>730</v>
      </c>
      <c r="M205" s="21" t="s">
        <v>730</v>
      </c>
      <c r="N205" s="21" t="s">
        <v>748</v>
      </c>
      <c r="O205" s="21" t="s">
        <v>754</v>
      </c>
      <c r="P205" s="21" t="s">
        <v>17</v>
      </c>
      <c r="Q205" s="21" t="s">
        <v>17</v>
      </c>
      <c r="R205" s="21" t="s">
        <v>17</v>
      </c>
      <c r="S205" s="21" t="s">
        <v>17</v>
      </c>
      <c r="T205" s="21" t="s">
        <v>17</v>
      </c>
      <c r="U205" s="21" t="s">
        <v>17</v>
      </c>
      <c r="V205" s="21" t="s">
        <v>17</v>
      </c>
      <c r="W205" s="21" t="s">
        <v>17</v>
      </c>
      <c r="X205" s="21" t="s">
        <v>17</v>
      </c>
      <c r="Y205" s="21" t="s">
        <v>17</v>
      </c>
      <c r="Z205" s="21" t="s">
        <v>1361</v>
      </c>
      <c r="AA205" s="21" t="s">
        <v>395</v>
      </c>
      <c r="AB205" s="21" t="s">
        <v>1137</v>
      </c>
      <c r="AC205" s="21" t="s">
        <v>1362</v>
      </c>
      <c r="AD205" s="21" t="s">
        <v>1363</v>
      </c>
    </row>
    <row r="206" spans="1:30">
      <c r="A206" s="21">
        <v>211078</v>
      </c>
      <c r="B206" s="21" t="s">
        <v>726</v>
      </c>
      <c r="C206" s="21" t="s">
        <v>27</v>
      </c>
      <c r="D206" s="21" t="s">
        <v>727</v>
      </c>
      <c r="E206" s="21" t="s">
        <v>955</v>
      </c>
      <c r="F206" s="21" t="s">
        <v>752</v>
      </c>
      <c r="G206" s="21" t="s">
        <v>747</v>
      </c>
      <c r="H206" s="21" t="s">
        <v>17</v>
      </c>
      <c r="I206" s="21" t="s">
        <v>17</v>
      </c>
      <c r="J206" s="21" t="s">
        <v>17</v>
      </c>
      <c r="K206" s="21">
        <v>8</v>
      </c>
      <c r="L206" s="21" t="s">
        <v>730</v>
      </c>
      <c r="M206" s="21" t="s">
        <v>1040</v>
      </c>
      <c r="N206" s="21" t="s">
        <v>843</v>
      </c>
      <c r="O206" s="21" t="s">
        <v>754</v>
      </c>
      <c r="P206" s="21" t="s">
        <v>17</v>
      </c>
      <c r="Q206" s="21" t="s">
        <v>17</v>
      </c>
      <c r="R206" s="21" t="s">
        <v>17</v>
      </c>
      <c r="S206" s="21" t="s">
        <v>17</v>
      </c>
      <c r="T206" s="21" t="s">
        <v>17</v>
      </c>
      <c r="U206" s="21" t="s">
        <v>17</v>
      </c>
      <c r="V206" s="21" t="s">
        <v>17</v>
      </c>
      <c r="W206" s="21" t="s">
        <v>17</v>
      </c>
      <c r="X206" s="21" t="s">
        <v>17</v>
      </c>
      <c r="Y206" s="21" t="s">
        <v>17</v>
      </c>
      <c r="Z206" s="21" t="s">
        <v>1364</v>
      </c>
      <c r="AA206" s="21" t="s">
        <v>397</v>
      </c>
      <c r="AB206" s="21" t="s">
        <v>1365</v>
      </c>
      <c r="AC206" s="21" t="s">
        <v>1366</v>
      </c>
      <c r="AD206" s="21" t="s">
        <v>1367</v>
      </c>
    </row>
    <row r="207" spans="1:30">
      <c r="A207" s="21">
        <v>211077</v>
      </c>
      <c r="B207" s="21" t="s">
        <v>726</v>
      </c>
      <c r="C207" s="21" t="s">
        <v>27</v>
      </c>
      <c r="D207" s="21" t="s">
        <v>727</v>
      </c>
      <c r="E207" s="21" t="s">
        <v>747</v>
      </c>
      <c r="F207" s="21" t="s">
        <v>727</v>
      </c>
      <c r="G207" s="21" t="s">
        <v>747</v>
      </c>
      <c r="H207" s="21" t="s">
        <v>17</v>
      </c>
      <c r="I207" s="21" t="s">
        <v>17</v>
      </c>
      <c r="J207" s="21" t="s">
        <v>17</v>
      </c>
      <c r="K207" s="21">
        <v>30</v>
      </c>
      <c r="L207" s="21" t="s">
        <v>730</v>
      </c>
      <c r="M207" s="21" t="s">
        <v>730</v>
      </c>
      <c r="N207" s="21" t="s">
        <v>748</v>
      </c>
      <c r="O207" s="21" t="s">
        <v>754</v>
      </c>
      <c r="P207" s="21" t="s">
        <v>17</v>
      </c>
      <c r="Q207" s="21" t="s">
        <v>17</v>
      </c>
      <c r="R207" s="21" t="s">
        <v>17</v>
      </c>
      <c r="S207" s="21" t="s">
        <v>17</v>
      </c>
      <c r="T207" s="21" t="s">
        <v>17</v>
      </c>
      <c r="U207" s="21" t="s">
        <v>17</v>
      </c>
      <c r="V207" s="21" t="s">
        <v>17</v>
      </c>
      <c r="W207" s="21" t="s">
        <v>17</v>
      </c>
      <c r="X207" s="21" t="s">
        <v>17</v>
      </c>
      <c r="Y207" s="21" t="s">
        <v>17</v>
      </c>
      <c r="Z207" s="21" t="s">
        <v>1368</v>
      </c>
      <c r="AA207" s="21" t="s">
        <v>399</v>
      </c>
      <c r="AB207" s="21" t="s">
        <v>740</v>
      </c>
      <c r="AC207" s="21" t="s">
        <v>1369</v>
      </c>
      <c r="AD207" s="21" t="s">
        <v>1370</v>
      </c>
    </row>
    <row r="208" spans="1:30">
      <c r="A208" s="21">
        <v>211076</v>
      </c>
      <c r="B208" s="21" t="s">
        <v>726</v>
      </c>
      <c r="C208" s="21" t="s">
        <v>27</v>
      </c>
      <c r="D208" s="21" t="s">
        <v>727</v>
      </c>
      <c r="E208" s="21" t="s">
        <v>727</v>
      </c>
      <c r="F208" s="21" t="s">
        <v>727</v>
      </c>
      <c r="G208" s="21" t="s">
        <v>727</v>
      </c>
      <c r="H208" s="21" t="s">
        <v>17</v>
      </c>
      <c r="I208" s="21" t="s">
        <v>17</v>
      </c>
      <c r="J208" s="21" t="s">
        <v>17</v>
      </c>
      <c r="K208" s="21">
        <v>40</v>
      </c>
      <c r="L208" s="21" t="s">
        <v>730</v>
      </c>
      <c r="M208" s="21" t="s">
        <v>758</v>
      </c>
      <c r="N208" s="21" t="s">
        <v>758</v>
      </c>
      <c r="O208" s="21" t="s">
        <v>758</v>
      </c>
      <c r="P208" s="21" t="s">
        <v>17</v>
      </c>
      <c r="Q208" s="21" t="s">
        <v>17</v>
      </c>
      <c r="R208" s="21" t="s">
        <v>17</v>
      </c>
      <c r="S208" s="21" t="s">
        <v>17</v>
      </c>
      <c r="T208" s="21" t="s">
        <v>17</v>
      </c>
      <c r="U208" s="21" t="s">
        <v>17</v>
      </c>
      <c r="V208" s="21" t="s">
        <v>17</v>
      </c>
      <c r="W208" s="21" t="s">
        <v>17</v>
      </c>
      <c r="X208" s="21" t="s">
        <v>17</v>
      </c>
      <c r="Y208" s="21" t="s">
        <v>17</v>
      </c>
      <c r="Z208" s="21" t="s">
        <v>1371</v>
      </c>
      <c r="AA208" s="21" t="s">
        <v>401</v>
      </c>
      <c r="AB208" s="21" t="s">
        <v>740</v>
      </c>
      <c r="AC208" s="21" t="s">
        <v>1372</v>
      </c>
      <c r="AD208" s="21" t="s">
        <v>1373</v>
      </c>
    </row>
    <row r="209" spans="1:30">
      <c r="A209" s="21">
        <v>211075</v>
      </c>
      <c r="B209" s="21" t="s">
        <v>726</v>
      </c>
      <c r="C209" s="21" t="s">
        <v>27</v>
      </c>
      <c r="D209" s="21" t="s">
        <v>727</v>
      </c>
      <c r="E209" s="21" t="s">
        <v>727</v>
      </c>
      <c r="F209" s="21" t="s">
        <v>727</v>
      </c>
      <c r="G209" s="21" t="s">
        <v>747</v>
      </c>
      <c r="H209" s="21" t="s">
        <v>17</v>
      </c>
      <c r="I209" s="21" t="s">
        <v>17</v>
      </c>
      <c r="J209" s="21" t="s">
        <v>17</v>
      </c>
      <c r="K209" s="21">
        <v>35</v>
      </c>
      <c r="L209" s="21" t="s">
        <v>730</v>
      </c>
      <c r="M209" s="21" t="s">
        <v>758</v>
      </c>
      <c r="N209" s="21" t="s">
        <v>748</v>
      </c>
      <c r="O209" s="21" t="s">
        <v>754</v>
      </c>
      <c r="P209" s="21" t="s">
        <v>17</v>
      </c>
      <c r="Q209" s="21" t="s">
        <v>17</v>
      </c>
      <c r="R209" s="21" t="s">
        <v>17</v>
      </c>
      <c r="S209" s="21" t="s">
        <v>17</v>
      </c>
      <c r="T209" s="21" t="s">
        <v>17</v>
      </c>
      <c r="U209" s="21" t="s">
        <v>17</v>
      </c>
      <c r="V209" s="21" t="s">
        <v>17</v>
      </c>
      <c r="W209" s="21" t="s">
        <v>17</v>
      </c>
      <c r="X209" s="21" t="s">
        <v>17</v>
      </c>
      <c r="Y209" s="21" t="s">
        <v>17</v>
      </c>
      <c r="Z209" s="21" t="s">
        <v>1374</v>
      </c>
      <c r="AA209" s="21" t="s">
        <v>403</v>
      </c>
      <c r="AB209" s="21" t="s">
        <v>912</v>
      </c>
      <c r="AC209" s="21" t="s">
        <v>1375</v>
      </c>
      <c r="AD209" s="21" t="s">
        <v>1376</v>
      </c>
    </row>
    <row r="210" spans="1:30">
      <c r="A210" s="21">
        <v>211074</v>
      </c>
      <c r="B210" s="21" t="s">
        <v>726</v>
      </c>
      <c r="C210" s="21" t="s">
        <v>27</v>
      </c>
      <c r="D210" s="21" t="s">
        <v>727</v>
      </c>
      <c r="E210" s="21" t="s">
        <v>727</v>
      </c>
      <c r="F210" s="21" t="s">
        <v>727</v>
      </c>
      <c r="G210" s="21" t="s">
        <v>747</v>
      </c>
      <c r="H210" s="21" t="s">
        <v>17</v>
      </c>
      <c r="I210" s="21" t="s">
        <v>17</v>
      </c>
      <c r="J210" s="21" t="s">
        <v>17</v>
      </c>
      <c r="K210" s="21">
        <v>35</v>
      </c>
      <c r="L210" s="21" t="s">
        <v>730</v>
      </c>
      <c r="M210" s="21" t="s">
        <v>758</v>
      </c>
      <c r="N210" s="21" t="s">
        <v>748</v>
      </c>
      <c r="O210" s="21" t="s">
        <v>754</v>
      </c>
      <c r="P210" s="21" t="s">
        <v>17</v>
      </c>
      <c r="Q210" s="21" t="s">
        <v>17</v>
      </c>
      <c r="R210" s="21" t="s">
        <v>17</v>
      </c>
      <c r="S210" s="21" t="s">
        <v>17</v>
      </c>
      <c r="T210" s="21" t="s">
        <v>17</v>
      </c>
      <c r="U210" s="21" t="s">
        <v>17</v>
      </c>
      <c r="V210" s="21" t="s">
        <v>17</v>
      </c>
      <c r="W210" s="21" t="s">
        <v>17</v>
      </c>
      <c r="X210" s="21" t="s">
        <v>17</v>
      </c>
      <c r="Y210" s="21" t="s">
        <v>17</v>
      </c>
      <c r="Z210" s="21" t="s">
        <v>1377</v>
      </c>
      <c r="AA210" s="21" t="s">
        <v>405</v>
      </c>
      <c r="AB210" s="21" t="s">
        <v>1378</v>
      </c>
      <c r="AC210" s="21" t="s">
        <v>1379</v>
      </c>
      <c r="AD210" s="21" t="s">
        <v>1380</v>
      </c>
    </row>
    <row r="211" spans="1:30">
      <c r="A211" s="21">
        <v>211073</v>
      </c>
      <c r="B211" s="21" t="s">
        <v>726</v>
      </c>
      <c r="C211" s="21" t="s">
        <v>27</v>
      </c>
      <c r="D211" s="21" t="s">
        <v>727</v>
      </c>
      <c r="E211" s="21" t="s">
        <v>727</v>
      </c>
      <c r="F211" s="21" t="s">
        <v>727</v>
      </c>
      <c r="G211" s="21" t="s">
        <v>747</v>
      </c>
      <c r="H211" s="21" t="s">
        <v>17</v>
      </c>
      <c r="I211" s="21" t="s">
        <v>17</v>
      </c>
      <c r="J211" s="21" t="s">
        <v>17</v>
      </c>
      <c r="K211" s="21">
        <v>35</v>
      </c>
      <c r="L211" s="21" t="s">
        <v>730</v>
      </c>
      <c r="M211" s="21" t="s">
        <v>758</v>
      </c>
      <c r="N211" s="21" t="s">
        <v>748</v>
      </c>
      <c r="O211" s="21" t="s">
        <v>754</v>
      </c>
      <c r="P211" s="21" t="s">
        <v>17</v>
      </c>
      <c r="Q211" s="21" t="s">
        <v>17</v>
      </c>
      <c r="R211" s="21" t="s">
        <v>17</v>
      </c>
      <c r="S211" s="21" t="s">
        <v>17</v>
      </c>
      <c r="T211" s="21" t="s">
        <v>17</v>
      </c>
      <c r="U211" s="21" t="s">
        <v>17</v>
      </c>
      <c r="V211" s="21" t="s">
        <v>17</v>
      </c>
      <c r="W211" s="21" t="s">
        <v>17</v>
      </c>
      <c r="X211" s="21" t="s">
        <v>17</v>
      </c>
      <c r="Y211" s="21" t="s">
        <v>17</v>
      </c>
      <c r="Z211" s="21" t="s">
        <v>1381</v>
      </c>
      <c r="AA211" s="21" t="s">
        <v>407</v>
      </c>
      <c r="AB211" s="21" t="s">
        <v>1382</v>
      </c>
      <c r="AC211" s="21" t="s">
        <v>1383</v>
      </c>
      <c r="AD211" s="21" t="s">
        <v>1384</v>
      </c>
    </row>
    <row r="212" spans="1:30">
      <c r="A212" s="21">
        <v>211072</v>
      </c>
      <c r="B212" s="21" t="s">
        <v>726</v>
      </c>
      <c r="C212" s="21" t="s">
        <v>27</v>
      </c>
      <c r="D212" s="21" t="s">
        <v>727</v>
      </c>
      <c r="E212" s="21" t="s">
        <v>747</v>
      </c>
      <c r="F212" s="21" t="s">
        <v>727</v>
      </c>
      <c r="G212" s="21" t="s">
        <v>747</v>
      </c>
      <c r="H212" s="21" t="s">
        <v>17</v>
      </c>
      <c r="I212" s="21" t="s">
        <v>17</v>
      </c>
      <c r="J212" s="21" t="s">
        <v>17</v>
      </c>
      <c r="K212" s="21">
        <v>30</v>
      </c>
      <c r="L212" s="21" t="s">
        <v>730</v>
      </c>
      <c r="M212" s="21" t="s">
        <v>730</v>
      </c>
      <c r="N212" s="21" t="s">
        <v>748</v>
      </c>
      <c r="O212" s="21" t="s">
        <v>754</v>
      </c>
      <c r="P212" s="21" t="s">
        <v>17</v>
      </c>
      <c r="Q212" s="21" t="s">
        <v>17</v>
      </c>
      <c r="R212" s="21" t="s">
        <v>17</v>
      </c>
      <c r="S212" s="21" t="s">
        <v>17</v>
      </c>
      <c r="T212" s="21" t="s">
        <v>17</v>
      </c>
      <c r="U212" s="21" t="s">
        <v>17</v>
      </c>
      <c r="V212" s="21" t="s">
        <v>17</v>
      </c>
      <c r="W212" s="21" t="s">
        <v>17</v>
      </c>
      <c r="X212" s="21" t="s">
        <v>17</v>
      </c>
      <c r="Y212" s="21" t="s">
        <v>17</v>
      </c>
      <c r="Z212" s="21" t="s">
        <v>1385</v>
      </c>
      <c r="AA212" s="21" t="s">
        <v>409</v>
      </c>
      <c r="AB212" s="21" t="s">
        <v>796</v>
      </c>
      <c r="AC212" s="21" t="s">
        <v>1386</v>
      </c>
      <c r="AD212" s="21" t="s">
        <v>1387</v>
      </c>
    </row>
    <row r="213" spans="1:30">
      <c r="A213" s="21">
        <v>211071</v>
      </c>
      <c r="B213" s="21" t="s">
        <v>726</v>
      </c>
      <c r="C213" s="21" t="s">
        <v>27</v>
      </c>
      <c r="D213" s="21" t="s">
        <v>727</v>
      </c>
      <c r="E213" s="21" t="s">
        <v>727</v>
      </c>
      <c r="F213" s="21" t="s">
        <v>727</v>
      </c>
      <c r="G213" s="21" t="s">
        <v>747</v>
      </c>
      <c r="H213" s="21" t="s">
        <v>17</v>
      </c>
      <c r="I213" s="21" t="s">
        <v>17</v>
      </c>
      <c r="J213" s="21" t="s">
        <v>17</v>
      </c>
      <c r="K213" s="21">
        <v>35</v>
      </c>
      <c r="L213" s="21" t="s">
        <v>730</v>
      </c>
      <c r="M213" s="21" t="s">
        <v>758</v>
      </c>
      <c r="N213" s="21" t="s">
        <v>748</v>
      </c>
      <c r="O213" s="21" t="s">
        <v>754</v>
      </c>
      <c r="P213" s="21" t="s">
        <v>17</v>
      </c>
      <c r="Q213" s="21" t="s">
        <v>17</v>
      </c>
      <c r="R213" s="21" t="s">
        <v>17</v>
      </c>
      <c r="S213" s="21" t="s">
        <v>17</v>
      </c>
      <c r="T213" s="21" t="s">
        <v>17</v>
      </c>
      <c r="U213" s="21" t="s">
        <v>17</v>
      </c>
      <c r="V213" s="21" t="s">
        <v>17</v>
      </c>
      <c r="W213" s="21" t="s">
        <v>17</v>
      </c>
      <c r="X213" s="21" t="s">
        <v>17</v>
      </c>
      <c r="Y213" s="21" t="s">
        <v>17</v>
      </c>
      <c r="Z213" s="21" t="s">
        <v>1388</v>
      </c>
      <c r="AA213" s="21" t="s">
        <v>411</v>
      </c>
      <c r="AB213" s="21" t="s">
        <v>1389</v>
      </c>
      <c r="AC213" s="21" t="s">
        <v>1390</v>
      </c>
      <c r="AD213" s="21" t="s">
        <v>1391</v>
      </c>
    </row>
    <row r="214" spans="1:30">
      <c r="A214" s="21">
        <v>211070</v>
      </c>
      <c r="B214" s="21" t="s">
        <v>726</v>
      </c>
      <c r="C214" s="21" t="s">
        <v>27</v>
      </c>
      <c r="D214" s="21" t="s">
        <v>727</v>
      </c>
      <c r="E214" s="21" t="s">
        <v>727</v>
      </c>
      <c r="F214" s="21" t="s">
        <v>727</v>
      </c>
      <c r="G214" s="21" t="s">
        <v>747</v>
      </c>
      <c r="H214" s="21" t="s">
        <v>17</v>
      </c>
      <c r="I214" s="21" t="s">
        <v>17</v>
      </c>
      <c r="J214" s="21" t="s">
        <v>17</v>
      </c>
      <c r="K214" s="21">
        <v>35</v>
      </c>
      <c r="L214" s="21" t="s">
        <v>730</v>
      </c>
      <c r="M214" s="21" t="s">
        <v>758</v>
      </c>
      <c r="N214" s="21" t="s">
        <v>748</v>
      </c>
      <c r="O214" s="21" t="s">
        <v>754</v>
      </c>
      <c r="P214" s="21" t="s">
        <v>17</v>
      </c>
      <c r="Q214" s="21" t="s">
        <v>17</v>
      </c>
      <c r="R214" s="21" t="s">
        <v>17</v>
      </c>
      <c r="S214" s="21" t="s">
        <v>17</v>
      </c>
      <c r="T214" s="21" t="s">
        <v>17</v>
      </c>
      <c r="U214" s="21" t="s">
        <v>17</v>
      </c>
      <c r="V214" s="21" t="s">
        <v>17</v>
      </c>
      <c r="W214" s="21" t="s">
        <v>17</v>
      </c>
      <c r="X214" s="21" t="s">
        <v>17</v>
      </c>
      <c r="Y214" s="21" t="s">
        <v>17</v>
      </c>
      <c r="Z214" s="21" t="s">
        <v>1392</v>
      </c>
      <c r="AA214" s="21" t="s">
        <v>413</v>
      </c>
      <c r="AB214" s="21" t="s">
        <v>740</v>
      </c>
      <c r="AC214" s="21" t="s">
        <v>1393</v>
      </c>
      <c r="AD214" s="21" t="s">
        <v>1394</v>
      </c>
    </row>
    <row r="215" spans="1:30">
      <c r="A215" s="21">
        <v>211069</v>
      </c>
      <c r="B215" s="21" t="s">
        <v>726</v>
      </c>
      <c r="C215" s="21" t="s">
        <v>27</v>
      </c>
      <c r="D215" s="21" t="s">
        <v>727</v>
      </c>
      <c r="E215" s="21" t="s">
        <v>747</v>
      </c>
      <c r="F215" s="21" t="s">
        <v>727</v>
      </c>
      <c r="G215" s="21" t="s">
        <v>747</v>
      </c>
      <c r="H215" s="21" t="s">
        <v>17</v>
      </c>
      <c r="I215" s="21" t="s">
        <v>17</v>
      </c>
      <c r="J215" s="21" t="s">
        <v>17</v>
      </c>
      <c r="K215" s="21">
        <v>30</v>
      </c>
      <c r="L215" s="21" t="s">
        <v>730</v>
      </c>
      <c r="M215" s="21" t="s">
        <v>730</v>
      </c>
      <c r="N215" s="21" t="s">
        <v>748</v>
      </c>
      <c r="O215" s="21" t="s">
        <v>754</v>
      </c>
      <c r="P215" s="21" t="s">
        <v>17</v>
      </c>
      <c r="Q215" s="21" t="s">
        <v>17</v>
      </c>
      <c r="R215" s="21" t="s">
        <v>17</v>
      </c>
      <c r="S215" s="21" t="s">
        <v>17</v>
      </c>
      <c r="T215" s="21" t="s">
        <v>17</v>
      </c>
      <c r="U215" s="21" t="s">
        <v>17</v>
      </c>
      <c r="V215" s="21" t="s">
        <v>17</v>
      </c>
      <c r="W215" s="21" t="s">
        <v>17</v>
      </c>
      <c r="X215" s="21" t="s">
        <v>17</v>
      </c>
      <c r="Y215" s="21" t="s">
        <v>17</v>
      </c>
      <c r="Z215" s="21" t="s">
        <v>1395</v>
      </c>
      <c r="AA215" s="21" t="s">
        <v>415</v>
      </c>
      <c r="AB215" s="21" t="s">
        <v>740</v>
      </c>
      <c r="AC215" s="21" t="s">
        <v>1396</v>
      </c>
      <c r="AD215" s="21" t="s">
        <v>1397</v>
      </c>
    </row>
    <row r="216" spans="1:30">
      <c r="A216" s="21">
        <v>211068</v>
      </c>
      <c r="B216" s="21" t="s">
        <v>726</v>
      </c>
      <c r="C216" s="21" t="s">
        <v>27</v>
      </c>
      <c r="D216" s="21" t="s">
        <v>727</v>
      </c>
      <c r="E216" s="21" t="s">
        <v>747</v>
      </c>
      <c r="F216" s="21" t="s">
        <v>727</v>
      </c>
      <c r="G216" s="21" t="s">
        <v>747</v>
      </c>
      <c r="H216" s="21" t="s">
        <v>17</v>
      </c>
      <c r="I216" s="21" t="s">
        <v>17</v>
      </c>
      <c r="J216" s="21" t="s">
        <v>17</v>
      </c>
      <c r="K216" s="21">
        <v>30</v>
      </c>
      <c r="L216" s="21" t="s">
        <v>730</v>
      </c>
      <c r="M216" s="21" t="s">
        <v>730</v>
      </c>
      <c r="N216" s="21" t="s">
        <v>748</v>
      </c>
      <c r="O216" s="21" t="s">
        <v>754</v>
      </c>
      <c r="P216" s="21" t="s">
        <v>17</v>
      </c>
      <c r="Q216" s="21" t="s">
        <v>17</v>
      </c>
      <c r="R216" s="21" t="s">
        <v>17</v>
      </c>
      <c r="S216" s="21" t="s">
        <v>17</v>
      </c>
      <c r="T216" s="21" t="s">
        <v>17</v>
      </c>
      <c r="U216" s="21" t="s">
        <v>17</v>
      </c>
      <c r="V216" s="21" t="s">
        <v>17</v>
      </c>
      <c r="W216" s="21" t="s">
        <v>17</v>
      </c>
      <c r="X216" s="21" t="s">
        <v>17</v>
      </c>
      <c r="Y216" s="21" t="s">
        <v>17</v>
      </c>
      <c r="Z216" s="21" t="s">
        <v>1398</v>
      </c>
      <c r="AA216" s="21" t="s">
        <v>417</v>
      </c>
      <c r="AB216" s="21" t="s">
        <v>796</v>
      </c>
      <c r="AC216" s="21" t="s">
        <v>1399</v>
      </c>
      <c r="AD216" s="21" t="s">
        <v>1400</v>
      </c>
    </row>
    <row r="217" spans="1:30">
      <c r="A217" s="21">
        <v>211066</v>
      </c>
      <c r="B217" s="21" t="s">
        <v>726</v>
      </c>
      <c r="C217" s="21" t="s">
        <v>27</v>
      </c>
      <c r="D217" s="21" t="s">
        <v>752</v>
      </c>
      <c r="E217" s="21" t="s">
        <v>955</v>
      </c>
      <c r="F217" s="21" t="s">
        <v>727</v>
      </c>
      <c r="G217" s="21" t="s">
        <v>955</v>
      </c>
      <c r="H217" s="21" t="s">
        <v>17</v>
      </c>
      <c r="I217" s="21" t="s">
        <v>17</v>
      </c>
      <c r="J217" s="21" t="s">
        <v>17</v>
      </c>
      <c r="K217" s="21">
        <v>6</v>
      </c>
      <c r="L217" s="21" t="s">
        <v>753</v>
      </c>
      <c r="M217" s="21" t="s">
        <v>1040</v>
      </c>
      <c r="N217" s="21" t="s">
        <v>1176</v>
      </c>
      <c r="O217" s="21" t="s">
        <v>957</v>
      </c>
      <c r="P217" s="21" t="s">
        <v>17</v>
      </c>
      <c r="Q217" s="21" t="s">
        <v>17</v>
      </c>
      <c r="R217" s="21" t="s">
        <v>17</v>
      </c>
      <c r="S217" s="21" t="s">
        <v>17</v>
      </c>
      <c r="T217" s="21" t="s">
        <v>17</v>
      </c>
      <c r="U217" s="21" t="s">
        <v>17</v>
      </c>
      <c r="V217" s="21" t="s">
        <v>17</v>
      </c>
      <c r="W217" s="21" t="s">
        <v>17</v>
      </c>
      <c r="X217" s="21" t="s">
        <v>17</v>
      </c>
      <c r="Y217" s="21" t="s">
        <v>17</v>
      </c>
      <c r="Z217" s="21" t="s">
        <v>1401</v>
      </c>
      <c r="AA217" s="21" t="s">
        <v>419</v>
      </c>
      <c r="AB217" s="21" t="s">
        <v>908</v>
      </c>
      <c r="AC217" s="21" t="s">
        <v>1402</v>
      </c>
      <c r="AD217" s="21" t="s">
        <v>1403</v>
      </c>
    </row>
    <row r="218" spans="1:30">
      <c r="A218" s="21">
        <v>211065</v>
      </c>
      <c r="B218" s="21" t="s">
        <v>726</v>
      </c>
      <c r="C218" s="21" t="s">
        <v>27</v>
      </c>
      <c r="D218" s="21" t="s">
        <v>727</v>
      </c>
      <c r="E218" s="21" t="s">
        <v>747</v>
      </c>
      <c r="F218" s="21" t="s">
        <v>727</v>
      </c>
      <c r="G218" s="21" t="s">
        <v>747</v>
      </c>
      <c r="H218" s="21" t="s">
        <v>17</v>
      </c>
      <c r="I218" s="21" t="s">
        <v>17</v>
      </c>
      <c r="J218" s="21" t="s">
        <v>17</v>
      </c>
      <c r="K218" s="21">
        <v>30</v>
      </c>
      <c r="L218" s="21" t="s">
        <v>730</v>
      </c>
      <c r="M218" s="21" t="s">
        <v>730</v>
      </c>
      <c r="N218" s="21" t="s">
        <v>748</v>
      </c>
      <c r="O218" s="21" t="s">
        <v>754</v>
      </c>
      <c r="P218" s="21" t="s">
        <v>17</v>
      </c>
      <c r="Q218" s="21" t="s">
        <v>17</v>
      </c>
      <c r="R218" s="21" t="s">
        <v>17</v>
      </c>
      <c r="S218" s="21" t="s">
        <v>17</v>
      </c>
      <c r="T218" s="21" t="s">
        <v>17</v>
      </c>
      <c r="U218" s="21" t="s">
        <v>17</v>
      </c>
      <c r="V218" s="21" t="s">
        <v>17</v>
      </c>
      <c r="W218" s="21" t="s">
        <v>17</v>
      </c>
      <c r="X218" s="21" t="s">
        <v>17</v>
      </c>
      <c r="Y218" s="21" t="s">
        <v>17</v>
      </c>
      <c r="Z218" s="21" t="s">
        <v>1404</v>
      </c>
      <c r="AA218" s="21" t="s">
        <v>421</v>
      </c>
      <c r="AB218" s="21" t="s">
        <v>740</v>
      </c>
      <c r="AC218" s="21" t="s">
        <v>1405</v>
      </c>
      <c r="AD218" s="21" t="s">
        <v>1406</v>
      </c>
    </row>
    <row r="219" spans="1:30">
      <c r="A219" s="21">
        <v>211064</v>
      </c>
      <c r="B219" s="21" t="s">
        <v>726</v>
      </c>
      <c r="C219" s="21" t="s">
        <v>27</v>
      </c>
      <c r="D219" s="21" t="s">
        <v>727</v>
      </c>
      <c r="E219" s="21" t="s">
        <v>727</v>
      </c>
      <c r="F219" s="21" t="s">
        <v>727</v>
      </c>
      <c r="G219" s="21" t="s">
        <v>747</v>
      </c>
      <c r="H219" s="21" t="s">
        <v>17</v>
      </c>
      <c r="I219" s="21" t="s">
        <v>17</v>
      </c>
      <c r="J219" s="21" t="s">
        <v>17</v>
      </c>
      <c r="K219" s="21">
        <v>35</v>
      </c>
      <c r="L219" s="21" t="s">
        <v>730</v>
      </c>
      <c r="M219" s="21" t="s">
        <v>758</v>
      </c>
      <c r="N219" s="21" t="s">
        <v>748</v>
      </c>
      <c r="O219" s="21" t="s">
        <v>754</v>
      </c>
      <c r="P219" s="21" t="s">
        <v>17</v>
      </c>
      <c r="Q219" s="21" t="s">
        <v>17</v>
      </c>
      <c r="R219" s="21" t="s">
        <v>17</v>
      </c>
      <c r="S219" s="21" t="s">
        <v>17</v>
      </c>
      <c r="T219" s="21" t="s">
        <v>17</v>
      </c>
      <c r="U219" s="21" t="s">
        <v>17</v>
      </c>
      <c r="V219" s="21" t="s">
        <v>17</v>
      </c>
      <c r="W219" s="21" t="s">
        <v>17</v>
      </c>
      <c r="X219" s="21" t="s">
        <v>17</v>
      </c>
      <c r="Y219" s="21" t="s">
        <v>17</v>
      </c>
      <c r="Z219" s="21" t="s">
        <v>1404</v>
      </c>
      <c r="AA219" s="21" t="s">
        <v>423</v>
      </c>
      <c r="AB219" s="21" t="s">
        <v>740</v>
      </c>
      <c r="AC219" s="21" t="s">
        <v>1407</v>
      </c>
      <c r="AD219" s="21" t="s">
        <v>1408</v>
      </c>
    </row>
    <row r="220" spans="1:30">
      <c r="A220" s="21">
        <v>211062</v>
      </c>
      <c r="B220" s="21" t="s">
        <v>726</v>
      </c>
      <c r="C220" s="21" t="s">
        <v>27</v>
      </c>
      <c r="D220" s="21" t="s">
        <v>727</v>
      </c>
      <c r="E220" s="21" t="s">
        <v>727</v>
      </c>
      <c r="F220" s="21" t="s">
        <v>727</v>
      </c>
      <c r="G220" s="21" t="s">
        <v>747</v>
      </c>
      <c r="H220" s="21" t="s">
        <v>17</v>
      </c>
      <c r="I220" s="21" t="s">
        <v>17</v>
      </c>
      <c r="J220" s="21" t="s">
        <v>17</v>
      </c>
      <c r="K220" s="21">
        <v>35</v>
      </c>
      <c r="L220" s="21" t="s">
        <v>730</v>
      </c>
      <c r="M220" s="21" t="s">
        <v>758</v>
      </c>
      <c r="N220" s="21" t="s">
        <v>748</v>
      </c>
      <c r="O220" s="21" t="s">
        <v>754</v>
      </c>
      <c r="P220" s="21" t="s">
        <v>17</v>
      </c>
      <c r="Q220" s="21" t="s">
        <v>17</v>
      </c>
      <c r="R220" s="21" t="s">
        <v>17</v>
      </c>
      <c r="S220" s="21" t="s">
        <v>17</v>
      </c>
      <c r="T220" s="21" t="s">
        <v>17</v>
      </c>
      <c r="U220" s="21" t="s">
        <v>17</v>
      </c>
      <c r="V220" s="21" t="s">
        <v>17</v>
      </c>
      <c r="W220" s="21" t="s">
        <v>17</v>
      </c>
      <c r="X220" s="21" t="s">
        <v>17</v>
      </c>
      <c r="Y220" s="21" t="s">
        <v>17</v>
      </c>
      <c r="Z220" s="21" t="s">
        <v>1409</v>
      </c>
      <c r="AA220" s="21" t="s">
        <v>424</v>
      </c>
      <c r="AB220" s="21" t="s">
        <v>740</v>
      </c>
      <c r="AC220" s="21" t="s">
        <v>1410</v>
      </c>
      <c r="AD220" s="21" t="s">
        <v>1411</v>
      </c>
    </row>
    <row r="221" spans="1:30">
      <c r="A221" s="21">
        <v>211061</v>
      </c>
      <c r="B221" s="21" t="s">
        <v>726</v>
      </c>
      <c r="C221" s="21" t="s">
        <v>27</v>
      </c>
      <c r="D221" s="21" t="s">
        <v>727</v>
      </c>
      <c r="E221" s="21" t="s">
        <v>727</v>
      </c>
      <c r="F221" s="21" t="s">
        <v>727</v>
      </c>
      <c r="G221" s="21" t="s">
        <v>747</v>
      </c>
      <c r="H221" s="21" t="s">
        <v>17</v>
      </c>
      <c r="I221" s="21" t="s">
        <v>17</v>
      </c>
      <c r="J221" s="21" t="s">
        <v>17</v>
      </c>
      <c r="K221" s="21">
        <v>35</v>
      </c>
      <c r="L221" s="21" t="s">
        <v>730</v>
      </c>
      <c r="M221" s="21" t="s">
        <v>758</v>
      </c>
      <c r="N221" s="21" t="s">
        <v>748</v>
      </c>
      <c r="O221" s="21" t="s">
        <v>754</v>
      </c>
      <c r="P221" s="21" t="s">
        <v>17</v>
      </c>
      <c r="Q221" s="21" t="s">
        <v>17</v>
      </c>
      <c r="R221" s="21" t="s">
        <v>17</v>
      </c>
      <c r="S221" s="21" t="s">
        <v>17</v>
      </c>
      <c r="T221" s="21" t="s">
        <v>17</v>
      </c>
      <c r="U221" s="21" t="s">
        <v>17</v>
      </c>
      <c r="V221" s="21" t="s">
        <v>17</v>
      </c>
      <c r="W221" s="21" t="s">
        <v>17</v>
      </c>
      <c r="X221" s="21" t="s">
        <v>17</v>
      </c>
      <c r="Y221" s="21" t="s">
        <v>17</v>
      </c>
      <c r="Z221" s="21" t="s">
        <v>1412</v>
      </c>
      <c r="AA221" s="21" t="s">
        <v>426</v>
      </c>
      <c r="AB221" s="21" t="s">
        <v>740</v>
      </c>
      <c r="AC221" s="21" t="s">
        <v>1413</v>
      </c>
      <c r="AD221" s="21" t="s">
        <v>1414</v>
      </c>
    </row>
    <row r="222" spans="1:30">
      <c r="A222" s="21">
        <v>211059</v>
      </c>
      <c r="B222" s="21" t="s">
        <v>726</v>
      </c>
      <c r="C222" s="21" t="s">
        <v>27</v>
      </c>
      <c r="D222" s="21" t="s">
        <v>727</v>
      </c>
      <c r="E222" s="21" t="s">
        <v>727</v>
      </c>
      <c r="F222" s="21" t="s">
        <v>727</v>
      </c>
      <c r="G222" s="21" t="s">
        <v>747</v>
      </c>
      <c r="H222" s="21" t="s">
        <v>17</v>
      </c>
      <c r="I222" s="21" t="s">
        <v>17</v>
      </c>
      <c r="J222" s="21" t="s">
        <v>17</v>
      </c>
      <c r="K222" s="21">
        <v>35</v>
      </c>
      <c r="L222" s="21" t="s">
        <v>730</v>
      </c>
      <c r="M222" s="21" t="s">
        <v>758</v>
      </c>
      <c r="N222" s="21" t="s">
        <v>748</v>
      </c>
      <c r="O222" s="21" t="s">
        <v>754</v>
      </c>
      <c r="P222" s="21" t="s">
        <v>17</v>
      </c>
      <c r="Q222" s="21" t="s">
        <v>17</v>
      </c>
      <c r="R222" s="21" t="s">
        <v>17</v>
      </c>
      <c r="S222" s="21" t="s">
        <v>17</v>
      </c>
      <c r="T222" s="21" t="s">
        <v>17</v>
      </c>
      <c r="U222" s="21" t="s">
        <v>17</v>
      </c>
      <c r="V222" s="21" t="s">
        <v>17</v>
      </c>
      <c r="W222" s="21" t="s">
        <v>17</v>
      </c>
      <c r="X222" s="21" t="s">
        <v>17</v>
      </c>
      <c r="Y222" s="21" t="s">
        <v>17</v>
      </c>
      <c r="Z222" s="21" t="s">
        <v>1415</v>
      </c>
      <c r="AA222" s="21" t="s">
        <v>428</v>
      </c>
      <c r="AB222" s="21" t="s">
        <v>970</v>
      </c>
      <c r="AC222" s="21" t="s">
        <v>1416</v>
      </c>
      <c r="AD222" s="21" t="s">
        <v>1417</v>
      </c>
    </row>
    <row r="223" spans="1:30">
      <c r="A223" s="21">
        <v>211058</v>
      </c>
      <c r="B223" s="21" t="s">
        <v>726</v>
      </c>
      <c r="C223" s="21" t="s">
        <v>27</v>
      </c>
      <c r="D223" s="21" t="s">
        <v>727</v>
      </c>
      <c r="E223" s="21" t="s">
        <v>727</v>
      </c>
      <c r="F223" s="21" t="s">
        <v>727</v>
      </c>
      <c r="G223" s="21" t="s">
        <v>747</v>
      </c>
      <c r="H223" s="21" t="s">
        <v>17</v>
      </c>
      <c r="I223" s="21" t="s">
        <v>17</v>
      </c>
      <c r="J223" s="21" t="s">
        <v>17</v>
      </c>
      <c r="K223" s="21">
        <v>35</v>
      </c>
      <c r="L223" s="21" t="s">
        <v>730</v>
      </c>
      <c r="M223" s="21" t="s">
        <v>758</v>
      </c>
      <c r="N223" s="21" t="s">
        <v>748</v>
      </c>
      <c r="O223" s="21" t="s">
        <v>754</v>
      </c>
      <c r="P223" s="21" t="s">
        <v>17</v>
      </c>
      <c r="Q223" s="21" t="s">
        <v>17</v>
      </c>
      <c r="R223" s="21" t="s">
        <v>17</v>
      </c>
      <c r="S223" s="21" t="s">
        <v>17</v>
      </c>
      <c r="T223" s="21" t="s">
        <v>17</v>
      </c>
      <c r="U223" s="21" t="s">
        <v>17</v>
      </c>
      <c r="V223" s="21" t="s">
        <v>17</v>
      </c>
      <c r="W223" s="21" t="s">
        <v>17</v>
      </c>
      <c r="X223" s="21" t="s">
        <v>17</v>
      </c>
      <c r="Y223" s="21" t="s">
        <v>17</v>
      </c>
      <c r="Z223" s="21" t="s">
        <v>1418</v>
      </c>
      <c r="AA223" s="21" t="s">
        <v>430</v>
      </c>
      <c r="AB223" s="21" t="s">
        <v>740</v>
      </c>
      <c r="AC223" s="21" t="s">
        <v>1419</v>
      </c>
      <c r="AD223" s="21" t="s">
        <v>1420</v>
      </c>
    </row>
    <row r="224" spans="1:30">
      <c r="A224" s="21">
        <v>211057</v>
      </c>
      <c r="B224" s="21" t="s">
        <v>726</v>
      </c>
      <c r="C224" s="21" t="s">
        <v>27</v>
      </c>
      <c r="D224" s="21" t="s">
        <v>727</v>
      </c>
      <c r="E224" s="21" t="s">
        <v>727</v>
      </c>
      <c r="F224" s="21" t="s">
        <v>727</v>
      </c>
      <c r="G224" s="21" t="s">
        <v>747</v>
      </c>
      <c r="H224" s="21" t="s">
        <v>17</v>
      </c>
      <c r="I224" s="21" t="s">
        <v>17</v>
      </c>
      <c r="J224" s="21" t="s">
        <v>17</v>
      </c>
      <c r="K224" s="21">
        <v>35</v>
      </c>
      <c r="L224" s="21" t="s">
        <v>730</v>
      </c>
      <c r="M224" s="21" t="s">
        <v>758</v>
      </c>
      <c r="N224" s="21" t="s">
        <v>748</v>
      </c>
      <c r="O224" s="21" t="s">
        <v>754</v>
      </c>
      <c r="P224" s="21" t="s">
        <v>17</v>
      </c>
      <c r="Q224" s="21" t="s">
        <v>17</v>
      </c>
      <c r="R224" s="21" t="s">
        <v>17</v>
      </c>
      <c r="S224" s="21" t="s">
        <v>17</v>
      </c>
      <c r="T224" s="21" t="s">
        <v>17</v>
      </c>
      <c r="U224" s="21" t="s">
        <v>17</v>
      </c>
      <c r="V224" s="21" t="s">
        <v>17</v>
      </c>
      <c r="W224" s="21" t="s">
        <v>17</v>
      </c>
      <c r="X224" s="21" t="s">
        <v>17</v>
      </c>
      <c r="Y224" s="21" t="s">
        <v>17</v>
      </c>
      <c r="Z224" s="21" t="s">
        <v>1421</v>
      </c>
      <c r="AA224" s="21" t="s">
        <v>432</v>
      </c>
      <c r="AB224" s="21" t="s">
        <v>740</v>
      </c>
      <c r="AC224" s="21" t="s">
        <v>1422</v>
      </c>
      <c r="AD224" s="21" t="s">
        <v>1423</v>
      </c>
    </row>
    <row r="225" spans="1:30">
      <c r="A225" s="21">
        <v>211056</v>
      </c>
      <c r="B225" s="21" t="s">
        <v>726</v>
      </c>
      <c r="C225" s="21" t="s">
        <v>27</v>
      </c>
      <c r="D225" s="21" t="s">
        <v>727</v>
      </c>
      <c r="E225" s="21" t="s">
        <v>727</v>
      </c>
      <c r="F225" s="21" t="s">
        <v>727</v>
      </c>
      <c r="G225" s="21" t="s">
        <v>747</v>
      </c>
      <c r="H225" s="21" t="s">
        <v>17</v>
      </c>
      <c r="I225" s="21" t="s">
        <v>17</v>
      </c>
      <c r="J225" s="21" t="s">
        <v>17</v>
      </c>
      <c r="K225" s="21">
        <v>35</v>
      </c>
      <c r="L225" s="21" t="s">
        <v>730</v>
      </c>
      <c r="M225" s="21" t="s">
        <v>758</v>
      </c>
      <c r="N225" s="21" t="s">
        <v>748</v>
      </c>
      <c r="O225" s="21" t="s">
        <v>754</v>
      </c>
      <c r="P225" s="21" t="s">
        <v>17</v>
      </c>
      <c r="Q225" s="21" t="s">
        <v>17</v>
      </c>
      <c r="R225" s="21" t="s">
        <v>17</v>
      </c>
      <c r="S225" s="21" t="s">
        <v>17</v>
      </c>
      <c r="T225" s="21" t="s">
        <v>17</v>
      </c>
      <c r="U225" s="21" t="s">
        <v>17</v>
      </c>
      <c r="V225" s="21" t="s">
        <v>17</v>
      </c>
      <c r="W225" s="21" t="s">
        <v>17</v>
      </c>
      <c r="X225" s="21" t="s">
        <v>17</v>
      </c>
      <c r="Y225" s="21" t="s">
        <v>17</v>
      </c>
      <c r="Z225" s="21" t="s">
        <v>1424</v>
      </c>
      <c r="AA225" s="21" t="s">
        <v>434</v>
      </c>
      <c r="AB225" s="21" t="s">
        <v>1425</v>
      </c>
      <c r="AC225" s="21" t="s">
        <v>1426</v>
      </c>
      <c r="AD225" s="21" t="s">
        <v>1427</v>
      </c>
    </row>
    <row r="226" spans="1:30">
      <c r="A226" s="21">
        <v>211055</v>
      </c>
      <c r="B226" s="21" t="s">
        <v>726</v>
      </c>
      <c r="C226" s="21" t="s">
        <v>27</v>
      </c>
      <c r="D226" s="21" t="s">
        <v>727</v>
      </c>
      <c r="E226" s="21" t="s">
        <v>747</v>
      </c>
      <c r="F226" s="21" t="s">
        <v>727</v>
      </c>
      <c r="G226" s="21" t="s">
        <v>747</v>
      </c>
      <c r="H226" s="21" t="s">
        <v>17</v>
      </c>
      <c r="I226" s="21" t="s">
        <v>17</v>
      </c>
      <c r="J226" s="21" t="s">
        <v>17</v>
      </c>
      <c r="K226" s="21">
        <v>30</v>
      </c>
      <c r="L226" s="21" t="s">
        <v>730</v>
      </c>
      <c r="M226" s="21" t="s">
        <v>730</v>
      </c>
      <c r="N226" s="21" t="s">
        <v>748</v>
      </c>
      <c r="O226" s="21" t="s">
        <v>754</v>
      </c>
      <c r="P226" s="21" t="s">
        <v>17</v>
      </c>
      <c r="Q226" s="21" t="s">
        <v>17</v>
      </c>
      <c r="R226" s="21" t="s">
        <v>17</v>
      </c>
      <c r="S226" s="21" t="s">
        <v>17</v>
      </c>
      <c r="T226" s="21" t="s">
        <v>17</v>
      </c>
      <c r="U226" s="21" t="s">
        <v>17</v>
      </c>
      <c r="V226" s="21" t="s">
        <v>17</v>
      </c>
      <c r="W226" s="21" t="s">
        <v>17</v>
      </c>
      <c r="X226" s="21" t="s">
        <v>17</v>
      </c>
      <c r="Y226" s="21" t="s">
        <v>17</v>
      </c>
      <c r="Z226" s="21" t="s">
        <v>1428</v>
      </c>
      <c r="AA226" s="21" t="s">
        <v>436</v>
      </c>
      <c r="AB226" s="21" t="s">
        <v>1429</v>
      </c>
      <c r="AC226" s="21" t="s">
        <v>1430</v>
      </c>
      <c r="AD226" s="21" t="s">
        <v>1431</v>
      </c>
    </row>
    <row r="227" spans="1:30">
      <c r="A227" s="21">
        <v>211054</v>
      </c>
      <c r="B227" s="21" t="s">
        <v>726</v>
      </c>
      <c r="C227" s="21" t="s">
        <v>27</v>
      </c>
      <c r="D227" s="21" t="s">
        <v>727</v>
      </c>
      <c r="E227" s="21" t="s">
        <v>727</v>
      </c>
      <c r="F227" s="21" t="s">
        <v>727</v>
      </c>
      <c r="G227" s="21" t="s">
        <v>747</v>
      </c>
      <c r="H227" s="21" t="s">
        <v>17</v>
      </c>
      <c r="I227" s="21" t="s">
        <v>17</v>
      </c>
      <c r="J227" s="21" t="s">
        <v>17</v>
      </c>
      <c r="K227" s="21">
        <v>35</v>
      </c>
      <c r="L227" s="21" t="s">
        <v>730</v>
      </c>
      <c r="M227" s="21" t="s">
        <v>758</v>
      </c>
      <c r="N227" s="21" t="s">
        <v>748</v>
      </c>
      <c r="O227" s="21" t="s">
        <v>754</v>
      </c>
      <c r="P227" s="21" t="s">
        <v>17</v>
      </c>
      <c r="Q227" s="21" t="s">
        <v>17</v>
      </c>
      <c r="R227" s="21" t="s">
        <v>17</v>
      </c>
      <c r="S227" s="21" t="s">
        <v>17</v>
      </c>
      <c r="T227" s="21" t="s">
        <v>17</v>
      </c>
      <c r="U227" s="21" t="s">
        <v>17</v>
      </c>
      <c r="V227" s="21" t="s">
        <v>17</v>
      </c>
      <c r="W227" s="21" t="s">
        <v>17</v>
      </c>
      <c r="X227" s="21" t="s">
        <v>17</v>
      </c>
      <c r="Y227" s="21" t="s">
        <v>17</v>
      </c>
      <c r="Z227" s="21" t="s">
        <v>1432</v>
      </c>
      <c r="AA227" s="21" t="s">
        <v>438</v>
      </c>
      <c r="AB227" s="21" t="s">
        <v>1433</v>
      </c>
      <c r="AC227" s="21" t="s">
        <v>1434</v>
      </c>
      <c r="AD227" s="21" t="s">
        <v>1435</v>
      </c>
    </row>
    <row r="228" spans="1:30">
      <c r="A228" s="21">
        <v>211052</v>
      </c>
      <c r="B228" s="21" t="s">
        <v>726</v>
      </c>
      <c r="C228" s="21" t="s">
        <v>27</v>
      </c>
      <c r="D228" s="21" t="s">
        <v>727</v>
      </c>
      <c r="E228" s="21" t="s">
        <v>727</v>
      </c>
      <c r="F228" s="21" t="s">
        <v>727</v>
      </c>
      <c r="G228" s="21" t="s">
        <v>747</v>
      </c>
      <c r="H228" s="21" t="s">
        <v>17</v>
      </c>
      <c r="I228" s="21" t="s">
        <v>17</v>
      </c>
      <c r="J228" s="21" t="s">
        <v>17</v>
      </c>
      <c r="K228" s="21">
        <v>35</v>
      </c>
      <c r="L228" s="21" t="s">
        <v>730</v>
      </c>
      <c r="M228" s="21" t="s">
        <v>758</v>
      </c>
      <c r="N228" s="21" t="s">
        <v>748</v>
      </c>
      <c r="O228" s="21" t="s">
        <v>754</v>
      </c>
      <c r="P228" s="21" t="s">
        <v>17</v>
      </c>
      <c r="Q228" s="21" t="s">
        <v>17</v>
      </c>
      <c r="R228" s="21" t="s">
        <v>17</v>
      </c>
      <c r="S228" s="21" t="s">
        <v>17</v>
      </c>
      <c r="T228" s="21" t="s">
        <v>17</v>
      </c>
      <c r="U228" s="21" t="s">
        <v>17</v>
      </c>
      <c r="V228" s="21" t="s">
        <v>17</v>
      </c>
      <c r="W228" s="21" t="s">
        <v>17</v>
      </c>
      <c r="X228" s="21" t="s">
        <v>17</v>
      </c>
      <c r="Y228" s="21" t="s">
        <v>17</v>
      </c>
      <c r="Z228" s="21" t="s">
        <v>1436</v>
      </c>
      <c r="AA228" s="21" t="s">
        <v>440</v>
      </c>
      <c r="AB228" s="21" t="s">
        <v>834</v>
      </c>
      <c r="AC228" s="21" t="s">
        <v>1437</v>
      </c>
      <c r="AD228" s="21" t="s">
        <v>1438</v>
      </c>
    </row>
    <row r="229" spans="1:30">
      <c r="A229" s="21">
        <v>211051</v>
      </c>
      <c r="B229" s="21" t="s">
        <v>726</v>
      </c>
      <c r="C229" s="21" t="s">
        <v>27</v>
      </c>
      <c r="D229" s="21" t="s">
        <v>727</v>
      </c>
      <c r="E229" s="21" t="s">
        <v>727</v>
      </c>
      <c r="F229" s="21" t="s">
        <v>727</v>
      </c>
      <c r="G229" s="21" t="s">
        <v>747</v>
      </c>
      <c r="H229" s="21" t="s">
        <v>17</v>
      </c>
      <c r="I229" s="21" t="s">
        <v>17</v>
      </c>
      <c r="J229" s="21" t="s">
        <v>17</v>
      </c>
      <c r="K229" s="21">
        <v>35</v>
      </c>
      <c r="L229" s="21" t="s">
        <v>730</v>
      </c>
      <c r="M229" s="21" t="s">
        <v>730</v>
      </c>
      <c r="N229" s="21" t="s">
        <v>748</v>
      </c>
      <c r="O229" s="21" t="s">
        <v>754</v>
      </c>
      <c r="P229" s="21" t="s">
        <v>17</v>
      </c>
      <c r="Q229" s="21" t="s">
        <v>17</v>
      </c>
      <c r="R229" s="21" t="s">
        <v>17</v>
      </c>
      <c r="S229" s="21" t="s">
        <v>17</v>
      </c>
      <c r="T229" s="21" t="s">
        <v>17</v>
      </c>
      <c r="U229" s="21" t="s">
        <v>17</v>
      </c>
      <c r="V229" s="21" t="s">
        <v>17</v>
      </c>
      <c r="W229" s="21" t="s">
        <v>17</v>
      </c>
      <c r="X229" s="21" t="s">
        <v>17</v>
      </c>
      <c r="Y229" s="21" t="s">
        <v>17</v>
      </c>
      <c r="Z229" s="21" t="s">
        <v>1436</v>
      </c>
      <c r="AA229" s="21" t="s">
        <v>442</v>
      </c>
      <c r="AB229" s="21" t="s">
        <v>740</v>
      </c>
      <c r="AC229" s="21" t="s">
        <v>1439</v>
      </c>
      <c r="AD229" s="21" t="s">
        <v>1440</v>
      </c>
    </row>
    <row r="230" spans="1:30">
      <c r="A230" s="21">
        <v>211050</v>
      </c>
      <c r="B230" s="21" t="s">
        <v>726</v>
      </c>
      <c r="C230" s="21" t="s">
        <v>27</v>
      </c>
      <c r="D230" s="21" t="s">
        <v>727</v>
      </c>
      <c r="E230" s="21" t="s">
        <v>727</v>
      </c>
      <c r="F230" s="21" t="s">
        <v>727</v>
      </c>
      <c r="G230" s="21" t="s">
        <v>747</v>
      </c>
      <c r="H230" s="21" t="s">
        <v>17</v>
      </c>
      <c r="I230" s="21" t="s">
        <v>17</v>
      </c>
      <c r="J230" s="21" t="s">
        <v>17</v>
      </c>
      <c r="K230" s="21">
        <v>35</v>
      </c>
      <c r="L230" s="21" t="s">
        <v>730</v>
      </c>
      <c r="M230" s="21" t="s">
        <v>758</v>
      </c>
      <c r="N230" s="21" t="s">
        <v>748</v>
      </c>
      <c r="O230" s="21" t="s">
        <v>754</v>
      </c>
      <c r="P230" s="21" t="s">
        <v>17</v>
      </c>
      <c r="Q230" s="21" t="s">
        <v>17</v>
      </c>
      <c r="R230" s="21" t="s">
        <v>17</v>
      </c>
      <c r="S230" s="21" t="s">
        <v>17</v>
      </c>
      <c r="T230" s="21" t="s">
        <v>17</v>
      </c>
      <c r="U230" s="21" t="s">
        <v>17</v>
      </c>
      <c r="V230" s="21" t="s">
        <v>17</v>
      </c>
      <c r="W230" s="21" t="s">
        <v>17</v>
      </c>
      <c r="X230" s="21" t="s">
        <v>17</v>
      </c>
      <c r="Y230" s="21" t="s">
        <v>17</v>
      </c>
      <c r="Z230" s="21" t="s">
        <v>1441</v>
      </c>
      <c r="AA230" s="21" t="s">
        <v>443</v>
      </c>
      <c r="AB230" s="21" t="s">
        <v>740</v>
      </c>
      <c r="AC230" s="21" t="s">
        <v>1442</v>
      </c>
      <c r="AD230" s="21" t="s">
        <v>1443</v>
      </c>
    </row>
    <row r="231" spans="1:30">
      <c r="A231" s="21">
        <v>211049</v>
      </c>
      <c r="B231" s="21" t="s">
        <v>726</v>
      </c>
      <c r="C231" s="21" t="s">
        <v>27</v>
      </c>
      <c r="D231" s="21" t="s">
        <v>727</v>
      </c>
      <c r="E231" s="21" t="s">
        <v>727</v>
      </c>
      <c r="F231" s="21" t="s">
        <v>727</v>
      </c>
      <c r="G231" s="21" t="s">
        <v>747</v>
      </c>
      <c r="H231" s="21" t="s">
        <v>17</v>
      </c>
      <c r="I231" s="21" t="s">
        <v>17</v>
      </c>
      <c r="J231" s="21" t="s">
        <v>17</v>
      </c>
      <c r="K231" s="21">
        <v>35</v>
      </c>
      <c r="L231" s="21" t="s">
        <v>730</v>
      </c>
      <c r="M231" s="21" t="s">
        <v>758</v>
      </c>
      <c r="N231" s="21" t="s">
        <v>748</v>
      </c>
      <c r="O231" s="21" t="s">
        <v>754</v>
      </c>
      <c r="P231" s="21" t="s">
        <v>17</v>
      </c>
      <c r="Q231" s="21" t="s">
        <v>17</v>
      </c>
      <c r="R231" s="21" t="s">
        <v>17</v>
      </c>
      <c r="S231" s="21" t="s">
        <v>17</v>
      </c>
      <c r="T231" s="21" t="s">
        <v>17</v>
      </c>
      <c r="U231" s="21" t="s">
        <v>17</v>
      </c>
      <c r="V231" s="21" t="s">
        <v>17</v>
      </c>
      <c r="W231" s="21" t="s">
        <v>17</v>
      </c>
      <c r="X231" s="21" t="s">
        <v>17</v>
      </c>
      <c r="Y231" s="21" t="s">
        <v>17</v>
      </c>
      <c r="Z231" s="21" t="s">
        <v>1441</v>
      </c>
      <c r="AA231" s="21" t="s">
        <v>445</v>
      </c>
      <c r="AB231" s="21" t="s">
        <v>1444</v>
      </c>
      <c r="AC231" s="21" t="s">
        <v>1445</v>
      </c>
      <c r="AD231" s="21" t="s">
        <v>1446</v>
      </c>
    </row>
    <row r="232" spans="1:30">
      <c r="A232" s="21">
        <v>211048</v>
      </c>
      <c r="B232" s="21" t="s">
        <v>726</v>
      </c>
      <c r="C232" s="21" t="s">
        <v>27</v>
      </c>
      <c r="D232" s="21" t="s">
        <v>727</v>
      </c>
      <c r="E232" s="21" t="s">
        <v>727</v>
      </c>
      <c r="F232" s="21" t="s">
        <v>727</v>
      </c>
      <c r="G232" s="21" t="s">
        <v>747</v>
      </c>
      <c r="H232" s="21" t="s">
        <v>17</v>
      </c>
      <c r="I232" s="21" t="s">
        <v>17</v>
      </c>
      <c r="J232" s="21" t="s">
        <v>17</v>
      </c>
      <c r="K232" s="21">
        <v>35</v>
      </c>
      <c r="L232" s="21" t="s">
        <v>730</v>
      </c>
      <c r="M232" s="21" t="s">
        <v>758</v>
      </c>
      <c r="N232" s="21" t="s">
        <v>748</v>
      </c>
      <c r="O232" s="21" t="s">
        <v>754</v>
      </c>
      <c r="P232" s="21" t="s">
        <v>17</v>
      </c>
      <c r="Q232" s="21" t="s">
        <v>17</v>
      </c>
      <c r="R232" s="21" t="s">
        <v>17</v>
      </c>
      <c r="S232" s="21" t="s">
        <v>17</v>
      </c>
      <c r="T232" s="21" t="s">
        <v>17</v>
      </c>
      <c r="U232" s="21" t="s">
        <v>17</v>
      </c>
      <c r="V232" s="21" t="s">
        <v>17</v>
      </c>
      <c r="W232" s="21" t="s">
        <v>17</v>
      </c>
      <c r="X232" s="21" t="s">
        <v>17</v>
      </c>
      <c r="Y232" s="21" t="s">
        <v>17</v>
      </c>
      <c r="Z232" s="21" t="s">
        <v>1441</v>
      </c>
      <c r="AA232" s="21" t="s">
        <v>446</v>
      </c>
      <c r="AB232" s="21" t="s">
        <v>1447</v>
      </c>
      <c r="AC232" s="21" t="s">
        <v>1448</v>
      </c>
      <c r="AD232" s="21" t="s">
        <v>1449</v>
      </c>
    </row>
    <row r="233" spans="1:30">
      <c r="A233" s="21">
        <v>211047</v>
      </c>
      <c r="B233" s="21" t="s">
        <v>726</v>
      </c>
      <c r="C233" s="21" t="s">
        <v>27</v>
      </c>
      <c r="D233" s="21" t="s">
        <v>727</v>
      </c>
      <c r="E233" s="21" t="s">
        <v>727</v>
      </c>
      <c r="F233" s="21" t="s">
        <v>727</v>
      </c>
      <c r="G233" s="21" t="s">
        <v>747</v>
      </c>
      <c r="H233" s="21" t="s">
        <v>17</v>
      </c>
      <c r="I233" s="21" t="s">
        <v>17</v>
      </c>
      <c r="J233" s="21" t="s">
        <v>17</v>
      </c>
      <c r="K233" s="21">
        <v>35</v>
      </c>
      <c r="L233" s="21" t="s">
        <v>730</v>
      </c>
      <c r="M233" s="21" t="s">
        <v>758</v>
      </c>
      <c r="N233" s="21" t="s">
        <v>748</v>
      </c>
      <c r="O233" s="21" t="s">
        <v>754</v>
      </c>
      <c r="P233" s="21" t="s">
        <v>17</v>
      </c>
      <c r="Q233" s="21" t="s">
        <v>17</v>
      </c>
      <c r="R233" s="21" t="s">
        <v>17</v>
      </c>
      <c r="S233" s="21" t="s">
        <v>17</v>
      </c>
      <c r="T233" s="21" t="s">
        <v>17</v>
      </c>
      <c r="U233" s="21" t="s">
        <v>17</v>
      </c>
      <c r="V233" s="21" t="s">
        <v>17</v>
      </c>
      <c r="W233" s="21" t="s">
        <v>17</v>
      </c>
      <c r="X233" s="21" t="s">
        <v>17</v>
      </c>
      <c r="Y233" s="21" t="s">
        <v>17</v>
      </c>
      <c r="Z233" s="21" t="s">
        <v>1450</v>
      </c>
      <c r="AA233" s="21" t="s">
        <v>447</v>
      </c>
      <c r="AB233" s="21" t="s">
        <v>1451</v>
      </c>
      <c r="AC233" s="21" t="s">
        <v>1452</v>
      </c>
      <c r="AD233" s="21" t="s">
        <v>1453</v>
      </c>
    </row>
    <row r="234" spans="1:30">
      <c r="A234" s="21">
        <v>211046</v>
      </c>
      <c r="B234" s="21" t="s">
        <v>726</v>
      </c>
      <c r="C234" s="21" t="s">
        <v>27</v>
      </c>
      <c r="D234" s="21" t="s">
        <v>727</v>
      </c>
      <c r="E234" s="21" t="s">
        <v>955</v>
      </c>
      <c r="F234" s="21" t="s">
        <v>727</v>
      </c>
      <c r="G234" s="21" t="s">
        <v>747</v>
      </c>
      <c r="H234" s="21" t="s">
        <v>17</v>
      </c>
      <c r="I234" s="21" t="s">
        <v>17</v>
      </c>
      <c r="J234" s="21" t="s">
        <v>17</v>
      </c>
      <c r="K234" s="21">
        <v>28</v>
      </c>
      <c r="L234" s="21" t="s">
        <v>730</v>
      </c>
      <c r="M234" s="21" t="s">
        <v>1040</v>
      </c>
      <c r="N234" s="21" t="s">
        <v>748</v>
      </c>
      <c r="O234" s="21" t="s">
        <v>754</v>
      </c>
      <c r="P234" s="21" t="s">
        <v>17</v>
      </c>
      <c r="Q234" s="21" t="s">
        <v>17</v>
      </c>
      <c r="R234" s="21" t="s">
        <v>17</v>
      </c>
      <c r="S234" s="21" t="s">
        <v>17</v>
      </c>
      <c r="T234" s="21" t="s">
        <v>17</v>
      </c>
      <c r="U234" s="21" t="s">
        <v>17</v>
      </c>
      <c r="V234" s="21" t="s">
        <v>17</v>
      </c>
      <c r="W234" s="21" t="s">
        <v>17</v>
      </c>
      <c r="X234" s="21" t="s">
        <v>17</v>
      </c>
      <c r="Y234" s="21" t="s">
        <v>17</v>
      </c>
      <c r="Z234" s="21" t="s">
        <v>1454</v>
      </c>
      <c r="AA234" s="21" t="s">
        <v>449</v>
      </c>
      <c r="AB234" s="21" t="s">
        <v>740</v>
      </c>
      <c r="AC234" s="21" t="s">
        <v>1455</v>
      </c>
      <c r="AD234" s="21" t="s">
        <v>1456</v>
      </c>
    </row>
    <row r="235" spans="1:30">
      <c r="A235" s="21">
        <v>211045</v>
      </c>
      <c r="B235" s="21" t="s">
        <v>726</v>
      </c>
      <c r="C235" s="21" t="s">
        <v>27</v>
      </c>
      <c r="D235" s="21" t="s">
        <v>727</v>
      </c>
      <c r="E235" s="21" t="s">
        <v>727</v>
      </c>
      <c r="F235" s="21" t="s">
        <v>727</v>
      </c>
      <c r="G235" s="21" t="s">
        <v>747</v>
      </c>
      <c r="H235" s="21" t="s">
        <v>17</v>
      </c>
      <c r="I235" s="21" t="s">
        <v>17</v>
      </c>
      <c r="J235" s="21" t="s">
        <v>17</v>
      </c>
      <c r="K235" s="21">
        <v>35</v>
      </c>
      <c r="L235" s="21" t="s">
        <v>730</v>
      </c>
      <c r="M235" s="21" t="s">
        <v>758</v>
      </c>
      <c r="N235" s="21" t="s">
        <v>748</v>
      </c>
      <c r="O235" s="21" t="s">
        <v>754</v>
      </c>
      <c r="P235" s="21" t="s">
        <v>17</v>
      </c>
      <c r="Q235" s="21" t="s">
        <v>17</v>
      </c>
      <c r="R235" s="21" t="s">
        <v>17</v>
      </c>
      <c r="S235" s="21" t="s">
        <v>17</v>
      </c>
      <c r="T235" s="21" t="s">
        <v>17</v>
      </c>
      <c r="U235" s="21" t="s">
        <v>17</v>
      </c>
      <c r="V235" s="21" t="s">
        <v>17</v>
      </c>
      <c r="W235" s="21" t="s">
        <v>17</v>
      </c>
      <c r="X235" s="21" t="s">
        <v>17</v>
      </c>
      <c r="Y235" s="21" t="s">
        <v>17</v>
      </c>
      <c r="Z235" s="21" t="s">
        <v>1454</v>
      </c>
      <c r="AA235" s="21" t="s">
        <v>451</v>
      </c>
      <c r="AB235" s="21" t="s">
        <v>1451</v>
      </c>
      <c r="AC235" s="21" t="s">
        <v>1452</v>
      </c>
      <c r="AD235" s="21" t="s">
        <v>1453</v>
      </c>
    </row>
    <row r="236" spans="1:30">
      <c r="A236" s="21">
        <v>211044</v>
      </c>
      <c r="B236" s="21" t="s">
        <v>726</v>
      </c>
      <c r="C236" s="21" t="s">
        <v>27</v>
      </c>
      <c r="D236" s="21" t="s">
        <v>727</v>
      </c>
      <c r="E236" s="21" t="s">
        <v>747</v>
      </c>
      <c r="F236" s="21" t="s">
        <v>727</v>
      </c>
      <c r="G236" s="21" t="s">
        <v>747</v>
      </c>
      <c r="H236" s="21" t="s">
        <v>17</v>
      </c>
      <c r="I236" s="21" t="s">
        <v>17</v>
      </c>
      <c r="J236" s="21" t="s">
        <v>17</v>
      </c>
      <c r="K236" s="21">
        <v>30</v>
      </c>
      <c r="L236" s="21" t="s">
        <v>730</v>
      </c>
      <c r="M236" s="21" t="s">
        <v>730</v>
      </c>
      <c r="N236" s="21" t="s">
        <v>748</v>
      </c>
      <c r="O236" s="21" t="s">
        <v>754</v>
      </c>
      <c r="P236" s="21" t="s">
        <v>17</v>
      </c>
      <c r="Q236" s="21" t="s">
        <v>17</v>
      </c>
      <c r="R236" s="21" t="s">
        <v>17</v>
      </c>
      <c r="S236" s="21" t="s">
        <v>17</v>
      </c>
      <c r="T236" s="21" t="s">
        <v>17</v>
      </c>
      <c r="U236" s="21" t="s">
        <v>17</v>
      </c>
      <c r="V236" s="21" t="s">
        <v>17</v>
      </c>
      <c r="W236" s="21" t="s">
        <v>17</v>
      </c>
      <c r="X236" s="21" t="s">
        <v>17</v>
      </c>
      <c r="Y236" s="21" t="s">
        <v>17</v>
      </c>
      <c r="Z236" s="21" t="s">
        <v>1454</v>
      </c>
      <c r="AA236" s="21" t="s">
        <v>452</v>
      </c>
      <c r="AB236" s="21" t="s">
        <v>740</v>
      </c>
      <c r="AC236" s="21" t="s">
        <v>1457</v>
      </c>
      <c r="AD236" s="21" t="s">
        <v>1458</v>
      </c>
    </row>
    <row r="237" spans="1:30">
      <c r="A237" s="21">
        <v>211043</v>
      </c>
      <c r="B237" s="21" t="s">
        <v>726</v>
      </c>
      <c r="C237" s="21" t="s">
        <v>27</v>
      </c>
      <c r="D237" s="21" t="s">
        <v>727</v>
      </c>
      <c r="E237" s="21" t="s">
        <v>727</v>
      </c>
      <c r="F237" s="21" t="s">
        <v>727</v>
      </c>
      <c r="G237" s="21" t="s">
        <v>747</v>
      </c>
      <c r="H237" s="21" t="s">
        <v>17</v>
      </c>
      <c r="I237" s="21" t="s">
        <v>17</v>
      </c>
      <c r="J237" s="21" t="s">
        <v>17</v>
      </c>
      <c r="K237" s="21">
        <v>35</v>
      </c>
      <c r="L237" s="21" t="s">
        <v>730</v>
      </c>
      <c r="M237" s="21" t="s">
        <v>758</v>
      </c>
      <c r="N237" s="21" t="s">
        <v>748</v>
      </c>
      <c r="O237" s="21" t="s">
        <v>754</v>
      </c>
      <c r="P237" s="21" t="s">
        <v>17</v>
      </c>
      <c r="Q237" s="21" t="s">
        <v>17</v>
      </c>
      <c r="R237" s="21" t="s">
        <v>17</v>
      </c>
      <c r="S237" s="21" t="s">
        <v>17</v>
      </c>
      <c r="T237" s="21" t="s">
        <v>17</v>
      </c>
      <c r="U237" s="21" t="s">
        <v>17</v>
      </c>
      <c r="V237" s="21" t="s">
        <v>17</v>
      </c>
      <c r="W237" s="21" t="s">
        <v>17</v>
      </c>
      <c r="X237" s="21" t="s">
        <v>17</v>
      </c>
      <c r="Y237" s="21" t="s">
        <v>17</v>
      </c>
      <c r="Z237" s="21" t="s">
        <v>1454</v>
      </c>
      <c r="AA237" s="21" t="s">
        <v>453</v>
      </c>
      <c r="AB237" s="21" t="s">
        <v>740</v>
      </c>
      <c r="AC237" s="21" t="s">
        <v>1459</v>
      </c>
      <c r="AD237" s="21" t="s">
        <v>1460</v>
      </c>
    </row>
    <row r="238" spans="1:30">
      <c r="A238" s="21">
        <v>211042</v>
      </c>
      <c r="B238" s="21" t="s">
        <v>726</v>
      </c>
      <c r="C238" s="21" t="s">
        <v>27</v>
      </c>
      <c r="D238" s="21" t="s">
        <v>727</v>
      </c>
      <c r="E238" s="21" t="s">
        <v>727</v>
      </c>
      <c r="F238" s="21" t="s">
        <v>727</v>
      </c>
      <c r="G238" s="21" t="s">
        <v>747</v>
      </c>
      <c r="H238" s="21" t="s">
        <v>17</v>
      </c>
      <c r="I238" s="21" t="s">
        <v>17</v>
      </c>
      <c r="J238" s="21" t="s">
        <v>17</v>
      </c>
      <c r="K238" s="21">
        <v>35</v>
      </c>
      <c r="L238" s="21" t="s">
        <v>730</v>
      </c>
      <c r="M238" s="21" t="s">
        <v>758</v>
      </c>
      <c r="N238" s="21" t="s">
        <v>748</v>
      </c>
      <c r="O238" s="21" t="s">
        <v>754</v>
      </c>
      <c r="P238" s="21" t="s">
        <v>17</v>
      </c>
      <c r="Q238" s="21" t="s">
        <v>17</v>
      </c>
      <c r="R238" s="21" t="s">
        <v>17</v>
      </c>
      <c r="S238" s="21" t="s">
        <v>17</v>
      </c>
      <c r="T238" s="21" t="s">
        <v>17</v>
      </c>
      <c r="U238" s="21" t="s">
        <v>17</v>
      </c>
      <c r="V238" s="21" t="s">
        <v>17</v>
      </c>
      <c r="W238" s="21" t="s">
        <v>17</v>
      </c>
      <c r="X238" s="21" t="s">
        <v>17</v>
      </c>
      <c r="Y238" s="21" t="s">
        <v>17</v>
      </c>
      <c r="Z238" s="21" t="s">
        <v>1454</v>
      </c>
      <c r="AA238" s="21" t="s">
        <v>454</v>
      </c>
      <c r="AB238" s="21" t="s">
        <v>796</v>
      </c>
      <c r="AC238" s="21" t="s">
        <v>1461</v>
      </c>
      <c r="AD238" s="21" t="s">
        <v>1462</v>
      </c>
    </row>
    <row r="239" spans="1:30">
      <c r="A239" s="21">
        <v>211041</v>
      </c>
      <c r="B239" s="21" t="s">
        <v>726</v>
      </c>
      <c r="C239" s="21" t="s">
        <v>27</v>
      </c>
      <c r="D239" s="21" t="s">
        <v>727</v>
      </c>
      <c r="E239" s="21" t="s">
        <v>727</v>
      </c>
      <c r="F239" s="21" t="s">
        <v>727</v>
      </c>
      <c r="G239" s="21" t="s">
        <v>747</v>
      </c>
      <c r="H239" s="21" t="s">
        <v>17</v>
      </c>
      <c r="I239" s="21" t="s">
        <v>17</v>
      </c>
      <c r="J239" s="21" t="s">
        <v>17</v>
      </c>
      <c r="K239" s="21">
        <v>35</v>
      </c>
      <c r="L239" s="21" t="s">
        <v>730</v>
      </c>
      <c r="M239" s="21" t="s">
        <v>758</v>
      </c>
      <c r="N239" s="21" t="s">
        <v>748</v>
      </c>
      <c r="O239" s="21" t="s">
        <v>754</v>
      </c>
      <c r="P239" s="21" t="s">
        <v>17</v>
      </c>
      <c r="Q239" s="21" t="s">
        <v>17</v>
      </c>
      <c r="R239" s="21" t="s">
        <v>17</v>
      </c>
      <c r="S239" s="21" t="s">
        <v>17</v>
      </c>
      <c r="T239" s="21" t="s">
        <v>17</v>
      </c>
      <c r="U239" s="21" t="s">
        <v>17</v>
      </c>
      <c r="V239" s="21" t="s">
        <v>17</v>
      </c>
      <c r="W239" s="21" t="s">
        <v>17</v>
      </c>
      <c r="X239" s="21" t="s">
        <v>17</v>
      </c>
      <c r="Y239" s="21" t="s">
        <v>17</v>
      </c>
      <c r="Z239" s="21" t="s">
        <v>1463</v>
      </c>
      <c r="AA239" s="21" t="s">
        <v>455</v>
      </c>
      <c r="AB239" s="21" t="s">
        <v>740</v>
      </c>
      <c r="AC239" s="21" t="s">
        <v>1464</v>
      </c>
      <c r="AD239" s="21" t="s">
        <v>1465</v>
      </c>
    </row>
    <row r="240" spans="1:30">
      <c r="A240" s="21">
        <v>211040</v>
      </c>
      <c r="B240" s="21" t="s">
        <v>726</v>
      </c>
      <c r="C240" s="21" t="s">
        <v>27</v>
      </c>
      <c r="D240" s="21" t="s">
        <v>727</v>
      </c>
      <c r="E240" s="21" t="s">
        <v>727</v>
      </c>
      <c r="F240" s="21" t="s">
        <v>727</v>
      </c>
      <c r="G240" s="21" t="s">
        <v>747</v>
      </c>
      <c r="H240" s="21" t="s">
        <v>17</v>
      </c>
      <c r="I240" s="21" t="s">
        <v>17</v>
      </c>
      <c r="J240" s="21" t="s">
        <v>17</v>
      </c>
      <c r="K240" s="21">
        <v>35</v>
      </c>
      <c r="L240" s="21" t="s">
        <v>730</v>
      </c>
      <c r="M240" s="21" t="s">
        <v>758</v>
      </c>
      <c r="N240" s="21" t="s">
        <v>748</v>
      </c>
      <c r="O240" s="21" t="s">
        <v>754</v>
      </c>
      <c r="P240" s="21" t="s">
        <v>17</v>
      </c>
      <c r="Q240" s="21" t="s">
        <v>17</v>
      </c>
      <c r="R240" s="21" t="s">
        <v>17</v>
      </c>
      <c r="S240" s="21" t="s">
        <v>17</v>
      </c>
      <c r="T240" s="21" t="s">
        <v>17</v>
      </c>
      <c r="U240" s="21" t="s">
        <v>17</v>
      </c>
      <c r="V240" s="21" t="s">
        <v>17</v>
      </c>
      <c r="W240" s="21" t="s">
        <v>17</v>
      </c>
      <c r="X240" s="21" t="s">
        <v>17</v>
      </c>
      <c r="Y240" s="21" t="s">
        <v>17</v>
      </c>
      <c r="Z240" s="21" t="s">
        <v>1463</v>
      </c>
      <c r="AA240" s="21" t="s">
        <v>457</v>
      </c>
      <c r="AB240" s="21" t="s">
        <v>1466</v>
      </c>
      <c r="AC240" s="21" t="s">
        <v>1467</v>
      </c>
      <c r="AD240" s="21" t="s">
        <v>1468</v>
      </c>
    </row>
    <row r="241" spans="1:30">
      <c r="A241" s="21">
        <v>211039</v>
      </c>
      <c r="B241" s="21" t="s">
        <v>726</v>
      </c>
      <c r="C241" s="21" t="s">
        <v>27</v>
      </c>
      <c r="D241" s="21" t="s">
        <v>727</v>
      </c>
      <c r="E241" s="21" t="s">
        <v>727</v>
      </c>
      <c r="F241" s="21" t="s">
        <v>727</v>
      </c>
      <c r="G241" s="21" t="s">
        <v>747</v>
      </c>
      <c r="H241" s="21" t="s">
        <v>17</v>
      </c>
      <c r="I241" s="21" t="s">
        <v>17</v>
      </c>
      <c r="J241" s="21" t="s">
        <v>17</v>
      </c>
      <c r="K241" s="21">
        <v>35</v>
      </c>
      <c r="L241" s="21" t="s">
        <v>730</v>
      </c>
      <c r="M241" s="21" t="s">
        <v>758</v>
      </c>
      <c r="N241" s="21" t="s">
        <v>748</v>
      </c>
      <c r="O241" s="21" t="s">
        <v>754</v>
      </c>
      <c r="P241" s="21" t="s">
        <v>17</v>
      </c>
      <c r="Q241" s="21" t="s">
        <v>17</v>
      </c>
      <c r="R241" s="21" t="s">
        <v>17</v>
      </c>
      <c r="S241" s="21" t="s">
        <v>17</v>
      </c>
      <c r="T241" s="21" t="s">
        <v>17</v>
      </c>
      <c r="U241" s="21" t="s">
        <v>17</v>
      </c>
      <c r="V241" s="21" t="s">
        <v>17</v>
      </c>
      <c r="W241" s="21" t="s">
        <v>17</v>
      </c>
      <c r="X241" s="21" t="s">
        <v>17</v>
      </c>
      <c r="Y241" s="21" t="s">
        <v>17</v>
      </c>
      <c r="Z241" s="21" t="s">
        <v>1463</v>
      </c>
      <c r="AA241" s="21" t="s">
        <v>458</v>
      </c>
      <c r="AB241" s="21" t="s">
        <v>740</v>
      </c>
      <c r="AC241" s="21" t="s">
        <v>1469</v>
      </c>
      <c r="AD241" s="21" t="s">
        <v>1470</v>
      </c>
    </row>
    <row r="242" spans="1:30">
      <c r="A242" s="21">
        <v>211038</v>
      </c>
      <c r="B242" s="21" t="s">
        <v>726</v>
      </c>
      <c r="C242" s="21" t="s">
        <v>27</v>
      </c>
      <c r="D242" s="21" t="s">
        <v>727</v>
      </c>
      <c r="E242" s="21" t="s">
        <v>727</v>
      </c>
      <c r="F242" s="21" t="s">
        <v>727</v>
      </c>
      <c r="G242" s="21" t="s">
        <v>747</v>
      </c>
      <c r="H242" s="21" t="s">
        <v>17</v>
      </c>
      <c r="I242" s="21" t="s">
        <v>17</v>
      </c>
      <c r="J242" s="21" t="s">
        <v>17</v>
      </c>
      <c r="K242" s="21">
        <v>35</v>
      </c>
      <c r="L242" s="21" t="s">
        <v>730</v>
      </c>
      <c r="M242" s="21" t="s">
        <v>758</v>
      </c>
      <c r="N242" s="21" t="s">
        <v>748</v>
      </c>
      <c r="O242" s="21" t="s">
        <v>754</v>
      </c>
      <c r="P242" s="21" t="s">
        <v>17</v>
      </c>
      <c r="Q242" s="21" t="s">
        <v>17</v>
      </c>
      <c r="R242" s="21" t="s">
        <v>17</v>
      </c>
      <c r="S242" s="21" t="s">
        <v>17</v>
      </c>
      <c r="T242" s="21" t="s">
        <v>17</v>
      </c>
      <c r="U242" s="21" t="s">
        <v>17</v>
      </c>
      <c r="V242" s="21" t="s">
        <v>17</v>
      </c>
      <c r="W242" s="21" t="s">
        <v>17</v>
      </c>
      <c r="X242" s="21" t="s">
        <v>17</v>
      </c>
      <c r="Y242" s="21" t="s">
        <v>17</v>
      </c>
      <c r="Z242" s="21" t="s">
        <v>1463</v>
      </c>
      <c r="AA242" s="21" t="s">
        <v>459</v>
      </c>
      <c r="AB242" s="21" t="s">
        <v>796</v>
      </c>
      <c r="AC242" s="21" t="s">
        <v>1471</v>
      </c>
      <c r="AD242" s="21" t="s">
        <v>1472</v>
      </c>
    </row>
    <row r="243" spans="1:30">
      <c r="A243" s="21">
        <v>211037</v>
      </c>
      <c r="B243" s="21" t="s">
        <v>726</v>
      </c>
      <c r="C243" s="21" t="s">
        <v>27</v>
      </c>
      <c r="D243" s="21" t="s">
        <v>727</v>
      </c>
      <c r="E243" s="21" t="s">
        <v>727</v>
      </c>
      <c r="F243" s="21" t="s">
        <v>727</v>
      </c>
      <c r="G243" s="21" t="s">
        <v>747</v>
      </c>
      <c r="H243" s="21" t="s">
        <v>17</v>
      </c>
      <c r="I243" s="21" t="s">
        <v>17</v>
      </c>
      <c r="J243" s="21" t="s">
        <v>17</v>
      </c>
      <c r="K243" s="21">
        <v>35</v>
      </c>
      <c r="L243" s="21" t="s">
        <v>730</v>
      </c>
      <c r="M243" s="21" t="s">
        <v>758</v>
      </c>
      <c r="N243" s="21" t="s">
        <v>748</v>
      </c>
      <c r="O243" s="21" t="s">
        <v>754</v>
      </c>
      <c r="P243" s="21" t="s">
        <v>17</v>
      </c>
      <c r="Q243" s="21" t="s">
        <v>17</v>
      </c>
      <c r="R243" s="21" t="s">
        <v>17</v>
      </c>
      <c r="S243" s="21" t="s">
        <v>17</v>
      </c>
      <c r="T243" s="21" t="s">
        <v>17</v>
      </c>
      <c r="U243" s="21" t="s">
        <v>17</v>
      </c>
      <c r="V243" s="21" t="s">
        <v>17</v>
      </c>
      <c r="W243" s="21" t="s">
        <v>17</v>
      </c>
      <c r="X243" s="21" t="s">
        <v>17</v>
      </c>
      <c r="Y243" s="21" t="s">
        <v>17</v>
      </c>
      <c r="Z243" s="21" t="s">
        <v>1463</v>
      </c>
      <c r="AA243" s="21" t="s">
        <v>460</v>
      </c>
      <c r="AB243" s="21" t="s">
        <v>796</v>
      </c>
      <c r="AC243" s="21" t="s">
        <v>1473</v>
      </c>
      <c r="AD243" s="21" t="s">
        <v>1474</v>
      </c>
    </row>
    <row r="244" spans="1:30">
      <c r="A244" s="21">
        <v>211036</v>
      </c>
      <c r="B244" s="21" t="s">
        <v>726</v>
      </c>
      <c r="C244" s="21" t="s">
        <v>27</v>
      </c>
      <c r="D244" s="21" t="s">
        <v>727</v>
      </c>
      <c r="E244" s="21" t="s">
        <v>727</v>
      </c>
      <c r="F244" s="21" t="s">
        <v>727</v>
      </c>
      <c r="G244" s="21" t="s">
        <v>747</v>
      </c>
      <c r="H244" s="21" t="s">
        <v>17</v>
      </c>
      <c r="I244" s="21" t="s">
        <v>17</v>
      </c>
      <c r="J244" s="21" t="s">
        <v>17</v>
      </c>
      <c r="K244" s="21">
        <v>35</v>
      </c>
      <c r="L244" s="21" t="s">
        <v>730</v>
      </c>
      <c r="M244" s="21" t="s">
        <v>758</v>
      </c>
      <c r="N244" s="21" t="s">
        <v>748</v>
      </c>
      <c r="O244" s="21" t="s">
        <v>754</v>
      </c>
      <c r="P244" s="21" t="s">
        <v>17</v>
      </c>
      <c r="Q244" s="21" t="s">
        <v>17</v>
      </c>
      <c r="R244" s="21" t="s">
        <v>17</v>
      </c>
      <c r="S244" s="21" t="s">
        <v>17</v>
      </c>
      <c r="T244" s="21" t="s">
        <v>17</v>
      </c>
      <c r="U244" s="21" t="s">
        <v>17</v>
      </c>
      <c r="V244" s="21" t="s">
        <v>17</v>
      </c>
      <c r="W244" s="21" t="s">
        <v>17</v>
      </c>
      <c r="X244" s="21" t="s">
        <v>17</v>
      </c>
      <c r="Y244" s="21" t="s">
        <v>17</v>
      </c>
      <c r="Z244" s="21" t="s">
        <v>1463</v>
      </c>
      <c r="AA244" s="21" t="s">
        <v>461</v>
      </c>
      <c r="AB244" s="21" t="s">
        <v>740</v>
      </c>
      <c r="AC244" s="21" t="s">
        <v>1475</v>
      </c>
      <c r="AD244" s="21" t="s">
        <v>1476</v>
      </c>
    </row>
    <row r="245" spans="1:30">
      <c r="A245" s="21">
        <v>211035</v>
      </c>
      <c r="B245" s="21" t="s">
        <v>726</v>
      </c>
      <c r="C245" s="21" t="s">
        <v>27</v>
      </c>
      <c r="D245" s="21" t="s">
        <v>727</v>
      </c>
      <c r="E245" s="21" t="s">
        <v>955</v>
      </c>
      <c r="F245" s="21" t="s">
        <v>727</v>
      </c>
      <c r="G245" s="21" t="s">
        <v>747</v>
      </c>
      <c r="H245" s="21" t="s">
        <v>17</v>
      </c>
      <c r="I245" s="21" t="s">
        <v>17</v>
      </c>
      <c r="J245" s="21" t="s">
        <v>17</v>
      </c>
      <c r="K245" s="21">
        <v>28</v>
      </c>
      <c r="L245" s="21" t="s">
        <v>730</v>
      </c>
      <c r="M245" s="21" t="s">
        <v>1040</v>
      </c>
      <c r="N245" s="21" t="s">
        <v>748</v>
      </c>
      <c r="O245" s="21" t="s">
        <v>754</v>
      </c>
      <c r="P245" s="21" t="s">
        <v>17</v>
      </c>
      <c r="Q245" s="21" t="s">
        <v>17</v>
      </c>
      <c r="R245" s="21" t="s">
        <v>17</v>
      </c>
      <c r="S245" s="21" t="s">
        <v>17</v>
      </c>
      <c r="T245" s="21" t="s">
        <v>17</v>
      </c>
      <c r="U245" s="21" t="s">
        <v>17</v>
      </c>
      <c r="V245" s="21" t="s">
        <v>17</v>
      </c>
      <c r="W245" s="21" t="s">
        <v>17</v>
      </c>
      <c r="X245" s="21" t="s">
        <v>17</v>
      </c>
      <c r="Y245" s="21" t="s">
        <v>17</v>
      </c>
      <c r="Z245" s="21" t="s">
        <v>1463</v>
      </c>
      <c r="AA245" s="21" t="s">
        <v>462</v>
      </c>
      <c r="AB245" s="21" t="s">
        <v>740</v>
      </c>
      <c r="AC245" s="21" t="s">
        <v>1477</v>
      </c>
      <c r="AD245" s="21" t="s">
        <v>1478</v>
      </c>
    </row>
    <row r="246" spans="1:30">
      <c r="A246" s="21">
        <v>211034</v>
      </c>
      <c r="B246" s="21" t="s">
        <v>726</v>
      </c>
      <c r="C246" s="21" t="s">
        <v>27</v>
      </c>
      <c r="D246" s="21" t="s">
        <v>727</v>
      </c>
      <c r="E246" s="21" t="s">
        <v>727</v>
      </c>
      <c r="F246" s="21" t="s">
        <v>727</v>
      </c>
      <c r="G246" s="21" t="s">
        <v>747</v>
      </c>
      <c r="H246" s="21" t="s">
        <v>17</v>
      </c>
      <c r="I246" s="21" t="s">
        <v>17</v>
      </c>
      <c r="J246" s="21" t="s">
        <v>17</v>
      </c>
      <c r="K246" s="21">
        <v>35</v>
      </c>
      <c r="L246" s="21" t="s">
        <v>730</v>
      </c>
      <c r="M246" s="21" t="s">
        <v>758</v>
      </c>
      <c r="N246" s="21" t="s">
        <v>748</v>
      </c>
      <c r="O246" s="21" t="s">
        <v>754</v>
      </c>
      <c r="P246" s="21" t="s">
        <v>17</v>
      </c>
      <c r="Q246" s="21" t="s">
        <v>17</v>
      </c>
      <c r="R246" s="21" t="s">
        <v>17</v>
      </c>
      <c r="S246" s="21" t="s">
        <v>17</v>
      </c>
      <c r="T246" s="21" t="s">
        <v>17</v>
      </c>
      <c r="U246" s="21" t="s">
        <v>17</v>
      </c>
      <c r="V246" s="21" t="s">
        <v>17</v>
      </c>
      <c r="W246" s="21" t="s">
        <v>17</v>
      </c>
      <c r="X246" s="21" t="s">
        <v>17</v>
      </c>
      <c r="Y246" s="21" t="s">
        <v>17</v>
      </c>
      <c r="Z246" s="21" t="s">
        <v>1463</v>
      </c>
      <c r="AA246" s="21" t="s">
        <v>463</v>
      </c>
      <c r="AB246" s="21" t="s">
        <v>879</v>
      </c>
      <c r="AC246" s="21" t="s">
        <v>1479</v>
      </c>
      <c r="AD246" s="21" t="s">
        <v>1480</v>
      </c>
    </row>
    <row r="247" spans="1:30">
      <c r="A247" s="21">
        <v>211033</v>
      </c>
      <c r="B247" s="21" t="s">
        <v>726</v>
      </c>
      <c r="C247" s="21" t="s">
        <v>27</v>
      </c>
      <c r="D247" s="21" t="s">
        <v>727</v>
      </c>
      <c r="E247" s="21" t="s">
        <v>727</v>
      </c>
      <c r="F247" s="21" t="s">
        <v>727</v>
      </c>
      <c r="G247" s="21" t="s">
        <v>747</v>
      </c>
      <c r="H247" s="21" t="s">
        <v>17</v>
      </c>
      <c r="I247" s="21" t="s">
        <v>17</v>
      </c>
      <c r="J247" s="21" t="s">
        <v>17</v>
      </c>
      <c r="K247" s="21">
        <v>35</v>
      </c>
      <c r="L247" s="21" t="s">
        <v>730</v>
      </c>
      <c r="M247" s="21" t="s">
        <v>758</v>
      </c>
      <c r="N247" s="21" t="s">
        <v>748</v>
      </c>
      <c r="O247" s="21" t="s">
        <v>754</v>
      </c>
      <c r="P247" s="21" t="s">
        <v>17</v>
      </c>
      <c r="Q247" s="21" t="s">
        <v>17</v>
      </c>
      <c r="R247" s="21" t="s">
        <v>17</v>
      </c>
      <c r="S247" s="21" t="s">
        <v>17</v>
      </c>
      <c r="T247" s="21" t="s">
        <v>17</v>
      </c>
      <c r="U247" s="21" t="s">
        <v>17</v>
      </c>
      <c r="V247" s="21" t="s">
        <v>17</v>
      </c>
      <c r="W247" s="21" t="s">
        <v>17</v>
      </c>
      <c r="X247" s="21" t="s">
        <v>17</v>
      </c>
      <c r="Y247" s="21" t="s">
        <v>17</v>
      </c>
      <c r="Z247" s="21" t="s">
        <v>1481</v>
      </c>
      <c r="AA247" s="21" t="s">
        <v>464</v>
      </c>
      <c r="AB247" s="21" t="s">
        <v>740</v>
      </c>
      <c r="AC247" s="21" t="s">
        <v>1482</v>
      </c>
      <c r="AD247" s="21" t="s">
        <v>1483</v>
      </c>
    </row>
    <row r="248" spans="1:30">
      <c r="A248" s="21">
        <v>211032</v>
      </c>
      <c r="B248" s="21" t="s">
        <v>726</v>
      </c>
      <c r="C248" s="21" t="s">
        <v>27</v>
      </c>
      <c r="D248" s="21" t="s">
        <v>727</v>
      </c>
      <c r="E248" s="21" t="s">
        <v>747</v>
      </c>
      <c r="F248" s="21" t="s">
        <v>727</v>
      </c>
      <c r="G248" s="21" t="s">
        <v>747</v>
      </c>
      <c r="H248" s="21" t="s">
        <v>17</v>
      </c>
      <c r="I248" s="21" t="s">
        <v>17</v>
      </c>
      <c r="J248" s="21" t="s">
        <v>17</v>
      </c>
      <c r="K248" s="21">
        <v>30</v>
      </c>
      <c r="L248" s="21" t="s">
        <v>730</v>
      </c>
      <c r="M248" s="21" t="s">
        <v>730</v>
      </c>
      <c r="N248" s="21" t="s">
        <v>748</v>
      </c>
      <c r="O248" s="21" t="s">
        <v>754</v>
      </c>
      <c r="P248" s="21" t="s">
        <v>17</v>
      </c>
      <c r="Q248" s="21" t="s">
        <v>17</v>
      </c>
      <c r="R248" s="21" t="s">
        <v>17</v>
      </c>
      <c r="S248" s="21" t="s">
        <v>17</v>
      </c>
      <c r="T248" s="21" t="s">
        <v>17</v>
      </c>
      <c r="U248" s="21" t="s">
        <v>17</v>
      </c>
      <c r="V248" s="21" t="s">
        <v>17</v>
      </c>
      <c r="W248" s="21" t="s">
        <v>17</v>
      </c>
      <c r="X248" s="21" t="s">
        <v>17</v>
      </c>
      <c r="Y248" s="21" t="s">
        <v>17</v>
      </c>
      <c r="Z248" s="21" t="s">
        <v>1481</v>
      </c>
      <c r="AA248" s="21" t="s">
        <v>466</v>
      </c>
      <c r="AB248" s="21" t="s">
        <v>1484</v>
      </c>
      <c r="AC248" s="21" t="s">
        <v>1485</v>
      </c>
      <c r="AD248" s="21" t="s">
        <v>1486</v>
      </c>
    </row>
    <row r="249" spans="1:30">
      <c r="A249" s="21">
        <v>211031</v>
      </c>
      <c r="B249" s="21" t="s">
        <v>726</v>
      </c>
      <c r="C249" s="21" t="s">
        <v>27</v>
      </c>
      <c r="D249" s="21" t="s">
        <v>727</v>
      </c>
      <c r="E249" s="21" t="s">
        <v>727</v>
      </c>
      <c r="F249" s="21" t="s">
        <v>727</v>
      </c>
      <c r="G249" s="21" t="s">
        <v>747</v>
      </c>
      <c r="H249" s="21" t="s">
        <v>17</v>
      </c>
      <c r="I249" s="21" t="s">
        <v>17</v>
      </c>
      <c r="J249" s="21" t="s">
        <v>17</v>
      </c>
      <c r="K249" s="21">
        <v>35</v>
      </c>
      <c r="L249" s="21" t="s">
        <v>730</v>
      </c>
      <c r="M249" s="21" t="s">
        <v>758</v>
      </c>
      <c r="N249" s="21" t="s">
        <v>965</v>
      </c>
      <c r="O249" s="21" t="s">
        <v>754</v>
      </c>
      <c r="P249" s="21" t="s">
        <v>17</v>
      </c>
      <c r="Q249" s="21" t="s">
        <v>17</v>
      </c>
      <c r="R249" s="21" t="s">
        <v>17</v>
      </c>
      <c r="S249" s="21" t="s">
        <v>17</v>
      </c>
      <c r="T249" s="21" t="s">
        <v>17</v>
      </c>
      <c r="U249" s="21" t="s">
        <v>17</v>
      </c>
      <c r="V249" s="21" t="s">
        <v>17</v>
      </c>
      <c r="W249" s="21" t="s">
        <v>17</v>
      </c>
      <c r="X249" s="21" t="s">
        <v>17</v>
      </c>
      <c r="Y249" s="21" t="s">
        <v>17</v>
      </c>
      <c r="Z249" s="21" t="s">
        <v>1481</v>
      </c>
      <c r="AA249" s="21" t="s">
        <v>467</v>
      </c>
      <c r="AB249" s="21" t="s">
        <v>740</v>
      </c>
      <c r="AC249" s="21" t="s">
        <v>1487</v>
      </c>
      <c r="AD249" s="21" t="s">
        <v>1488</v>
      </c>
    </row>
    <row r="250" spans="1:30">
      <c r="A250" s="21">
        <v>211030</v>
      </c>
      <c r="B250" s="21" t="s">
        <v>726</v>
      </c>
      <c r="C250" s="21" t="s">
        <v>27</v>
      </c>
      <c r="D250" s="21" t="s">
        <v>727</v>
      </c>
      <c r="E250" s="21" t="s">
        <v>747</v>
      </c>
      <c r="F250" s="21" t="s">
        <v>727</v>
      </c>
      <c r="G250" s="21" t="s">
        <v>747</v>
      </c>
      <c r="H250" s="21" t="s">
        <v>17</v>
      </c>
      <c r="I250" s="21" t="s">
        <v>17</v>
      </c>
      <c r="J250" s="21" t="s">
        <v>17</v>
      </c>
      <c r="K250" s="21">
        <v>30</v>
      </c>
      <c r="L250" s="21" t="s">
        <v>730</v>
      </c>
      <c r="M250" s="21" t="s">
        <v>730</v>
      </c>
      <c r="N250" s="21" t="s">
        <v>748</v>
      </c>
      <c r="O250" s="21" t="s">
        <v>754</v>
      </c>
      <c r="P250" s="21" t="s">
        <v>17</v>
      </c>
      <c r="Q250" s="21" t="s">
        <v>17</v>
      </c>
      <c r="R250" s="21" t="s">
        <v>17</v>
      </c>
      <c r="S250" s="21" t="s">
        <v>17</v>
      </c>
      <c r="T250" s="21" t="s">
        <v>17</v>
      </c>
      <c r="U250" s="21" t="s">
        <v>17</v>
      </c>
      <c r="V250" s="21" t="s">
        <v>17</v>
      </c>
      <c r="W250" s="21" t="s">
        <v>17</v>
      </c>
      <c r="X250" s="21" t="s">
        <v>17</v>
      </c>
      <c r="Y250" s="21" t="s">
        <v>17</v>
      </c>
      <c r="Z250" s="21" t="s">
        <v>1481</v>
      </c>
      <c r="AA250" s="21" t="s">
        <v>468</v>
      </c>
      <c r="AB250" s="21" t="s">
        <v>796</v>
      </c>
      <c r="AC250" s="21" t="s">
        <v>1489</v>
      </c>
      <c r="AD250" s="21" t="s">
        <v>1490</v>
      </c>
    </row>
    <row r="251" spans="1:30">
      <c r="A251" s="21">
        <v>211029</v>
      </c>
      <c r="B251" s="21" t="s">
        <v>726</v>
      </c>
      <c r="C251" s="21" t="s">
        <v>27</v>
      </c>
      <c r="D251" s="21" t="s">
        <v>727</v>
      </c>
      <c r="E251" s="21" t="s">
        <v>727</v>
      </c>
      <c r="F251" s="21" t="s">
        <v>727</v>
      </c>
      <c r="G251" s="21" t="s">
        <v>747</v>
      </c>
      <c r="H251" s="21" t="s">
        <v>17</v>
      </c>
      <c r="I251" s="21" t="s">
        <v>17</v>
      </c>
      <c r="J251" s="21" t="s">
        <v>17</v>
      </c>
      <c r="K251" s="21">
        <v>35</v>
      </c>
      <c r="L251" s="21" t="s">
        <v>730</v>
      </c>
      <c r="M251" s="21" t="s">
        <v>758</v>
      </c>
      <c r="N251" s="21" t="s">
        <v>748</v>
      </c>
      <c r="O251" s="21" t="s">
        <v>754</v>
      </c>
      <c r="P251" s="21" t="s">
        <v>17</v>
      </c>
      <c r="Q251" s="21" t="s">
        <v>17</v>
      </c>
      <c r="R251" s="21" t="s">
        <v>17</v>
      </c>
      <c r="S251" s="21" t="s">
        <v>17</v>
      </c>
      <c r="T251" s="21" t="s">
        <v>17</v>
      </c>
      <c r="U251" s="21" t="s">
        <v>17</v>
      </c>
      <c r="V251" s="21" t="s">
        <v>17</v>
      </c>
      <c r="W251" s="21" t="s">
        <v>17</v>
      </c>
      <c r="X251" s="21" t="s">
        <v>17</v>
      </c>
      <c r="Y251" s="21" t="s">
        <v>17</v>
      </c>
      <c r="Z251" s="21" t="s">
        <v>1491</v>
      </c>
      <c r="AA251" s="21" t="s">
        <v>469</v>
      </c>
      <c r="AB251" s="21" t="s">
        <v>879</v>
      </c>
      <c r="AC251" s="21" t="s">
        <v>1479</v>
      </c>
      <c r="AD251" s="21" t="s">
        <v>1480</v>
      </c>
    </row>
    <row r="252" spans="1:30">
      <c r="A252" s="21">
        <v>211028</v>
      </c>
      <c r="B252" s="21" t="s">
        <v>726</v>
      </c>
      <c r="C252" s="21" t="s">
        <v>27</v>
      </c>
      <c r="D252" s="21" t="s">
        <v>727</v>
      </c>
      <c r="E252" s="21" t="s">
        <v>727</v>
      </c>
      <c r="F252" s="21" t="s">
        <v>727</v>
      </c>
      <c r="G252" s="21" t="s">
        <v>747</v>
      </c>
      <c r="H252" s="21" t="s">
        <v>17</v>
      </c>
      <c r="I252" s="21" t="s">
        <v>17</v>
      </c>
      <c r="J252" s="21" t="s">
        <v>17</v>
      </c>
      <c r="K252" s="21">
        <v>35</v>
      </c>
      <c r="L252" s="21" t="s">
        <v>730</v>
      </c>
      <c r="M252" s="21" t="s">
        <v>758</v>
      </c>
      <c r="N252" s="21" t="s">
        <v>748</v>
      </c>
      <c r="O252" s="21" t="s">
        <v>754</v>
      </c>
      <c r="P252" s="21" t="s">
        <v>17</v>
      </c>
      <c r="Q252" s="21" t="s">
        <v>17</v>
      </c>
      <c r="R252" s="21" t="s">
        <v>17</v>
      </c>
      <c r="S252" s="21" t="s">
        <v>17</v>
      </c>
      <c r="T252" s="21" t="s">
        <v>17</v>
      </c>
      <c r="U252" s="21" t="s">
        <v>17</v>
      </c>
      <c r="V252" s="21" t="s">
        <v>17</v>
      </c>
      <c r="W252" s="21" t="s">
        <v>17</v>
      </c>
      <c r="X252" s="21" t="s">
        <v>17</v>
      </c>
      <c r="Y252" s="21" t="s">
        <v>17</v>
      </c>
      <c r="Z252" s="21" t="s">
        <v>1491</v>
      </c>
      <c r="AA252" s="21" t="s">
        <v>471</v>
      </c>
      <c r="AB252" s="21" t="s">
        <v>740</v>
      </c>
      <c r="AC252" s="21" t="s">
        <v>1492</v>
      </c>
      <c r="AD252" s="21" t="s">
        <v>1493</v>
      </c>
    </row>
    <row r="253" spans="1:30">
      <c r="A253" s="21">
        <v>211027</v>
      </c>
      <c r="B253" s="21" t="s">
        <v>726</v>
      </c>
      <c r="C253" s="21" t="s">
        <v>27</v>
      </c>
      <c r="D253" s="21" t="s">
        <v>727</v>
      </c>
      <c r="E253" s="21" t="s">
        <v>727</v>
      </c>
      <c r="F253" s="21" t="s">
        <v>727</v>
      </c>
      <c r="G253" s="21" t="s">
        <v>747</v>
      </c>
      <c r="H253" s="21" t="s">
        <v>17</v>
      </c>
      <c r="I253" s="21" t="s">
        <v>17</v>
      </c>
      <c r="J253" s="21" t="s">
        <v>17</v>
      </c>
      <c r="K253" s="21">
        <v>35</v>
      </c>
      <c r="L253" s="21" t="s">
        <v>730</v>
      </c>
      <c r="M253" s="21" t="s">
        <v>758</v>
      </c>
      <c r="N253" s="21" t="s">
        <v>748</v>
      </c>
      <c r="O253" s="21" t="s">
        <v>754</v>
      </c>
      <c r="P253" s="21" t="s">
        <v>17</v>
      </c>
      <c r="Q253" s="21" t="s">
        <v>17</v>
      </c>
      <c r="R253" s="21" t="s">
        <v>17</v>
      </c>
      <c r="S253" s="21" t="s">
        <v>17</v>
      </c>
      <c r="T253" s="21" t="s">
        <v>17</v>
      </c>
      <c r="U253" s="21" t="s">
        <v>17</v>
      </c>
      <c r="V253" s="21" t="s">
        <v>17</v>
      </c>
      <c r="W253" s="21" t="s">
        <v>17</v>
      </c>
      <c r="X253" s="21" t="s">
        <v>17</v>
      </c>
      <c r="Y253" s="21" t="s">
        <v>17</v>
      </c>
      <c r="Z253" s="21" t="s">
        <v>1491</v>
      </c>
      <c r="AA253" s="21" t="s">
        <v>472</v>
      </c>
      <c r="AB253" s="21" t="s">
        <v>740</v>
      </c>
      <c r="AC253" s="21" t="s">
        <v>1494</v>
      </c>
      <c r="AD253" s="21" t="s">
        <v>1495</v>
      </c>
    </row>
    <row r="254" spans="1:30">
      <c r="A254" s="21">
        <v>211026</v>
      </c>
      <c r="B254" s="21" t="s">
        <v>726</v>
      </c>
      <c r="C254" s="21" t="s">
        <v>27</v>
      </c>
      <c r="D254" s="21" t="s">
        <v>727</v>
      </c>
      <c r="E254" s="21" t="s">
        <v>727</v>
      </c>
      <c r="F254" s="21" t="s">
        <v>727</v>
      </c>
      <c r="G254" s="21" t="s">
        <v>747</v>
      </c>
      <c r="H254" s="21" t="s">
        <v>17</v>
      </c>
      <c r="I254" s="21" t="s">
        <v>17</v>
      </c>
      <c r="J254" s="21" t="s">
        <v>17</v>
      </c>
      <c r="K254" s="21">
        <v>35</v>
      </c>
      <c r="L254" s="21" t="s">
        <v>730</v>
      </c>
      <c r="M254" s="21" t="s">
        <v>758</v>
      </c>
      <c r="N254" s="21" t="s">
        <v>748</v>
      </c>
      <c r="O254" s="21" t="s">
        <v>754</v>
      </c>
      <c r="P254" s="21" t="s">
        <v>17</v>
      </c>
      <c r="Q254" s="21" t="s">
        <v>17</v>
      </c>
      <c r="R254" s="21" t="s">
        <v>17</v>
      </c>
      <c r="S254" s="21" t="s">
        <v>17</v>
      </c>
      <c r="T254" s="21" t="s">
        <v>17</v>
      </c>
      <c r="U254" s="21" t="s">
        <v>17</v>
      </c>
      <c r="V254" s="21" t="s">
        <v>17</v>
      </c>
      <c r="W254" s="21" t="s">
        <v>17</v>
      </c>
      <c r="X254" s="21" t="s">
        <v>17</v>
      </c>
      <c r="Y254" s="21" t="s">
        <v>17</v>
      </c>
      <c r="Z254" s="21" t="s">
        <v>1496</v>
      </c>
      <c r="AA254" s="21" t="s">
        <v>473</v>
      </c>
      <c r="AB254" s="21" t="s">
        <v>740</v>
      </c>
      <c r="AC254" s="21" t="s">
        <v>1497</v>
      </c>
      <c r="AD254" s="21" t="s">
        <v>1498</v>
      </c>
    </row>
    <row r="255" spans="1:30">
      <c r="A255" s="21">
        <v>211024</v>
      </c>
      <c r="B255" s="21" t="s">
        <v>726</v>
      </c>
      <c r="C255" s="21" t="s">
        <v>27</v>
      </c>
      <c r="D255" s="21" t="s">
        <v>727</v>
      </c>
      <c r="E255" s="21" t="s">
        <v>727</v>
      </c>
      <c r="F255" s="21" t="s">
        <v>727</v>
      </c>
      <c r="G255" s="21" t="s">
        <v>747</v>
      </c>
      <c r="H255" s="21" t="s">
        <v>17</v>
      </c>
      <c r="I255" s="21" t="s">
        <v>17</v>
      </c>
      <c r="J255" s="21" t="s">
        <v>17</v>
      </c>
      <c r="K255" s="21">
        <v>35</v>
      </c>
      <c r="L255" s="21" t="s">
        <v>730</v>
      </c>
      <c r="M255" s="21" t="s">
        <v>758</v>
      </c>
      <c r="N255" s="21" t="s">
        <v>748</v>
      </c>
      <c r="O255" s="21" t="s">
        <v>754</v>
      </c>
      <c r="P255" s="21" t="s">
        <v>17</v>
      </c>
      <c r="Q255" s="21" t="s">
        <v>17</v>
      </c>
      <c r="R255" s="21" t="s">
        <v>17</v>
      </c>
      <c r="S255" s="21" t="s">
        <v>17</v>
      </c>
      <c r="T255" s="21" t="s">
        <v>17</v>
      </c>
      <c r="U255" s="21" t="s">
        <v>17</v>
      </c>
      <c r="V255" s="21" t="s">
        <v>17</v>
      </c>
      <c r="W255" s="21" t="s">
        <v>17</v>
      </c>
      <c r="X255" s="21" t="s">
        <v>17</v>
      </c>
      <c r="Y255" s="21" t="s">
        <v>17</v>
      </c>
      <c r="Z255" s="21" t="s">
        <v>1496</v>
      </c>
      <c r="AA255" s="21" t="s">
        <v>475</v>
      </c>
      <c r="AB255" s="21" t="s">
        <v>774</v>
      </c>
      <c r="AC255" s="21" t="s">
        <v>1499</v>
      </c>
      <c r="AD255" s="21" t="s">
        <v>1500</v>
      </c>
    </row>
    <row r="256" spans="1:30">
      <c r="A256" s="21">
        <v>211023</v>
      </c>
      <c r="B256" s="21" t="s">
        <v>726</v>
      </c>
      <c r="C256" s="21" t="s">
        <v>27</v>
      </c>
      <c r="D256" s="21" t="s">
        <v>727</v>
      </c>
      <c r="E256" s="21" t="s">
        <v>727</v>
      </c>
      <c r="F256" s="21" t="s">
        <v>727</v>
      </c>
      <c r="G256" s="21" t="s">
        <v>747</v>
      </c>
      <c r="H256" s="21" t="s">
        <v>17</v>
      </c>
      <c r="I256" s="21" t="s">
        <v>17</v>
      </c>
      <c r="J256" s="21" t="s">
        <v>17</v>
      </c>
      <c r="K256" s="21">
        <v>35</v>
      </c>
      <c r="L256" s="21" t="s">
        <v>730</v>
      </c>
      <c r="M256" s="21" t="s">
        <v>758</v>
      </c>
      <c r="N256" s="21" t="s">
        <v>748</v>
      </c>
      <c r="O256" s="21" t="s">
        <v>754</v>
      </c>
      <c r="P256" s="21" t="s">
        <v>17</v>
      </c>
      <c r="Q256" s="21" t="s">
        <v>17</v>
      </c>
      <c r="R256" s="21" t="s">
        <v>17</v>
      </c>
      <c r="S256" s="21" t="s">
        <v>17</v>
      </c>
      <c r="T256" s="21" t="s">
        <v>17</v>
      </c>
      <c r="U256" s="21" t="s">
        <v>17</v>
      </c>
      <c r="V256" s="21" t="s">
        <v>17</v>
      </c>
      <c r="W256" s="21" t="s">
        <v>17</v>
      </c>
      <c r="X256" s="21" t="s">
        <v>17</v>
      </c>
      <c r="Y256" s="21" t="s">
        <v>17</v>
      </c>
      <c r="Z256" s="21" t="s">
        <v>1496</v>
      </c>
      <c r="AA256" s="21" t="s">
        <v>476</v>
      </c>
      <c r="AB256" s="21" t="s">
        <v>740</v>
      </c>
      <c r="AC256" s="21" t="s">
        <v>1501</v>
      </c>
      <c r="AD256" s="21" t="s">
        <v>1502</v>
      </c>
    </row>
    <row r="257" spans="1:30">
      <c r="A257" s="21">
        <v>211022</v>
      </c>
      <c r="B257" s="21" t="s">
        <v>726</v>
      </c>
      <c r="C257" s="21" t="s">
        <v>27</v>
      </c>
      <c r="D257" s="21" t="s">
        <v>727</v>
      </c>
      <c r="E257" s="21" t="s">
        <v>727</v>
      </c>
      <c r="F257" s="21" t="s">
        <v>727</v>
      </c>
      <c r="G257" s="21" t="s">
        <v>747</v>
      </c>
      <c r="H257" s="21" t="s">
        <v>17</v>
      </c>
      <c r="I257" s="21" t="s">
        <v>17</v>
      </c>
      <c r="J257" s="21" t="s">
        <v>17</v>
      </c>
      <c r="K257" s="21">
        <v>35</v>
      </c>
      <c r="L257" s="21" t="s">
        <v>730</v>
      </c>
      <c r="M257" s="21" t="s">
        <v>758</v>
      </c>
      <c r="N257" s="21" t="s">
        <v>748</v>
      </c>
      <c r="O257" s="21" t="s">
        <v>754</v>
      </c>
      <c r="P257" s="21" t="s">
        <v>17</v>
      </c>
      <c r="Q257" s="21" t="s">
        <v>17</v>
      </c>
      <c r="R257" s="21" t="s">
        <v>17</v>
      </c>
      <c r="S257" s="21" t="s">
        <v>17</v>
      </c>
      <c r="T257" s="21" t="s">
        <v>17</v>
      </c>
      <c r="U257" s="21" t="s">
        <v>17</v>
      </c>
      <c r="V257" s="21" t="s">
        <v>17</v>
      </c>
      <c r="W257" s="21" t="s">
        <v>17</v>
      </c>
      <c r="X257" s="21" t="s">
        <v>17</v>
      </c>
      <c r="Y257" s="21" t="s">
        <v>17</v>
      </c>
      <c r="Z257" s="21" t="s">
        <v>1503</v>
      </c>
      <c r="AA257" s="21" t="s">
        <v>477</v>
      </c>
      <c r="AB257" s="21" t="s">
        <v>1504</v>
      </c>
      <c r="AC257" s="21" t="s">
        <v>1505</v>
      </c>
      <c r="AD257" s="21" t="s">
        <v>1506</v>
      </c>
    </row>
    <row r="258" spans="1:30">
      <c r="A258" s="21">
        <v>211021</v>
      </c>
      <c r="B258" s="21" t="s">
        <v>726</v>
      </c>
      <c r="C258" s="21" t="s">
        <v>27</v>
      </c>
      <c r="D258" s="21" t="s">
        <v>727</v>
      </c>
      <c r="E258" s="21" t="s">
        <v>727</v>
      </c>
      <c r="F258" s="21" t="s">
        <v>727</v>
      </c>
      <c r="G258" s="21" t="s">
        <v>747</v>
      </c>
      <c r="H258" s="21" t="s">
        <v>17</v>
      </c>
      <c r="I258" s="21" t="s">
        <v>17</v>
      </c>
      <c r="J258" s="21" t="s">
        <v>17</v>
      </c>
      <c r="K258" s="21">
        <v>35</v>
      </c>
      <c r="L258" s="21" t="s">
        <v>730</v>
      </c>
      <c r="M258" s="21" t="s">
        <v>758</v>
      </c>
      <c r="N258" s="21" t="s">
        <v>748</v>
      </c>
      <c r="O258" s="21" t="s">
        <v>754</v>
      </c>
      <c r="P258" s="21" t="s">
        <v>17</v>
      </c>
      <c r="Q258" s="21" t="s">
        <v>17</v>
      </c>
      <c r="R258" s="21" t="s">
        <v>17</v>
      </c>
      <c r="S258" s="21" t="s">
        <v>17</v>
      </c>
      <c r="T258" s="21" t="s">
        <v>17</v>
      </c>
      <c r="U258" s="21" t="s">
        <v>17</v>
      </c>
      <c r="V258" s="21" t="s">
        <v>17</v>
      </c>
      <c r="W258" s="21" t="s">
        <v>17</v>
      </c>
      <c r="X258" s="21" t="s">
        <v>17</v>
      </c>
      <c r="Y258" s="21" t="s">
        <v>17</v>
      </c>
      <c r="Z258" s="21" t="s">
        <v>1503</v>
      </c>
      <c r="AA258" s="21" t="s">
        <v>479</v>
      </c>
      <c r="AB258" s="21" t="s">
        <v>740</v>
      </c>
      <c r="AC258" s="21" t="s">
        <v>1507</v>
      </c>
      <c r="AD258" s="21" t="s">
        <v>1508</v>
      </c>
    </row>
    <row r="259" spans="1:30">
      <c r="A259" s="21">
        <v>211020</v>
      </c>
      <c r="B259" s="21" t="s">
        <v>726</v>
      </c>
      <c r="C259" s="21" t="s">
        <v>27</v>
      </c>
      <c r="D259" s="21" t="s">
        <v>727</v>
      </c>
      <c r="E259" s="21" t="s">
        <v>727</v>
      </c>
      <c r="F259" s="21" t="s">
        <v>727</v>
      </c>
      <c r="G259" s="21" t="s">
        <v>747</v>
      </c>
      <c r="H259" s="21" t="s">
        <v>17</v>
      </c>
      <c r="I259" s="21" t="s">
        <v>17</v>
      </c>
      <c r="J259" s="21" t="s">
        <v>17</v>
      </c>
      <c r="K259" s="21">
        <v>35</v>
      </c>
      <c r="L259" s="21" t="s">
        <v>730</v>
      </c>
      <c r="M259" s="21" t="s">
        <v>758</v>
      </c>
      <c r="N259" s="21" t="s">
        <v>748</v>
      </c>
      <c r="O259" s="21" t="s">
        <v>754</v>
      </c>
      <c r="P259" s="21" t="s">
        <v>17</v>
      </c>
      <c r="Q259" s="21" t="s">
        <v>17</v>
      </c>
      <c r="R259" s="21" t="s">
        <v>17</v>
      </c>
      <c r="S259" s="21" t="s">
        <v>17</v>
      </c>
      <c r="T259" s="21" t="s">
        <v>17</v>
      </c>
      <c r="U259" s="21" t="s">
        <v>17</v>
      </c>
      <c r="V259" s="21" t="s">
        <v>17</v>
      </c>
      <c r="W259" s="21" t="s">
        <v>17</v>
      </c>
      <c r="X259" s="21" t="s">
        <v>17</v>
      </c>
      <c r="Y259" s="21" t="s">
        <v>17</v>
      </c>
      <c r="Z259" s="21" t="s">
        <v>1503</v>
      </c>
      <c r="AA259" s="21" t="s">
        <v>480</v>
      </c>
      <c r="AB259" s="21" t="s">
        <v>1193</v>
      </c>
      <c r="AC259" s="21" t="s">
        <v>1509</v>
      </c>
      <c r="AD259" s="21" t="s">
        <v>1510</v>
      </c>
    </row>
    <row r="260" spans="1:30">
      <c r="A260" s="21">
        <v>211019</v>
      </c>
      <c r="B260" s="21" t="s">
        <v>726</v>
      </c>
      <c r="C260" s="21" t="s">
        <v>27</v>
      </c>
      <c r="D260" s="21" t="s">
        <v>727</v>
      </c>
      <c r="E260" s="21" t="s">
        <v>727</v>
      </c>
      <c r="F260" s="21" t="s">
        <v>727</v>
      </c>
      <c r="G260" s="21" t="s">
        <v>747</v>
      </c>
      <c r="H260" s="21" t="s">
        <v>17</v>
      </c>
      <c r="I260" s="21" t="s">
        <v>17</v>
      </c>
      <c r="J260" s="21" t="s">
        <v>17</v>
      </c>
      <c r="K260" s="21">
        <v>35</v>
      </c>
      <c r="L260" s="21" t="s">
        <v>730</v>
      </c>
      <c r="M260" s="21" t="s">
        <v>758</v>
      </c>
      <c r="N260" s="21" t="s">
        <v>748</v>
      </c>
      <c r="O260" s="21" t="s">
        <v>754</v>
      </c>
      <c r="P260" s="21" t="s">
        <v>17</v>
      </c>
      <c r="Q260" s="21" t="s">
        <v>17</v>
      </c>
      <c r="R260" s="21" t="s">
        <v>17</v>
      </c>
      <c r="S260" s="21" t="s">
        <v>17</v>
      </c>
      <c r="T260" s="21" t="s">
        <v>17</v>
      </c>
      <c r="U260" s="21" t="s">
        <v>17</v>
      </c>
      <c r="V260" s="21" t="s">
        <v>17</v>
      </c>
      <c r="W260" s="21" t="s">
        <v>17</v>
      </c>
      <c r="X260" s="21" t="s">
        <v>17</v>
      </c>
      <c r="Y260" s="21" t="s">
        <v>17</v>
      </c>
      <c r="Z260" s="21" t="s">
        <v>1503</v>
      </c>
      <c r="AA260" s="21" t="s">
        <v>481</v>
      </c>
      <c r="AB260" s="21" t="s">
        <v>1193</v>
      </c>
      <c r="AC260" s="21" t="s">
        <v>1509</v>
      </c>
      <c r="AD260" s="21" t="s">
        <v>1510</v>
      </c>
    </row>
    <row r="261" spans="1:30">
      <c r="A261" s="21">
        <v>211014</v>
      </c>
      <c r="B261" s="21" t="s">
        <v>726</v>
      </c>
      <c r="C261" s="21" t="s">
        <v>27</v>
      </c>
      <c r="D261" s="21" t="s">
        <v>727</v>
      </c>
      <c r="E261" s="21" t="s">
        <v>747</v>
      </c>
      <c r="F261" s="21" t="s">
        <v>727</v>
      </c>
      <c r="G261" s="21" t="s">
        <v>747</v>
      </c>
      <c r="H261" s="21" t="s">
        <v>17</v>
      </c>
      <c r="I261" s="21" t="s">
        <v>17</v>
      </c>
      <c r="J261" s="21" t="s">
        <v>17</v>
      </c>
      <c r="K261" s="21">
        <v>30</v>
      </c>
      <c r="L261" s="21" t="s">
        <v>730</v>
      </c>
      <c r="M261" s="21" t="s">
        <v>730</v>
      </c>
      <c r="N261" s="21" t="s">
        <v>748</v>
      </c>
      <c r="O261" s="21" t="s">
        <v>754</v>
      </c>
      <c r="P261" s="21" t="s">
        <v>17</v>
      </c>
      <c r="Q261" s="21" t="s">
        <v>17</v>
      </c>
      <c r="R261" s="21" t="s">
        <v>17</v>
      </c>
      <c r="S261" s="21" t="s">
        <v>17</v>
      </c>
      <c r="T261" s="21" t="s">
        <v>17</v>
      </c>
      <c r="U261" s="21" t="s">
        <v>17</v>
      </c>
      <c r="V261" s="21" t="s">
        <v>17</v>
      </c>
      <c r="W261" s="21" t="s">
        <v>17</v>
      </c>
      <c r="X261" s="21" t="s">
        <v>17</v>
      </c>
      <c r="Y261" s="21" t="s">
        <v>17</v>
      </c>
      <c r="Z261" s="21" t="s">
        <v>1511</v>
      </c>
      <c r="AA261" s="21" t="s">
        <v>482</v>
      </c>
      <c r="AB261" s="21" t="s">
        <v>796</v>
      </c>
      <c r="AC261" s="21" t="s">
        <v>1512</v>
      </c>
      <c r="AD261" s="21" t="s">
        <v>1513</v>
      </c>
    </row>
    <row r="262" spans="1:30">
      <c r="A262" s="21">
        <v>211010</v>
      </c>
      <c r="B262" s="21" t="s">
        <v>726</v>
      </c>
      <c r="C262" s="21" t="s">
        <v>27</v>
      </c>
      <c r="D262" s="21" t="s">
        <v>727</v>
      </c>
      <c r="E262" s="21" t="s">
        <v>747</v>
      </c>
      <c r="F262" s="21" t="s">
        <v>727</v>
      </c>
      <c r="G262" s="21" t="s">
        <v>747</v>
      </c>
      <c r="H262" s="21" t="s">
        <v>17</v>
      </c>
      <c r="I262" s="21" t="s">
        <v>17</v>
      </c>
      <c r="J262" s="21" t="s">
        <v>17</v>
      </c>
      <c r="K262" s="21">
        <v>30</v>
      </c>
      <c r="L262" s="21" t="s">
        <v>730</v>
      </c>
      <c r="M262" s="21" t="s">
        <v>730</v>
      </c>
      <c r="N262" s="21" t="s">
        <v>748</v>
      </c>
      <c r="O262" s="21" t="s">
        <v>754</v>
      </c>
      <c r="P262" s="21" t="s">
        <v>17</v>
      </c>
      <c r="Q262" s="21" t="s">
        <v>17</v>
      </c>
      <c r="R262" s="21" t="s">
        <v>17</v>
      </c>
      <c r="S262" s="21" t="s">
        <v>17</v>
      </c>
      <c r="T262" s="21" t="s">
        <v>17</v>
      </c>
      <c r="U262" s="21" t="s">
        <v>17</v>
      </c>
      <c r="V262" s="21" t="s">
        <v>17</v>
      </c>
      <c r="W262" s="21" t="s">
        <v>17</v>
      </c>
      <c r="X262" s="21" t="s">
        <v>17</v>
      </c>
      <c r="Y262" s="21" t="s">
        <v>17</v>
      </c>
      <c r="Z262" s="21" t="s">
        <v>1514</v>
      </c>
      <c r="AA262" s="21" t="s">
        <v>484</v>
      </c>
      <c r="AB262" s="21" t="s">
        <v>1515</v>
      </c>
      <c r="AC262" s="21" t="s">
        <v>1516</v>
      </c>
      <c r="AD262" s="21" t="s">
        <v>1517</v>
      </c>
    </row>
    <row r="263" spans="1:30">
      <c r="A263" s="21">
        <v>211008</v>
      </c>
      <c r="B263" s="21" t="s">
        <v>726</v>
      </c>
      <c r="C263" s="21" t="s">
        <v>27</v>
      </c>
      <c r="D263" s="21" t="s">
        <v>727</v>
      </c>
      <c r="E263" s="21" t="s">
        <v>747</v>
      </c>
      <c r="F263" s="21" t="s">
        <v>727</v>
      </c>
      <c r="G263" s="21" t="s">
        <v>747</v>
      </c>
      <c r="H263" s="21" t="s">
        <v>17</v>
      </c>
      <c r="I263" s="21" t="s">
        <v>17</v>
      </c>
      <c r="J263" s="21" t="s">
        <v>17</v>
      </c>
      <c r="K263" s="21">
        <v>30</v>
      </c>
      <c r="L263" s="21" t="s">
        <v>730</v>
      </c>
      <c r="M263" s="21" t="s">
        <v>730</v>
      </c>
      <c r="N263" s="21" t="s">
        <v>748</v>
      </c>
      <c r="O263" s="21" t="s">
        <v>754</v>
      </c>
      <c r="P263" s="21" t="s">
        <v>17</v>
      </c>
      <c r="Q263" s="21" t="s">
        <v>17</v>
      </c>
      <c r="R263" s="21" t="s">
        <v>17</v>
      </c>
      <c r="S263" s="21" t="s">
        <v>17</v>
      </c>
      <c r="T263" s="21" t="s">
        <v>17</v>
      </c>
      <c r="U263" s="21" t="s">
        <v>17</v>
      </c>
      <c r="V263" s="21" t="s">
        <v>17</v>
      </c>
      <c r="W263" s="21" t="s">
        <v>17</v>
      </c>
      <c r="X263" s="21" t="s">
        <v>17</v>
      </c>
      <c r="Y263" s="21" t="s">
        <v>17</v>
      </c>
      <c r="Z263" s="21" t="s">
        <v>1518</v>
      </c>
      <c r="AA263" s="21" t="s">
        <v>486</v>
      </c>
      <c r="AB263" s="21" t="s">
        <v>740</v>
      </c>
      <c r="AC263" s="21" t="s">
        <v>1519</v>
      </c>
      <c r="AD263" s="21" t="s">
        <v>1520</v>
      </c>
    </row>
    <row r="264" spans="1:30">
      <c r="A264" s="21">
        <v>211007</v>
      </c>
      <c r="B264" s="21" t="s">
        <v>726</v>
      </c>
      <c r="C264" s="21" t="s">
        <v>27</v>
      </c>
      <c r="D264" s="21" t="s">
        <v>727</v>
      </c>
      <c r="E264" s="21" t="s">
        <v>727</v>
      </c>
      <c r="F264" s="21" t="s">
        <v>727</v>
      </c>
      <c r="G264" s="21" t="s">
        <v>955</v>
      </c>
      <c r="H264" s="21" t="s">
        <v>17</v>
      </c>
      <c r="I264" s="21" t="s">
        <v>17</v>
      </c>
      <c r="J264" s="21" t="s">
        <v>17</v>
      </c>
      <c r="K264" s="21">
        <v>33</v>
      </c>
      <c r="L264" s="21" t="s">
        <v>730</v>
      </c>
      <c r="M264" s="21" t="s">
        <v>758</v>
      </c>
      <c r="N264" s="21" t="s">
        <v>748</v>
      </c>
      <c r="O264" s="21" t="s">
        <v>957</v>
      </c>
      <c r="P264" s="21" t="s">
        <v>17</v>
      </c>
      <c r="Q264" s="21" t="s">
        <v>17</v>
      </c>
      <c r="R264" s="21" t="s">
        <v>17</v>
      </c>
      <c r="S264" s="21" t="s">
        <v>17</v>
      </c>
      <c r="T264" s="21" t="s">
        <v>17</v>
      </c>
      <c r="U264" s="21" t="s">
        <v>17</v>
      </c>
      <c r="V264" s="21" t="s">
        <v>17</v>
      </c>
      <c r="W264" s="21" t="s">
        <v>17</v>
      </c>
      <c r="X264" s="21" t="s">
        <v>17</v>
      </c>
      <c r="Y264" s="21" t="s">
        <v>17</v>
      </c>
      <c r="Z264" s="21" t="s">
        <v>1521</v>
      </c>
      <c r="AA264" s="21" t="s">
        <v>488</v>
      </c>
      <c r="AB264" s="21" t="s">
        <v>774</v>
      </c>
      <c r="AC264" s="21" t="s">
        <v>1522</v>
      </c>
      <c r="AD264" s="21" t="s">
        <v>1523</v>
      </c>
    </row>
    <row r="265" spans="1:30">
      <c r="A265" s="21">
        <v>211005</v>
      </c>
      <c r="B265" s="21" t="s">
        <v>726</v>
      </c>
      <c r="C265" s="21" t="s">
        <v>27</v>
      </c>
      <c r="D265" s="21" t="s">
        <v>727</v>
      </c>
      <c r="E265" s="21" t="s">
        <v>727</v>
      </c>
      <c r="F265" s="21" t="s">
        <v>727</v>
      </c>
      <c r="G265" s="21" t="s">
        <v>747</v>
      </c>
      <c r="H265" s="21" t="s">
        <v>17</v>
      </c>
      <c r="I265" s="21" t="s">
        <v>17</v>
      </c>
      <c r="J265" s="21" t="s">
        <v>17</v>
      </c>
      <c r="K265" s="21">
        <v>35</v>
      </c>
      <c r="L265" s="21" t="s">
        <v>730</v>
      </c>
      <c r="M265" s="21" t="s">
        <v>758</v>
      </c>
      <c r="N265" s="21" t="s">
        <v>748</v>
      </c>
      <c r="O265" s="21" t="s">
        <v>754</v>
      </c>
      <c r="P265" s="21" t="s">
        <v>17</v>
      </c>
      <c r="Q265" s="21" t="s">
        <v>17</v>
      </c>
      <c r="R265" s="21" t="s">
        <v>17</v>
      </c>
      <c r="S265" s="21" t="s">
        <v>17</v>
      </c>
      <c r="T265" s="21" t="s">
        <v>17</v>
      </c>
      <c r="U265" s="21" t="s">
        <v>17</v>
      </c>
      <c r="V265" s="21" t="s">
        <v>17</v>
      </c>
      <c r="W265" s="21" t="s">
        <v>17</v>
      </c>
      <c r="X265" s="21" t="s">
        <v>17</v>
      </c>
      <c r="Y265" s="21" t="s">
        <v>17</v>
      </c>
      <c r="Z265" s="21" t="s">
        <v>1524</v>
      </c>
      <c r="AA265" s="21" t="s">
        <v>490</v>
      </c>
      <c r="AB265" s="21" t="s">
        <v>908</v>
      </c>
      <c r="AC265" s="21" t="s">
        <v>1525</v>
      </c>
      <c r="AD265" s="21" t="s">
        <v>1526</v>
      </c>
    </row>
    <row r="266" spans="1:30">
      <c r="A266" s="21">
        <v>210994</v>
      </c>
      <c r="B266" s="21" t="s">
        <v>726</v>
      </c>
      <c r="C266" s="21" t="s">
        <v>27</v>
      </c>
      <c r="D266" s="21" t="s">
        <v>727</v>
      </c>
      <c r="E266" s="21" t="s">
        <v>727</v>
      </c>
      <c r="F266" s="21" t="s">
        <v>727</v>
      </c>
      <c r="G266" s="21" t="s">
        <v>747</v>
      </c>
      <c r="H266" s="21" t="s">
        <v>17</v>
      </c>
      <c r="I266" s="21" t="s">
        <v>17</v>
      </c>
      <c r="J266" s="21" t="s">
        <v>17</v>
      </c>
      <c r="K266" s="21">
        <v>35</v>
      </c>
      <c r="L266" s="21" t="s">
        <v>730</v>
      </c>
      <c r="M266" s="21" t="s">
        <v>758</v>
      </c>
      <c r="N266" s="21" t="s">
        <v>748</v>
      </c>
      <c r="O266" s="21" t="s">
        <v>754</v>
      </c>
      <c r="P266" s="21" t="s">
        <v>17</v>
      </c>
      <c r="Q266" s="21" t="s">
        <v>17</v>
      </c>
      <c r="R266" s="21" t="s">
        <v>17</v>
      </c>
      <c r="S266" s="21" t="s">
        <v>17</v>
      </c>
      <c r="T266" s="21" t="s">
        <v>17</v>
      </c>
      <c r="U266" s="21" t="s">
        <v>17</v>
      </c>
      <c r="V266" s="21" t="s">
        <v>17</v>
      </c>
      <c r="W266" s="21" t="s">
        <v>17</v>
      </c>
      <c r="X266" s="21" t="s">
        <v>17</v>
      </c>
      <c r="Y266" s="21" t="s">
        <v>17</v>
      </c>
      <c r="Z266" s="21" t="s">
        <v>1527</v>
      </c>
      <c r="AA266" s="21" t="s">
        <v>492</v>
      </c>
      <c r="AB266" s="21" t="s">
        <v>740</v>
      </c>
      <c r="AC266" s="21" t="s">
        <v>1528</v>
      </c>
      <c r="AD266" s="21" t="s">
        <v>1529</v>
      </c>
    </row>
    <row r="267" spans="1:30">
      <c r="A267" s="21">
        <v>210989</v>
      </c>
      <c r="B267" s="21" t="s">
        <v>726</v>
      </c>
      <c r="C267" s="21" t="s">
        <v>27</v>
      </c>
      <c r="D267" s="21" t="s">
        <v>727</v>
      </c>
      <c r="E267" s="21" t="s">
        <v>727</v>
      </c>
      <c r="F267" s="21" t="s">
        <v>727</v>
      </c>
      <c r="G267" s="21" t="s">
        <v>747</v>
      </c>
      <c r="H267" s="21" t="s">
        <v>17</v>
      </c>
      <c r="I267" s="21" t="s">
        <v>17</v>
      </c>
      <c r="J267" s="21" t="s">
        <v>17</v>
      </c>
      <c r="K267" s="21">
        <v>35</v>
      </c>
      <c r="L267" s="21" t="s">
        <v>730</v>
      </c>
      <c r="M267" s="21" t="s">
        <v>758</v>
      </c>
      <c r="N267" s="21" t="s">
        <v>748</v>
      </c>
      <c r="O267" s="21" t="s">
        <v>754</v>
      </c>
      <c r="P267" s="21" t="s">
        <v>17</v>
      </c>
      <c r="Q267" s="21" t="s">
        <v>17</v>
      </c>
      <c r="R267" s="21" t="s">
        <v>17</v>
      </c>
      <c r="S267" s="21" t="s">
        <v>17</v>
      </c>
      <c r="T267" s="21" t="s">
        <v>17</v>
      </c>
      <c r="U267" s="21" t="s">
        <v>17</v>
      </c>
      <c r="V267" s="21" t="s">
        <v>17</v>
      </c>
      <c r="W267" s="21" t="s">
        <v>17</v>
      </c>
      <c r="X267" s="21" t="s">
        <v>17</v>
      </c>
      <c r="Y267" s="21" t="s">
        <v>17</v>
      </c>
      <c r="Z267" s="21" t="s">
        <v>1530</v>
      </c>
      <c r="AA267" s="21" t="s">
        <v>494</v>
      </c>
      <c r="AB267" s="21" t="s">
        <v>786</v>
      </c>
      <c r="AC267" s="21" t="s">
        <v>1531</v>
      </c>
      <c r="AD267" s="21" t="s">
        <v>1532</v>
      </c>
    </row>
    <row r="268" spans="1:30">
      <c r="A268" s="21">
        <v>210983</v>
      </c>
      <c r="B268" s="21" t="s">
        <v>726</v>
      </c>
      <c r="C268" s="21" t="s">
        <v>27</v>
      </c>
      <c r="D268" s="21" t="s">
        <v>752</v>
      </c>
      <c r="E268" s="21" t="s">
        <v>955</v>
      </c>
      <c r="F268" s="21" t="s">
        <v>727</v>
      </c>
      <c r="G268" s="21" t="s">
        <v>747</v>
      </c>
      <c r="H268" s="21" t="s">
        <v>17</v>
      </c>
      <c r="I268" s="21" t="s">
        <v>17</v>
      </c>
      <c r="J268" s="21" t="s">
        <v>17</v>
      </c>
      <c r="K268" s="21">
        <v>8</v>
      </c>
      <c r="L268" s="21" t="s">
        <v>753</v>
      </c>
      <c r="M268" s="21" t="s">
        <v>1040</v>
      </c>
      <c r="N268" s="21" t="s">
        <v>748</v>
      </c>
      <c r="O268" s="21" t="s">
        <v>754</v>
      </c>
      <c r="P268" s="21" t="s">
        <v>17</v>
      </c>
      <c r="Q268" s="21" t="s">
        <v>17</v>
      </c>
      <c r="R268" s="21" t="s">
        <v>17</v>
      </c>
      <c r="S268" s="21" t="s">
        <v>17</v>
      </c>
      <c r="T268" s="21" t="s">
        <v>17</v>
      </c>
      <c r="U268" s="21" t="s">
        <v>17</v>
      </c>
      <c r="V268" s="21" t="s">
        <v>17</v>
      </c>
      <c r="W268" s="21" t="s">
        <v>17</v>
      </c>
      <c r="X268" s="21" t="s">
        <v>17</v>
      </c>
      <c r="Y268" s="21" t="s">
        <v>17</v>
      </c>
      <c r="Z268" s="21" t="s">
        <v>1533</v>
      </c>
      <c r="AA268" s="21" t="s">
        <v>496</v>
      </c>
      <c r="AB268" s="21" t="s">
        <v>774</v>
      </c>
      <c r="AC268" s="21" t="s">
        <v>1534</v>
      </c>
      <c r="AD268" s="21" t="s">
        <v>1535</v>
      </c>
    </row>
    <row r="269" spans="1:30">
      <c r="A269" s="21">
        <v>210965</v>
      </c>
      <c r="B269" s="21" t="s">
        <v>726</v>
      </c>
      <c r="C269" s="21" t="s">
        <v>27</v>
      </c>
      <c r="D269" s="21" t="s">
        <v>727</v>
      </c>
      <c r="E269" s="21" t="s">
        <v>727</v>
      </c>
      <c r="F269" s="21" t="s">
        <v>727</v>
      </c>
      <c r="G269" s="21" t="s">
        <v>747</v>
      </c>
      <c r="H269" s="21" t="s">
        <v>17</v>
      </c>
      <c r="I269" s="21" t="s">
        <v>17</v>
      </c>
      <c r="J269" s="21" t="s">
        <v>17</v>
      </c>
      <c r="K269" s="21">
        <v>35</v>
      </c>
      <c r="L269" s="21" t="s">
        <v>730</v>
      </c>
      <c r="M269" s="21" t="s">
        <v>758</v>
      </c>
      <c r="N269" s="21" t="s">
        <v>748</v>
      </c>
      <c r="O269" s="21" t="s">
        <v>754</v>
      </c>
      <c r="P269" s="21" t="s">
        <v>17</v>
      </c>
      <c r="Q269" s="21" t="s">
        <v>17</v>
      </c>
      <c r="R269" s="21" t="s">
        <v>17</v>
      </c>
      <c r="S269" s="21" t="s">
        <v>17</v>
      </c>
      <c r="T269" s="21" t="s">
        <v>17</v>
      </c>
      <c r="U269" s="21" t="s">
        <v>17</v>
      </c>
      <c r="V269" s="21" t="s">
        <v>17</v>
      </c>
      <c r="W269" s="21" t="s">
        <v>17</v>
      </c>
      <c r="X269" s="21" t="s">
        <v>17</v>
      </c>
      <c r="Y269" s="21" t="s">
        <v>17</v>
      </c>
      <c r="Z269" s="21" t="s">
        <v>1536</v>
      </c>
      <c r="AA269" s="21" t="s">
        <v>498</v>
      </c>
      <c r="AB269" s="21" t="s">
        <v>796</v>
      </c>
      <c r="AC269" s="21" t="s">
        <v>1537</v>
      </c>
      <c r="AD269" s="21" t="s">
        <v>1538</v>
      </c>
    </row>
    <row r="270" spans="1:30">
      <c r="A270" s="21">
        <v>210964</v>
      </c>
      <c r="B270" s="21" t="s">
        <v>726</v>
      </c>
      <c r="C270" s="21" t="s">
        <v>27</v>
      </c>
      <c r="D270" s="21" t="s">
        <v>727</v>
      </c>
      <c r="E270" s="21" t="s">
        <v>727</v>
      </c>
      <c r="F270" s="21" t="s">
        <v>727</v>
      </c>
      <c r="G270" s="21" t="s">
        <v>747</v>
      </c>
      <c r="H270" s="21" t="s">
        <v>17</v>
      </c>
      <c r="I270" s="21" t="s">
        <v>17</v>
      </c>
      <c r="J270" s="21" t="s">
        <v>17</v>
      </c>
      <c r="K270" s="21">
        <v>35</v>
      </c>
      <c r="L270" s="21" t="s">
        <v>730</v>
      </c>
      <c r="M270" s="21" t="s">
        <v>758</v>
      </c>
      <c r="N270" s="21" t="s">
        <v>748</v>
      </c>
      <c r="O270" s="21" t="s">
        <v>754</v>
      </c>
      <c r="P270" s="21" t="s">
        <v>17</v>
      </c>
      <c r="Q270" s="21" t="s">
        <v>17</v>
      </c>
      <c r="R270" s="21" t="s">
        <v>17</v>
      </c>
      <c r="S270" s="21" t="s">
        <v>17</v>
      </c>
      <c r="T270" s="21" t="s">
        <v>17</v>
      </c>
      <c r="U270" s="21" t="s">
        <v>17</v>
      </c>
      <c r="V270" s="21" t="s">
        <v>17</v>
      </c>
      <c r="W270" s="21" t="s">
        <v>17</v>
      </c>
      <c r="X270" s="21" t="s">
        <v>17</v>
      </c>
      <c r="Y270" s="21" t="s">
        <v>17</v>
      </c>
      <c r="Z270" s="21" t="s">
        <v>1539</v>
      </c>
      <c r="AA270" s="21" t="s">
        <v>500</v>
      </c>
      <c r="AB270" s="21" t="s">
        <v>1540</v>
      </c>
      <c r="AC270" s="21" t="s">
        <v>1541</v>
      </c>
      <c r="AD270" s="21" t="s">
        <v>1542</v>
      </c>
    </row>
    <row r="271" spans="1:30">
      <c r="A271" s="21">
        <v>210963</v>
      </c>
      <c r="B271" s="21" t="s">
        <v>726</v>
      </c>
      <c r="C271" s="21" t="s">
        <v>27</v>
      </c>
      <c r="D271" s="21" t="s">
        <v>727</v>
      </c>
      <c r="E271" s="21" t="s">
        <v>727</v>
      </c>
      <c r="F271" s="21" t="s">
        <v>727</v>
      </c>
      <c r="G271" s="21" t="s">
        <v>747</v>
      </c>
      <c r="H271" s="21" t="s">
        <v>17</v>
      </c>
      <c r="I271" s="21" t="s">
        <v>17</v>
      </c>
      <c r="J271" s="21" t="s">
        <v>17</v>
      </c>
      <c r="K271" s="21">
        <v>35</v>
      </c>
      <c r="L271" s="21" t="s">
        <v>730</v>
      </c>
      <c r="M271" s="21" t="s">
        <v>758</v>
      </c>
      <c r="N271" s="21" t="s">
        <v>748</v>
      </c>
      <c r="O271" s="21" t="s">
        <v>754</v>
      </c>
      <c r="P271" s="21" t="s">
        <v>17</v>
      </c>
      <c r="Q271" s="21" t="s">
        <v>17</v>
      </c>
      <c r="R271" s="21" t="s">
        <v>17</v>
      </c>
      <c r="S271" s="21" t="s">
        <v>17</v>
      </c>
      <c r="T271" s="21" t="s">
        <v>17</v>
      </c>
      <c r="U271" s="21" t="s">
        <v>17</v>
      </c>
      <c r="V271" s="21" t="s">
        <v>17</v>
      </c>
      <c r="W271" s="21" t="s">
        <v>17</v>
      </c>
      <c r="X271" s="21" t="s">
        <v>17</v>
      </c>
      <c r="Y271" s="21" t="s">
        <v>17</v>
      </c>
      <c r="Z271" s="21" t="s">
        <v>1543</v>
      </c>
      <c r="AA271" s="21" t="s">
        <v>502</v>
      </c>
      <c r="AB271" s="21" t="s">
        <v>796</v>
      </c>
      <c r="AC271" s="21" t="s">
        <v>1544</v>
      </c>
      <c r="AD271" s="21" t="s">
        <v>1545</v>
      </c>
    </row>
    <row r="272" spans="1:30">
      <c r="A272" s="21">
        <v>210962</v>
      </c>
      <c r="B272" s="21" t="s">
        <v>726</v>
      </c>
      <c r="C272" s="21" t="s">
        <v>27</v>
      </c>
      <c r="D272" s="21" t="s">
        <v>727</v>
      </c>
      <c r="E272" s="21" t="s">
        <v>727</v>
      </c>
      <c r="F272" s="21" t="s">
        <v>727</v>
      </c>
      <c r="G272" s="21" t="s">
        <v>747</v>
      </c>
      <c r="H272" s="21" t="s">
        <v>17</v>
      </c>
      <c r="I272" s="21" t="s">
        <v>17</v>
      </c>
      <c r="J272" s="21" t="s">
        <v>17</v>
      </c>
      <c r="K272" s="21">
        <v>35</v>
      </c>
      <c r="L272" s="21" t="s">
        <v>730</v>
      </c>
      <c r="M272" s="21" t="s">
        <v>758</v>
      </c>
      <c r="N272" s="21" t="s">
        <v>748</v>
      </c>
      <c r="O272" s="21" t="s">
        <v>754</v>
      </c>
      <c r="P272" s="21" t="s">
        <v>17</v>
      </c>
      <c r="Q272" s="21" t="s">
        <v>17</v>
      </c>
      <c r="R272" s="21" t="s">
        <v>17</v>
      </c>
      <c r="S272" s="21" t="s">
        <v>17</v>
      </c>
      <c r="T272" s="21" t="s">
        <v>17</v>
      </c>
      <c r="U272" s="21" t="s">
        <v>17</v>
      </c>
      <c r="V272" s="21" t="s">
        <v>17</v>
      </c>
      <c r="W272" s="21" t="s">
        <v>17</v>
      </c>
      <c r="X272" s="21" t="s">
        <v>17</v>
      </c>
      <c r="Y272" s="21" t="s">
        <v>17</v>
      </c>
      <c r="Z272" s="21" t="s">
        <v>1546</v>
      </c>
      <c r="AA272" s="21" t="s">
        <v>504</v>
      </c>
      <c r="AB272" s="21" t="s">
        <v>1547</v>
      </c>
      <c r="AC272" s="21" t="s">
        <v>1548</v>
      </c>
      <c r="AD272" s="21" t="s">
        <v>1549</v>
      </c>
    </row>
    <row r="273" spans="1:30">
      <c r="A273" s="21">
        <v>210961</v>
      </c>
      <c r="B273" s="21" t="s">
        <v>726</v>
      </c>
      <c r="C273" s="21" t="s">
        <v>27</v>
      </c>
      <c r="D273" s="21" t="s">
        <v>727</v>
      </c>
      <c r="E273" s="21" t="s">
        <v>727</v>
      </c>
      <c r="F273" s="21" t="s">
        <v>727</v>
      </c>
      <c r="G273" s="21" t="s">
        <v>747</v>
      </c>
      <c r="H273" s="21" t="s">
        <v>17</v>
      </c>
      <c r="I273" s="21" t="s">
        <v>17</v>
      </c>
      <c r="J273" s="21" t="s">
        <v>17</v>
      </c>
      <c r="K273" s="21">
        <v>35</v>
      </c>
      <c r="L273" s="21" t="s">
        <v>730</v>
      </c>
      <c r="M273" s="21" t="s">
        <v>758</v>
      </c>
      <c r="N273" s="21" t="s">
        <v>748</v>
      </c>
      <c r="O273" s="21" t="s">
        <v>754</v>
      </c>
      <c r="P273" s="21" t="s">
        <v>17</v>
      </c>
      <c r="Q273" s="21" t="s">
        <v>17</v>
      </c>
      <c r="R273" s="21" t="s">
        <v>17</v>
      </c>
      <c r="S273" s="21" t="s">
        <v>17</v>
      </c>
      <c r="T273" s="21" t="s">
        <v>17</v>
      </c>
      <c r="U273" s="21" t="s">
        <v>17</v>
      </c>
      <c r="V273" s="21" t="s">
        <v>17</v>
      </c>
      <c r="W273" s="21" t="s">
        <v>17</v>
      </c>
      <c r="X273" s="21" t="s">
        <v>17</v>
      </c>
      <c r="Y273" s="21" t="s">
        <v>17</v>
      </c>
      <c r="Z273" s="21" t="s">
        <v>1550</v>
      </c>
      <c r="AA273" s="21" t="s">
        <v>506</v>
      </c>
      <c r="AB273" s="21" t="s">
        <v>740</v>
      </c>
      <c r="AC273" s="21" t="s">
        <v>1551</v>
      </c>
      <c r="AD273" s="21" t="s">
        <v>1552</v>
      </c>
    </row>
    <row r="274" spans="1:30">
      <c r="A274" s="21">
        <v>210960</v>
      </c>
      <c r="B274" s="21" t="s">
        <v>726</v>
      </c>
      <c r="C274" s="21" t="s">
        <v>27</v>
      </c>
      <c r="D274" s="21" t="s">
        <v>727</v>
      </c>
      <c r="E274" s="21" t="s">
        <v>955</v>
      </c>
      <c r="F274" s="21" t="s">
        <v>727</v>
      </c>
      <c r="G274" s="21" t="s">
        <v>747</v>
      </c>
      <c r="H274" s="21" t="s">
        <v>17</v>
      </c>
      <c r="I274" s="21" t="s">
        <v>17</v>
      </c>
      <c r="J274" s="21" t="s">
        <v>17</v>
      </c>
      <c r="K274" s="21">
        <v>28</v>
      </c>
      <c r="L274" s="21" t="s">
        <v>730</v>
      </c>
      <c r="M274" s="21" t="s">
        <v>1040</v>
      </c>
      <c r="N274" s="21" t="s">
        <v>748</v>
      </c>
      <c r="O274" s="21" t="s">
        <v>754</v>
      </c>
      <c r="P274" s="21" t="s">
        <v>17</v>
      </c>
      <c r="Q274" s="21" t="s">
        <v>17</v>
      </c>
      <c r="R274" s="21" t="s">
        <v>17</v>
      </c>
      <c r="S274" s="21" t="s">
        <v>17</v>
      </c>
      <c r="T274" s="21" t="s">
        <v>17</v>
      </c>
      <c r="U274" s="21" t="s">
        <v>17</v>
      </c>
      <c r="V274" s="21" t="s">
        <v>17</v>
      </c>
      <c r="W274" s="21" t="s">
        <v>17</v>
      </c>
      <c r="X274" s="21" t="s">
        <v>17</v>
      </c>
      <c r="Y274" s="21" t="s">
        <v>17</v>
      </c>
      <c r="Z274" s="21" t="s">
        <v>1553</v>
      </c>
      <c r="AA274" s="21" t="s">
        <v>508</v>
      </c>
      <c r="AB274" s="21" t="s">
        <v>796</v>
      </c>
      <c r="AC274" s="21" t="s">
        <v>1554</v>
      </c>
      <c r="AD274" s="21" t="s">
        <v>1555</v>
      </c>
    </row>
    <row r="275" spans="1:30">
      <c r="A275" s="21">
        <v>210959</v>
      </c>
      <c r="B275" s="21" t="s">
        <v>726</v>
      </c>
      <c r="C275" s="21" t="s">
        <v>27</v>
      </c>
      <c r="D275" s="21" t="s">
        <v>727</v>
      </c>
      <c r="E275" s="21" t="s">
        <v>727</v>
      </c>
      <c r="F275" s="21" t="s">
        <v>727</v>
      </c>
      <c r="G275" s="21" t="s">
        <v>747</v>
      </c>
      <c r="H275" s="21" t="s">
        <v>17</v>
      </c>
      <c r="I275" s="21" t="s">
        <v>17</v>
      </c>
      <c r="J275" s="21" t="s">
        <v>17</v>
      </c>
      <c r="K275" s="21">
        <v>35</v>
      </c>
      <c r="L275" s="21" t="s">
        <v>730</v>
      </c>
      <c r="M275" s="21" t="s">
        <v>758</v>
      </c>
      <c r="N275" s="21" t="s">
        <v>748</v>
      </c>
      <c r="O275" s="21" t="s">
        <v>754</v>
      </c>
      <c r="P275" s="21" t="s">
        <v>17</v>
      </c>
      <c r="Q275" s="21" t="s">
        <v>17</v>
      </c>
      <c r="R275" s="21" t="s">
        <v>17</v>
      </c>
      <c r="S275" s="21" t="s">
        <v>17</v>
      </c>
      <c r="T275" s="21" t="s">
        <v>17</v>
      </c>
      <c r="U275" s="21" t="s">
        <v>17</v>
      </c>
      <c r="V275" s="21" t="s">
        <v>17</v>
      </c>
      <c r="W275" s="21" t="s">
        <v>17</v>
      </c>
      <c r="X275" s="21" t="s">
        <v>17</v>
      </c>
      <c r="Y275" s="21" t="s">
        <v>17</v>
      </c>
      <c r="Z275" s="21" t="s">
        <v>1556</v>
      </c>
      <c r="AA275" s="21" t="s">
        <v>510</v>
      </c>
      <c r="AB275" s="21" t="s">
        <v>774</v>
      </c>
      <c r="AC275" s="21" t="s">
        <v>1557</v>
      </c>
      <c r="AD275" s="21" t="s">
        <v>1558</v>
      </c>
    </row>
    <row r="276" spans="1:30">
      <c r="A276" s="21">
        <v>210958</v>
      </c>
      <c r="B276" s="21" t="s">
        <v>726</v>
      </c>
      <c r="C276" s="21" t="s">
        <v>27</v>
      </c>
      <c r="D276" s="21" t="s">
        <v>727</v>
      </c>
      <c r="E276" s="21" t="s">
        <v>727</v>
      </c>
      <c r="F276" s="21" t="s">
        <v>727</v>
      </c>
      <c r="G276" s="21" t="s">
        <v>747</v>
      </c>
      <c r="H276" s="21" t="s">
        <v>17</v>
      </c>
      <c r="I276" s="21" t="s">
        <v>17</v>
      </c>
      <c r="J276" s="21" t="s">
        <v>17</v>
      </c>
      <c r="K276" s="21">
        <v>35</v>
      </c>
      <c r="L276" s="21" t="s">
        <v>730</v>
      </c>
      <c r="M276" s="21" t="s">
        <v>758</v>
      </c>
      <c r="N276" s="21" t="s">
        <v>748</v>
      </c>
      <c r="O276" s="21" t="s">
        <v>754</v>
      </c>
      <c r="P276" s="21" t="s">
        <v>17</v>
      </c>
      <c r="Q276" s="21" t="s">
        <v>17</v>
      </c>
      <c r="R276" s="21" t="s">
        <v>17</v>
      </c>
      <c r="S276" s="21" t="s">
        <v>17</v>
      </c>
      <c r="T276" s="21" t="s">
        <v>17</v>
      </c>
      <c r="U276" s="21" t="s">
        <v>17</v>
      </c>
      <c r="V276" s="21" t="s">
        <v>17</v>
      </c>
      <c r="W276" s="21" t="s">
        <v>17</v>
      </c>
      <c r="X276" s="21" t="s">
        <v>17</v>
      </c>
      <c r="Y276" s="21" t="s">
        <v>17</v>
      </c>
      <c r="Z276" s="21" t="s">
        <v>1559</v>
      </c>
      <c r="AA276" s="21" t="s">
        <v>323</v>
      </c>
      <c r="AB276" s="21" t="s">
        <v>796</v>
      </c>
      <c r="AC276" s="21" t="s">
        <v>1560</v>
      </c>
      <c r="AD276" s="21" t="s">
        <v>1561</v>
      </c>
    </row>
    <row r="277" spans="1:30">
      <c r="A277" s="21">
        <v>210957</v>
      </c>
      <c r="B277" s="21" t="s">
        <v>726</v>
      </c>
      <c r="C277" s="21" t="s">
        <v>27</v>
      </c>
      <c r="D277" s="21" t="s">
        <v>727</v>
      </c>
      <c r="E277" s="21" t="s">
        <v>727</v>
      </c>
      <c r="F277" s="21" t="s">
        <v>727</v>
      </c>
      <c r="G277" s="21" t="s">
        <v>747</v>
      </c>
      <c r="H277" s="21" t="s">
        <v>17</v>
      </c>
      <c r="I277" s="21" t="s">
        <v>17</v>
      </c>
      <c r="J277" s="21" t="s">
        <v>17</v>
      </c>
      <c r="K277" s="21">
        <v>35</v>
      </c>
      <c r="L277" s="21" t="s">
        <v>730</v>
      </c>
      <c r="M277" s="21" t="s">
        <v>758</v>
      </c>
      <c r="N277" s="21" t="s">
        <v>748</v>
      </c>
      <c r="O277" s="21" t="s">
        <v>754</v>
      </c>
      <c r="P277" s="21" t="s">
        <v>17</v>
      </c>
      <c r="Q277" s="21" t="s">
        <v>17</v>
      </c>
      <c r="R277" s="21" t="s">
        <v>17</v>
      </c>
      <c r="S277" s="21" t="s">
        <v>17</v>
      </c>
      <c r="T277" s="21" t="s">
        <v>17</v>
      </c>
      <c r="U277" s="21" t="s">
        <v>17</v>
      </c>
      <c r="V277" s="21" t="s">
        <v>17</v>
      </c>
      <c r="W277" s="21" t="s">
        <v>17</v>
      </c>
      <c r="X277" s="21" t="s">
        <v>17</v>
      </c>
      <c r="Y277" s="21" t="s">
        <v>17</v>
      </c>
      <c r="Z277" s="21" t="s">
        <v>1562</v>
      </c>
      <c r="AA277" s="21" t="s">
        <v>513</v>
      </c>
      <c r="AB277" s="21" t="s">
        <v>740</v>
      </c>
      <c r="AC277" s="21" t="s">
        <v>1563</v>
      </c>
      <c r="AD277" s="21" t="s">
        <v>1564</v>
      </c>
    </row>
    <row r="278" spans="1:30">
      <c r="A278" s="21">
        <v>210956</v>
      </c>
      <c r="B278" s="21" t="s">
        <v>726</v>
      </c>
      <c r="C278" s="21" t="s">
        <v>27</v>
      </c>
      <c r="D278" s="21" t="s">
        <v>727</v>
      </c>
      <c r="E278" s="21" t="s">
        <v>727</v>
      </c>
      <c r="F278" s="21" t="s">
        <v>727</v>
      </c>
      <c r="G278" s="21" t="s">
        <v>747</v>
      </c>
      <c r="H278" s="21" t="s">
        <v>17</v>
      </c>
      <c r="I278" s="21" t="s">
        <v>17</v>
      </c>
      <c r="J278" s="21" t="s">
        <v>17</v>
      </c>
      <c r="K278" s="21">
        <v>35</v>
      </c>
      <c r="L278" s="21" t="s">
        <v>730</v>
      </c>
      <c r="M278" s="21" t="s">
        <v>758</v>
      </c>
      <c r="N278" s="21" t="s">
        <v>748</v>
      </c>
      <c r="O278" s="21" t="s">
        <v>754</v>
      </c>
      <c r="P278" s="21" t="s">
        <v>17</v>
      </c>
      <c r="Q278" s="21" t="s">
        <v>17</v>
      </c>
      <c r="R278" s="21" t="s">
        <v>17</v>
      </c>
      <c r="S278" s="21" t="s">
        <v>17</v>
      </c>
      <c r="T278" s="21" t="s">
        <v>17</v>
      </c>
      <c r="U278" s="21" t="s">
        <v>17</v>
      </c>
      <c r="V278" s="21" t="s">
        <v>17</v>
      </c>
      <c r="W278" s="21" t="s">
        <v>17</v>
      </c>
      <c r="X278" s="21" t="s">
        <v>17</v>
      </c>
      <c r="Y278" s="21" t="s">
        <v>17</v>
      </c>
      <c r="Z278" s="21" t="s">
        <v>1565</v>
      </c>
      <c r="AA278" s="21" t="s">
        <v>515</v>
      </c>
      <c r="AB278" s="21" t="s">
        <v>740</v>
      </c>
      <c r="AC278" s="21" t="s">
        <v>1566</v>
      </c>
      <c r="AD278" s="21" t="s">
        <v>1567</v>
      </c>
    </row>
    <row r="279" spans="1:30">
      <c r="A279" s="21">
        <v>210955</v>
      </c>
      <c r="B279" s="21" t="s">
        <v>726</v>
      </c>
      <c r="C279" s="21" t="s">
        <v>27</v>
      </c>
      <c r="D279" s="21" t="s">
        <v>727</v>
      </c>
      <c r="E279" s="21" t="s">
        <v>727</v>
      </c>
      <c r="F279" s="21" t="s">
        <v>727</v>
      </c>
      <c r="G279" s="21" t="s">
        <v>747</v>
      </c>
      <c r="H279" s="21" t="s">
        <v>17</v>
      </c>
      <c r="I279" s="21" t="s">
        <v>17</v>
      </c>
      <c r="J279" s="21" t="s">
        <v>17</v>
      </c>
      <c r="K279" s="21">
        <v>35</v>
      </c>
      <c r="L279" s="21" t="s">
        <v>730</v>
      </c>
      <c r="M279" s="21" t="s">
        <v>758</v>
      </c>
      <c r="N279" s="21" t="s">
        <v>748</v>
      </c>
      <c r="O279" s="21" t="s">
        <v>754</v>
      </c>
      <c r="P279" s="21" t="s">
        <v>17</v>
      </c>
      <c r="Q279" s="21" t="s">
        <v>17</v>
      </c>
      <c r="R279" s="21" t="s">
        <v>17</v>
      </c>
      <c r="S279" s="21" t="s">
        <v>17</v>
      </c>
      <c r="T279" s="21" t="s">
        <v>17</v>
      </c>
      <c r="U279" s="21" t="s">
        <v>17</v>
      </c>
      <c r="V279" s="21" t="s">
        <v>17</v>
      </c>
      <c r="W279" s="21" t="s">
        <v>17</v>
      </c>
      <c r="X279" s="21" t="s">
        <v>17</v>
      </c>
      <c r="Y279" s="21" t="s">
        <v>17</v>
      </c>
      <c r="Z279" s="21" t="s">
        <v>1568</v>
      </c>
      <c r="AA279" s="21" t="s">
        <v>517</v>
      </c>
      <c r="AB279" s="21" t="s">
        <v>1382</v>
      </c>
      <c r="AC279" s="21" t="s">
        <v>1569</v>
      </c>
      <c r="AD279" s="21" t="s">
        <v>1570</v>
      </c>
    </row>
    <row r="280" spans="1:30">
      <c r="A280" s="21">
        <v>210954</v>
      </c>
      <c r="B280" s="21" t="s">
        <v>726</v>
      </c>
      <c r="C280" s="21" t="s">
        <v>27</v>
      </c>
      <c r="D280" s="21" t="s">
        <v>727</v>
      </c>
      <c r="E280" s="21" t="s">
        <v>727</v>
      </c>
      <c r="F280" s="21" t="s">
        <v>727</v>
      </c>
      <c r="G280" s="21" t="s">
        <v>747</v>
      </c>
      <c r="H280" s="21" t="s">
        <v>17</v>
      </c>
      <c r="I280" s="21" t="s">
        <v>17</v>
      </c>
      <c r="J280" s="21" t="s">
        <v>17</v>
      </c>
      <c r="K280" s="21">
        <v>35</v>
      </c>
      <c r="L280" s="21" t="s">
        <v>730</v>
      </c>
      <c r="M280" s="21" t="s">
        <v>758</v>
      </c>
      <c r="N280" s="21" t="s">
        <v>748</v>
      </c>
      <c r="O280" s="21" t="s">
        <v>754</v>
      </c>
      <c r="P280" s="21" t="s">
        <v>17</v>
      </c>
      <c r="Q280" s="21" t="s">
        <v>17</v>
      </c>
      <c r="R280" s="21" t="s">
        <v>17</v>
      </c>
      <c r="S280" s="21" t="s">
        <v>17</v>
      </c>
      <c r="T280" s="21" t="s">
        <v>17</v>
      </c>
      <c r="U280" s="21" t="s">
        <v>17</v>
      </c>
      <c r="V280" s="21" t="s">
        <v>17</v>
      </c>
      <c r="W280" s="21" t="s">
        <v>17</v>
      </c>
      <c r="X280" s="21" t="s">
        <v>17</v>
      </c>
      <c r="Y280" s="21" t="s">
        <v>17</v>
      </c>
      <c r="Z280" s="21" t="s">
        <v>1571</v>
      </c>
      <c r="AA280" s="21" t="s">
        <v>519</v>
      </c>
      <c r="AB280" s="21" t="s">
        <v>740</v>
      </c>
      <c r="AC280" s="21" t="s">
        <v>1572</v>
      </c>
      <c r="AD280" s="21" t="s">
        <v>1573</v>
      </c>
    </row>
    <row r="281" spans="1:30">
      <c r="A281" s="21">
        <v>210953</v>
      </c>
      <c r="B281" s="21" t="s">
        <v>726</v>
      </c>
      <c r="C281" s="21" t="s">
        <v>27</v>
      </c>
      <c r="D281" s="21" t="s">
        <v>727</v>
      </c>
      <c r="E281" s="21" t="s">
        <v>727</v>
      </c>
      <c r="F281" s="21" t="s">
        <v>727</v>
      </c>
      <c r="G281" s="21" t="s">
        <v>747</v>
      </c>
      <c r="H281" s="21" t="s">
        <v>17</v>
      </c>
      <c r="I281" s="21" t="s">
        <v>17</v>
      </c>
      <c r="J281" s="21" t="s">
        <v>17</v>
      </c>
      <c r="K281" s="21">
        <v>35</v>
      </c>
      <c r="L281" s="21" t="s">
        <v>730</v>
      </c>
      <c r="M281" s="21" t="s">
        <v>758</v>
      </c>
      <c r="N281" s="21" t="s">
        <v>748</v>
      </c>
      <c r="O281" s="21" t="s">
        <v>754</v>
      </c>
      <c r="P281" s="21" t="s">
        <v>17</v>
      </c>
      <c r="Q281" s="21" t="s">
        <v>17</v>
      </c>
      <c r="R281" s="21" t="s">
        <v>17</v>
      </c>
      <c r="S281" s="21" t="s">
        <v>17</v>
      </c>
      <c r="T281" s="21" t="s">
        <v>17</v>
      </c>
      <c r="U281" s="21" t="s">
        <v>17</v>
      </c>
      <c r="V281" s="21" t="s">
        <v>17</v>
      </c>
      <c r="W281" s="21" t="s">
        <v>17</v>
      </c>
      <c r="X281" s="21" t="s">
        <v>17</v>
      </c>
      <c r="Y281" s="21" t="s">
        <v>17</v>
      </c>
      <c r="Z281" s="21" t="s">
        <v>1574</v>
      </c>
      <c r="AA281" s="21" t="s">
        <v>521</v>
      </c>
      <c r="AB281" s="21" t="s">
        <v>740</v>
      </c>
      <c r="AC281" s="21" t="s">
        <v>1575</v>
      </c>
      <c r="AD281" s="21" t="s">
        <v>1576</v>
      </c>
    </row>
    <row r="282" spans="1:30">
      <c r="A282" s="21">
        <v>210951</v>
      </c>
      <c r="B282" s="21" t="s">
        <v>726</v>
      </c>
      <c r="C282" s="21" t="s">
        <v>27</v>
      </c>
      <c r="D282" s="21" t="s">
        <v>727</v>
      </c>
      <c r="E282" s="21" t="s">
        <v>727</v>
      </c>
      <c r="F282" s="21" t="s">
        <v>727</v>
      </c>
      <c r="G282" s="21" t="s">
        <v>747</v>
      </c>
      <c r="H282" s="21" t="s">
        <v>17</v>
      </c>
      <c r="I282" s="21" t="s">
        <v>17</v>
      </c>
      <c r="J282" s="21" t="s">
        <v>17</v>
      </c>
      <c r="K282" s="21">
        <v>35</v>
      </c>
      <c r="L282" s="21" t="s">
        <v>730</v>
      </c>
      <c r="M282" s="21" t="s">
        <v>758</v>
      </c>
      <c r="N282" s="21" t="s">
        <v>748</v>
      </c>
      <c r="O282" s="21" t="s">
        <v>754</v>
      </c>
      <c r="P282" s="21" t="s">
        <v>17</v>
      </c>
      <c r="Q282" s="21" t="s">
        <v>17</v>
      </c>
      <c r="R282" s="21" t="s">
        <v>17</v>
      </c>
      <c r="S282" s="21" t="s">
        <v>17</v>
      </c>
      <c r="T282" s="21" t="s">
        <v>17</v>
      </c>
      <c r="U282" s="21" t="s">
        <v>17</v>
      </c>
      <c r="V282" s="21" t="s">
        <v>17</v>
      </c>
      <c r="W282" s="21" t="s">
        <v>17</v>
      </c>
      <c r="X282" s="21" t="s">
        <v>17</v>
      </c>
      <c r="Y282" s="21" t="s">
        <v>17</v>
      </c>
      <c r="Z282" s="21" t="s">
        <v>1577</v>
      </c>
      <c r="AA282" s="21" t="s">
        <v>523</v>
      </c>
      <c r="AB282" s="21" t="s">
        <v>1578</v>
      </c>
      <c r="AC282" s="21" t="s">
        <v>1579</v>
      </c>
      <c r="AD282" s="21" t="s">
        <v>1580</v>
      </c>
    </row>
    <row r="283" spans="1:30">
      <c r="A283" s="21">
        <v>210950</v>
      </c>
      <c r="B283" s="21" t="s">
        <v>726</v>
      </c>
      <c r="C283" s="21" t="s">
        <v>27</v>
      </c>
      <c r="D283" s="21" t="s">
        <v>727</v>
      </c>
      <c r="E283" s="21" t="s">
        <v>747</v>
      </c>
      <c r="F283" s="21" t="s">
        <v>727</v>
      </c>
      <c r="G283" s="21" t="s">
        <v>747</v>
      </c>
      <c r="H283" s="21" t="s">
        <v>17</v>
      </c>
      <c r="I283" s="21" t="s">
        <v>17</v>
      </c>
      <c r="J283" s="21" t="s">
        <v>17</v>
      </c>
      <c r="K283" s="21">
        <v>30</v>
      </c>
      <c r="L283" s="21" t="s">
        <v>730</v>
      </c>
      <c r="M283" s="21" t="s">
        <v>730</v>
      </c>
      <c r="N283" s="21" t="s">
        <v>748</v>
      </c>
      <c r="O283" s="21" t="s">
        <v>754</v>
      </c>
      <c r="P283" s="21" t="s">
        <v>17</v>
      </c>
      <c r="Q283" s="21" t="s">
        <v>17</v>
      </c>
      <c r="R283" s="21" t="s">
        <v>17</v>
      </c>
      <c r="S283" s="21" t="s">
        <v>17</v>
      </c>
      <c r="T283" s="21" t="s">
        <v>17</v>
      </c>
      <c r="U283" s="21" t="s">
        <v>17</v>
      </c>
      <c r="V283" s="21" t="s">
        <v>17</v>
      </c>
      <c r="W283" s="21" t="s">
        <v>17</v>
      </c>
      <c r="X283" s="21" t="s">
        <v>17</v>
      </c>
      <c r="Y283" s="21" t="s">
        <v>17</v>
      </c>
      <c r="Z283" s="21" t="s">
        <v>1581</v>
      </c>
      <c r="AA283" s="21" t="s">
        <v>525</v>
      </c>
      <c r="AB283" s="21" t="s">
        <v>1582</v>
      </c>
      <c r="AC283" s="21" t="s">
        <v>1583</v>
      </c>
      <c r="AD283" s="21" t="s">
        <v>1584</v>
      </c>
    </row>
    <row r="284" spans="1:30">
      <c r="A284" s="21">
        <v>210948</v>
      </c>
      <c r="B284" s="21" t="s">
        <v>726</v>
      </c>
      <c r="C284" s="21" t="s">
        <v>27</v>
      </c>
      <c r="D284" s="21" t="s">
        <v>727</v>
      </c>
      <c r="E284" s="21" t="s">
        <v>747</v>
      </c>
      <c r="F284" s="21" t="s">
        <v>727</v>
      </c>
      <c r="G284" s="21" t="s">
        <v>747</v>
      </c>
      <c r="H284" s="21" t="s">
        <v>17</v>
      </c>
      <c r="I284" s="21" t="s">
        <v>17</v>
      </c>
      <c r="J284" s="21" t="s">
        <v>17</v>
      </c>
      <c r="K284" s="21">
        <v>30</v>
      </c>
      <c r="L284" s="21" t="s">
        <v>730</v>
      </c>
      <c r="M284" s="21" t="s">
        <v>730</v>
      </c>
      <c r="N284" s="21" t="s">
        <v>748</v>
      </c>
      <c r="O284" s="21" t="s">
        <v>754</v>
      </c>
      <c r="P284" s="21" t="s">
        <v>17</v>
      </c>
      <c r="Q284" s="21" t="s">
        <v>17</v>
      </c>
      <c r="R284" s="21" t="s">
        <v>17</v>
      </c>
      <c r="S284" s="21" t="s">
        <v>17</v>
      </c>
      <c r="T284" s="21" t="s">
        <v>17</v>
      </c>
      <c r="U284" s="21" t="s">
        <v>17</v>
      </c>
      <c r="V284" s="21" t="s">
        <v>17</v>
      </c>
      <c r="W284" s="21" t="s">
        <v>17</v>
      </c>
      <c r="X284" s="21" t="s">
        <v>17</v>
      </c>
      <c r="Y284" s="21" t="s">
        <v>17</v>
      </c>
      <c r="Z284" s="21" t="s">
        <v>1585</v>
      </c>
      <c r="AA284" s="21" t="s">
        <v>527</v>
      </c>
      <c r="AB284" s="21" t="s">
        <v>1586</v>
      </c>
      <c r="AC284" s="21" t="s">
        <v>1587</v>
      </c>
      <c r="AD284" s="21" t="s">
        <v>1588</v>
      </c>
    </row>
    <row r="285" spans="1:30">
      <c r="A285" s="21">
        <v>210947</v>
      </c>
      <c r="B285" s="21" t="s">
        <v>726</v>
      </c>
      <c r="C285" s="21" t="s">
        <v>27</v>
      </c>
      <c r="D285" s="21" t="s">
        <v>727</v>
      </c>
      <c r="E285" s="21" t="s">
        <v>727</v>
      </c>
      <c r="F285" s="21" t="s">
        <v>727</v>
      </c>
      <c r="G285" s="21" t="s">
        <v>747</v>
      </c>
      <c r="H285" s="21" t="s">
        <v>17</v>
      </c>
      <c r="I285" s="21" t="s">
        <v>17</v>
      </c>
      <c r="J285" s="21" t="s">
        <v>17</v>
      </c>
      <c r="K285" s="21">
        <v>35</v>
      </c>
      <c r="L285" s="21" t="s">
        <v>730</v>
      </c>
      <c r="M285" s="21" t="s">
        <v>758</v>
      </c>
      <c r="N285" s="21" t="s">
        <v>748</v>
      </c>
      <c r="O285" s="21" t="s">
        <v>754</v>
      </c>
      <c r="P285" s="21" t="s">
        <v>17</v>
      </c>
      <c r="Q285" s="21" t="s">
        <v>17</v>
      </c>
      <c r="R285" s="21" t="s">
        <v>17</v>
      </c>
      <c r="S285" s="21" t="s">
        <v>17</v>
      </c>
      <c r="T285" s="21" t="s">
        <v>17</v>
      </c>
      <c r="U285" s="21" t="s">
        <v>17</v>
      </c>
      <c r="V285" s="21" t="s">
        <v>17</v>
      </c>
      <c r="W285" s="21" t="s">
        <v>17</v>
      </c>
      <c r="X285" s="21" t="s">
        <v>17</v>
      </c>
      <c r="Y285" s="21" t="s">
        <v>17</v>
      </c>
      <c r="Z285" s="21" t="s">
        <v>1589</v>
      </c>
      <c r="AA285" s="21" t="s">
        <v>529</v>
      </c>
      <c r="AB285" s="21" t="s">
        <v>1590</v>
      </c>
      <c r="AC285" s="21" t="s">
        <v>1591</v>
      </c>
      <c r="AD285" s="21" t="s">
        <v>1592</v>
      </c>
    </row>
    <row r="286" spans="1:30">
      <c r="A286" s="21">
        <v>210944</v>
      </c>
      <c r="B286" s="21" t="s">
        <v>726</v>
      </c>
      <c r="C286" s="21" t="s">
        <v>27</v>
      </c>
      <c r="D286" s="21" t="s">
        <v>727</v>
      </c>
      <c r="E286" s="21" t="s">
        <v>727</v>
      </c>
      <c r="F286" s="21" t="s">
        <v>727</v>
      </c>
      <c r="G286" s="21" t="s">
        <v>747</v>
      </c>
      <c r="H286" s="21" t="s">
        <v>17</v>
      </c>
      <c r="I286" s="21" t="s">
        <v>17</v>
      </c>
      <c r="J286" s="21" t="s">
        <v>17</v>
      </c>
      <c r="K286" s="21">
        <v>35</v>
      </c>
      <c r="L286" s="21" t="s">
        <v>730</v>
      </c>
      <c r="M286" s="21" t="s">
        <v>758</v>
      </c>
      <c r="N286" s="21" t="s">
        <v>748</v>
      </c>
      <c r="O286" s="21" t="s">
        <v>754</v>
      </c>
      <c r="P286" s="21" t="s">
        <v>17</v>
      </c>
      <c r="Q286" s="21" t="s">
        <v>17</v>
      </c>
      <c r="R286" s="21" t="s">
        <v>17</v>
      </c>
      <c r="S286" s="21" t="s">
        <v>17</v>
      </c>
      <c r="T286" s="21" t="s">
        <v>17</v>
      </c>
      <c r="U286" s="21" t="s">
        <v>17</v>
      </c>
      <c r="V286" s="21" t="s">
        <v>17</v>
      </c>
      <c r="W286" s="21" t="s">
        <v>17</v>
      </c>
      <c r="X286" s="21" t="s">
        <v>17</v>
      </c>
      <c r="Y286" s="21" t="s">
        <v>17</v>
      </c>
      <c r="Z286" s="21" t="s">
        <v>1593</v>
      </c>
      <c r="AA286" s="21" t="s">
        <v>531</v>
      </c>
      <c r="AB286" s="21" t="s">
        <v>879</v>
      </c>
      <c r="AC286" s="21" t="s">
        <v>1594</v>
      </c>
      <c r="AD286" s="21" t="s">
        <v>1595</v>
      </c>
    </row>
    <row r="287" spans="1:30">
      <c r="A287" s="21">
        <v>210941</v>
      </c>
      <c r="B287" s="21" t="s">
        <v>726</v>
      </c>
      <c r="C287" s="21" t="s">
        <v>27</v>
      </c>
      <c r="D287" s="21" t="s">
        <v>727</v>
      </c>
      <c r="E287" s="21" t="s">
        <v>727</v>
      </c>
      <c r="F287" s="21" t="s">
        <v>727</v>
      </c>
      <c r="G287" s="21" t="s">
        <v>747</v>
      </c>
      <c r="H287" s="21" t="s">
        <v>17</v>
      </c>
      <c r="I287" s="21" t="s">
        <v>17</v>
      </c>
      <c r="J287" s="21" t="s">
        <v>17</v>
      </c>
      <c r="K287" s="21">
        <v>35</v>
      </c>
      <c r="L287" s="21" t="s">
        <v>730</v>
      </c>
      <c r="M287" s="21" t="s">
        <v>758</v>
      </c>
      <c r="N287" s="21" t="s">
        <v>748</v>
      </c>
      <c r="O287" s="21" t="s">
        <v>754</v>
      </c>
      <c r="P287" s="21" t="s">
        <v>17</v>
      </c>
      <c r="Q287" s="21" t="s">
        <v>17</v>
      </c>
      <c r="R287" s="21" t="s">
        <v>17</v>
      </c>
      <c r="S287" s="21" t="s">
        <v>17</v>
      </c>
      <c r="T287" s="21" t="s">
        <v>17</v>
      </c>
      <c r="U287" s="21" t="s">
        <v>17</v>
      </c>
      <c r="V287" s="21" t="s">
        <v>17</v>
      </c>
      <c r="W287" s="21" t="s">
        <v>17</v>
      </c>
      <c r="X287" s="21" t="s">
        <v>17</v>
      </c>
      <c r="Y287" s="21" t="s">
        <v>17</v>
      </c>
      <c r="Z287" s="21" t="s">
        <v>1596</v>
      </c>
      <c r="AA287" s="21" t="s">
        <v>533</v>
      </c>
      <c r="AB287" s="21" t="s">
        <v>740</v>
      </c>
      <c r="AC287" s="21" t="s">
        <v>1597</v>
      </c>
      <c r="AD287" s="21" t="s">
        <v>1598</v>
      </c>
    </row>
    <row r="288" spans="1:30">
      <c r="A288" s="21">
        <v>210940</v>
      </c>
      <c r="B288" s="21" t="s">
        <v>726</v>
      </c>
      <c r="C288" s="21" t="s">
        <v>27</v>
      </c>
      <c r="D288" s="21" t="s">
        <v>727</v>
      </c>
      <c r="E288" s="21" t="s">
        <v>727</v>
      </c>
      <c r="F288" s="21" t="s">
        <v>727</v>
      </c>
      <c r="G288" s="21" t="s">
        <v>747</v>
      </c>
      <c r="H288" s="21" t="s">
        <v>17</v>
      </c>
      <c r="I288" s="21" t="s">
        <v>17</v>
      </c>
      <c r="J288" s="21" t="s">
        <v>17</v>
      </c>
      <c r="K288" s="21">
        <v>35</v>
      </c>
      <c r="L288" s="21" t="s">
        <v>730</v>
      </c>
      <c r="M288" s="21" t="s">
        <v>758</v>
      </c>
      <c r="N288" s="21" t="s">
        <v>748</v>
      </c>
      <c r="O288" s="21" t="s">
        <v>754</v>
      </c>
      <c r="P288" s="21" t="s">
        <v>17</v>
      </c>
      <c r="Q288" s="21" t="s">
        <v>17</v>
      </c>
      <c r="R288" s="21" t="s">
        <v>17</v>
      </c>
      <c r="S288" s="21" t="s">
        <v>17</v>
      </c>
      <c r="T288" s="21" t="s">
        <v>17</v>
      </c>
      <c r="U288" s="21" t="s">
        <v>17</v>
      </c>
      <c r="V288" s="21" t="s">
        <v>17</v>
      </c>
      <c r="W288" s="21" t="s">
        <v>17</v>
      </c>
      <c r="X288" s="21" t="s">
        <v>17</v>
      </c>
      <c r="Y288" s="21" t="s">
        <v>17</v>
      </c>
      <c r="Z288" s="21" t="s">
        <v>1599</v>
      </c>
      <c r="AA288" s="21" t="s">
        <v>535</v>
      </c>
      <c r="AB288" s="21" t="s">
        <v>740</v>
      </c>
      <c r="AC288" s="21" t="s">
        <v>1600</v>
      </c>
      <c r="AD288" s="21" t="s">
        <v>1601</v>
      </c>
    </row>
    <row r="289" spans="1:30">
      <c r="A289" s="21">
        <v>210938</v>
      </c>
      <c r="B289" s="21" t="s">
        <v>726</v>
      </c>
      <c r="C289" s="21" t="s">
        <v>27</v>
      </c>
      <c r="D289" s="21" t="s">
        <v>727</v>
      </c>
      <c r="E289" s="21" t="s">
        <v>727</v>
      </c>
      <c r="F289" s="21" t="s">
        <v>727</v>
      </c>
      <c r="G289" s="21" t="s">
        <v>747</v>
      </c>
      <c r="H289" s="21" t="s">
        <v>17</v>
      </c>
      <c r="I289" s="21" t="s">
        <v>17</v>
      </c>
      <c r="J289" s="21" t="s">
        <v>17</v>
      </c>
      <c r="K289" s="21">
        <v>35</v>
      </c>
      <c r="L289" s="21" t="s">
        <v>730</v>
      </c>
      <c r="M289" s="21" t="s">
        <v>758</v>
      </c>
      <c r="N289" s="21" t="s">
        <v>748</v>
      </c>
      <c r="O289" s="21" t="s">
        <v>754</v>
      </c>
      <c r="P289" s="21" t="s">
        <v>17</v>
      </c>
      <c r="Q289" s="21" t="s">
        <v>17</v>
      </c>
      <c r="R289" s="21" t="s">
        <v>17</v>
      </c>
      <c r="S289" s="21" t="s">
        <v>17</v>
      </c>
      <c r="T289" s="21" t="s">
        <v>17</v>
      </c>
      <c r="U289" s="21" t="s">
        <v>17</v>
      </c>
      <c r="V289" s="21" t="s">
        <v>17</v>
      </c>
      <c r="W289" s="21" t="s">
        <v>17</v>
      </c>
      <c r="X289" s="21" t="s">
        <v>17</v>
      </c>
      <c r="Y289" s="21" t="s">
        <v>17</v>
      </c>
      <c r="Z289" s="21" t="s">
        <v>1602</v>
      </c>
      <c r="AA289" s="21" t="s">
        <v>537</v>
      </c>
      <c r="AB289" s="21" t="s">
        <v>1504</v>
      </c>
      <c r="AC289" s="21" t="s">
        <v>797</v>
      </c>
      <c r="AD289" s="21" t="s">
        <v>798</v>
      </c>
    </row>
    <row r="290" spans="1:30">
      <c r="A290" s="21">
        <v>210937</v>
      </c>
      <c r="B290" s="21" t="s">
        <v>726</v>
      </c>
      <c r="C290" s="21" t="s">
        <v>27</v>
      </c>
      <c r="D290" s="21" t="s">
        <v>727</v>
      </c>
      <c r="E290" s="21" t="s">
        <v>727</v>
      </c>
      <c r="F290" s="21" t="s">
        <v>727</v>
      </c>
      <c r="G290" s="21" t="s">
        <v>747</v>
      </c>
      <c r="H290" s="21" t="s">
        <v>17</v>
      </c>
      <c r="I290" s="21" t="s">
        <v>17</v>
      </c>
      <c r="J290" s="21" t="s">
        <v>17</v>
      </c>
      <c r="K290" s="21">
        <v>35</v>
      </c>
      <c r="L290" s="21" t="s">
        <v>730</v>
      </c>
      <c r="M290" s="21" t="s">
        <v>758</v>
      </c>
      <c r="N290" s="21" t="s">
        <v>748</v>
      </c>
      <c r="O290" s="21" t="s">
        <v>754</v>
      </c>
      <c r="P290" s="21" t="s">
        <v>17</v>
      </c>
      <c r="Q290" s="21" t="s">
        <v>17</v>
      </c>
      <c r="R290" s="21" t="s">
        <v>17</v>
      </c>
      <c r="S290" s="21" t="s">
        <v>17</v>
      </c>
      <c r="T290" s="21" t="s">
        <v>17</v>
      </c>
      <c r="U290" s="21" t="s">
        <v>17</v>
      </c>
      <c r="V290" s="21" t="s">
        <v>17</v>
      </c>
      <c r="W290" s="21" t="s">
        <v>17</v>
      </c>
      <c r="X290" s="21" t="s">
        <v>17</v>
      </c>
      <c r="Y290" s="21" t="s">
        <v>17</v>
      </c>
      <c r="Z290" s="21" t="s">
        <v>1603</v>
      </c>
      <c r="AA290" s="21" t="s">
        <v>539</v>
      </c>
      <c r="AB290" s="21" t="s">
        <v>1604</v>
      </c>
      <c r="AC290" s="21" t="s">
        <v>1605</v>
      </c>
      <c r="AD290" s="21" t="s">
        <v>1606</v>
      </c>
    </row>
    <row r="291" spans="1:30">
      <c r="A291" s="21">
        <v>210936</v>
      </c>
      <c r="B291" s="21" t="s">
        <v>726</v>
      </c>
      <c r="C291" s="21" t="s">
        <v>27</v>
      </c>
      <c r="D291" s="21" t="s">
        <v>727</v>
      </c>
      <c r="E291" s="21" t="s">
        <v>727</v>
      </c>
      <c r="F291" s="21" t="s">
        <v>727</v>
      </c>
      <c r="G291" s="21" t="s">
        <v>747</v>
      </c>
      <c r="H291" s="21" t="s">
        <v>17</v>
      </c>
      <c r="I291" s="21" t="s">
        <v>17</v>
      </c>
      <c r="J291" s="21" t="s">
        <v>17</v>
      </c>
      <c r="K291" s="21">
        <v>35</v>
      </c>
      <c r="L291" s="21" t="s">
        <v>730</v>
      </c>
      <c r="M291" s="21" t="s">
        <v>758</v>
      </c>
      <c r="N291" s="21" t="s">
        <v>748</v>
      </c>
      <c r="O291" s="21" t="s">
        <v>754</v>
      </c>
      <c r="P291" s="21" t="s">
        <v>17</v>
      </c>
      <c r="Q291" s="21" t="s">
        <v>17</v>
      </c>
      <c r="R291" s="21" t="s">
        <v>17</v>
      </c>
      <c r="S291" s="21" t="s">
        <v>17</v>
      </c>
      <c r="T291" s="21" t="s">
        <v>17</v>
      </c>
      <c r="U291" s="21" t="s">
        <v>17</v>
      </c>
      <c r="V291" s="21" t="s">
        <v>17</v>
      </c>
      <c r="W291" s="21" t="s">
        <v>17</v>
      </c>
      <c r="X291" s="21" t="s">
        <v>17</v>
      </c>
      <c r="Y291" s="21" t="s">
        <v>17</v>
      </c>
      <c r="Z291" s="21" t="s">
        <v>1607</v>
      </c>
      <c r="AA291" s="21" t="s">
        <v>541</v>
      </c>
      <c r="AB291" s="21" t="s">
        <v>1137</v>
      </c>
      <c r="AC291" s="21" t="s">
        <v>1608</v>
      </c>
      <c r="AD291" s="21" t="s">
        <v>1609</v>
      </c>
    </row>
    <row r="292" spans="1:30">
      <c r="A292" s="21">
        <v>210935</v>
      </c>
      <c r="B292" s="21" t="s">
        <v>726</v>
      </c>
      <c r="C292" s="21" t="s">
        <v>27</v>
      </c>
      <c r="D292" s="21" t="s">
        <v>727</v>
      </c>
      <c r="E292" s="21" t="s">
        <v>727</v>
      </c>
      <c r="F292" s="21" t="s">
        <v>727</v>
      </c>
      <c r="G292" s="21" t="s">
        <v>747</v>
      </c>
      <c r="H292" s="21" t="s">
        <v>17</v>
      </c>
      <c r="I292" s="21" t="s">
        <v>17</v>
      </c>
      <c r="J292" s="21" t="s">
        <v>17</v>
      </c>
      <c r="K292" s="21">
        <v>35</v>
      </c>
      <c r="L292" s="21" t="s">
        <v>730</v>
      </c>
      <c r="M292" s="21" t="s">
        <v>758</v>
      </c>
      <c r="N292" s="21" t="s">
        <v>748</v>
      </c>
      <c r="O292" s="21" t="s">
        <v>754</v>
      </c>
      <c r="P292" s="21" t="s">
        <v>17</v>
      </c>
      <c r="Q292" s="21" t="s">
        <v>17</v>
      </c>
      <c r="R292" s="21" t="s">
        <v>17</v>
      </c>
      <c r="S292" s="21" t="s">
        <v>17</v>
      </c>
      <c r="T292" s="21" t="s">
        <v>17</v>
      </c>
      <c r="U292" s="21" t="s">
        <v>17</v>
      </c>
      <c r="V292" s="21" t="s">
        <v>17</v>
      </c>
      <c r="W292" s="21" t="s">
        <v>17</v>
      </c>
      <c r="X292" s="21" t="s">
        <v>17</v>
      </c>
      <c r="Y292" s="21" t="s">
        <v>17</v>
      </c>
      <c r="Z292" s="21" t="s">
        <v>1610</v>
      </c>
      <c r="AA292" s="21" t="s">
        <v>543</v>
      </c>
      <c r="AB292" s="21" t="s">
        <v>796</v>
      </c>
      <c r="AC292" s="21" t="s">
        <v>1611</v>
      </c>
      <c r="AD292" s="21" t="s">
        <v>1612</v>
      </c>
    </row>
    <row r="293" spans="1:30">
      <c r="A293" s="21">
        <v>210934</v>
      </c>
      <c r="B293" s="21" t="s">
        <v>726</v>
      </c>
      <c r="C293" s="21" t="s">
        <v>27</v>
      </c>
      <c r="D293" s="21" t="s">
        <v>727</v>
      </c>
      <c r="E293" s="21" t="s">
        <v>747</v>
      </c>
      <c r="F293" s="21" t="s">
        <v>727</v>
      </c>
      <c r="G293" s="21" t="s">
        <v>747</v>
      </c>
      <c r="H293" s="21" t="s">
        <v>17</v>
      </c>
      <c r="I293" s="21" t="s">
        <v>17</v>
      </c>
      <c r="J293" s="21" t="s">
        <v>17</v>
      </c>
      <c r="K293" s="21">
        <v>30</v>
      </c>
      <c r="L293" s="21" t="s">
        <v>730</v>
      </c>
      <c r="M293" s="21" t="s">
        <v>730</v>
      </c>
      <c r="N293" s="21" t="s">
        <v>965</v>
      </c>
      <c r="O293" s="21" t="s">
        <v>754</v>
      </c>
      <c r="P293" s="21" t="s">
        <v>17</v>
      </c>
      <c r="Q293" s="21" t="s">
        <v>17</v>
      </c>
      <c r="R293" s="21" t="s">
        <v>17</v>
      </c>
      <c r="S293" s="21" t="s">
        <v>17</v>
      </c>
      <c r="T293" s="21" t="s">
        <v>17</v>
      </c>
      <c r="U293" s="21" t="s">
        <v>17</v>
      </c>
      <c r="V293" s="21" t="s">
        <v>17</v>
      </c>
      <c r="W293" s="21" t="s">
        <v>17</v>
      </c>
      <c r="X293" s="21" t="s">
        <v>17</v>
      </c>
      <c r="Y293" s="21" t="s">
        <v>17</v>
      </c>
      <c r="Z293" s="21" t="s">
        <v>1613</v>
      </c>
      <c r="AA293" s="21" t="s">
        <v>545</v>
      </c>
      <c r="AB293" s="21" t="s">
        <v>740</v>
      </c>
      <c r="AC293" s="21" t="s">
        <v>1614</v>
      </c>
      <c r="AD293" s="21" t="s">
        <v>1615</v>
      </c>
    </row>
    <row r="294" spans="1:30">
      <c r="A294" s="21">
        <v>210932</v>
      </c>
      <c r="B294" s="21" t="s">
        <v>726</v>
      </c>
      <c r="C294" s="21" t="s">
        <v>27</v>
      </c>
      <c r="D294" s="21" t="s">
        <v>727</v>
      </c>
      <c r="E294" s="21" t="s">
        <v>727</v>
      </c>
      <c r="F294" s="21" t="s">
        <v>727</v>
      </c>
      <c r="G294" s="21" t="s">
        <v>747</v>
      </c>
      <c r="H294" s="21" t="s">
        <v>17</v>
      </c>
      <c r="I294" s="21" t="s">
        <v>17</v>
      </c>
      <c r="J294" s="21" t="s">
        <v>17</v>
      </c>
      <c r="K294" s="21">
        <v>35</v>
      </c>
      <c r="L294" s="21" t="s">
        <v>730</v>
      </c>
      <c r="M294" s="21" t="s">
        <v>758</v>
      </c>
      <c r="N294" s="21" t="s">
        <v>748</v>
      </c>
      <c r="O294" s="21" t="s">
        <v>754</v>
      </c>
      <c r="P294" s="21" t="s">
        <v>17</v>
      </c>
      <c r="Q294" s="21" t="s">
        <v>17</v>
      </c>
      <c r="R294" s="21" t="s">
        <v>17</v>
      </c>
      <c r="S294" s="21" t="s">
        <v>17</v>
      </c>
      <c r="T294" s="21" t="s">
        <v>17</v>
      </c>
      <c r="U294" s="21" t="s">
        <v>17</v>
      </c>
      <c r="V294" s="21" t="s">
        <v>17</v>
      </c>
      <c r="W294" s="21" t="s">
        <v>17</v>
      </c>
      <c r="X294" s="21" t="s">
        <v>17</v>
      </c>
      <c r="Y294" s="21" t="s">
        <v>17</v>
      </c>
      <c r="Z294" s="21" t="s">
        <v>1616</v>
      </c>
      <c r="AA294" s="21" t="s">
        <v>547</v>
      </c>
      <c r="AB294" s="21" t="s">
        <v>811</v>
      </c>
      <c r="AC294" s="21" t="s">
        <v>1617</v>
      </c>
      <c r="AD294" s="21" t="s">
        <v>1618</v>
      </c>
    </row>
    <row r="295" spans="1:30">
      <c r="A295" s="21">
        <v>210929</v>
      </c>
      <c r="B295" s="21" t="s">
        <v>726</v>
      </c>
      <c r="C295" s="21" t="s">
        <v>27</v>
      </c>
      <c r="D295" s="21" t="s">
        <v>727</v>
      </c>
      <c r="E295" s="21" t="s">
        <v>727</v>
      </c>
      <c r="F295" s="21" t="s">
        <v>727</v>
      </c>
      <c r="G295" s="21" t="s">
        <v>747</v>
      </c>
      <c r="H295" s="21" t="s">
        <v>17</v>
      </c>
      <c r="I295" s="21" t="s">
        <v>17</v>
      </c>
      <c r="J295" s="21" t="s">
        <v>17</v>
      </c>
      <c r="K295" s="21">
        <v>35</v>
      </c>
      <c r="L295" s="21" t="s">
        <v>730</v>
      </c>
      <c r="M295" s="21" t="s">
        <v>758</v>
      </c>
      <c r="N295" s="21" t="s">
        <v>748</v>
      </c>
      <c r="O295" s="21" t="s">
        <v>754</v>
      </c>
      <c r="P295" s="21" t="s">
        <v>17</v>
      </c>
      <c r="Q295" s="21" t="s">
        <v>17</v>
      </c>
      <c r="R295" s="21" t="s">
        <v>17</v>
      </c>
      <c r="S295" s="21" t="s">
        <v>17</v>
      </c>
      <c r="T295" s="21" t="s">
        <v>17</v>
      </c>
      <c r="U295" s="21" t="s">
        <v>17</v>
      </c>
      <c r="V295" s="21" t="s">
        <v>17</v>
      </c>
      <c r="W295" s="21" t="s">
        <v>17</v>
      </c>
      <c r="X295" s="21" t="s">
        <v>17</v>
      </c>
      <c r="Y295" s="21" t="s">
        <v>17</v>
      </c>
      <c r="Z295" s="21" t="s">
        <v>1619</v>
      </c>
      <c r="AA295" s="21" t="s">
        <v>549</v>
      </c>
      <c r="AB295" s="21" t="s">
        <v>796</v>
      </c>
      <c r="AC295" s="21" t="s">
        <v>1620</v>
      </c>
      <c r="AD295" s="21" t="s">
        <v>1621</v>
      </c>
    </row>
    <row r="296" spans="1:30">
      <c r="A296" s="21">
        <v>210928</v>
      </c>
      <c r="B296" s="21" t="s">
        <v>726</v>
      </c>
      <c r="C296" s="21" t="s">
        <v>27</v>
      </c>
      <c r="D296" s="21" t="s">
        <v>727</v>
      </c>
      <c r="E296" s="21" t="s">
        <v>727</v>
      </c>
      <c r="F296" s="21" t="s">
        <v>727</v>
      </c>
      <c r="G296" s="21" t="s">
        <v>747</v>
      </c>
      <c r="H296" s="21" t="s">
        <v>17</v>
      </c>
      <c r="I296" s="21" t="s">
        <v>17</v>
      </c>
      <c r="J296" s="21" t="s">
        <v>17</v>
      </c>
      <c r="K296" s="21">
        <v>35</v>
      </c>
      <c r="L296" s="21" t="s">
        <v>730</v>
      </c>
      <c r="M296" s="21" t="s">
        <v>758</v>
      </c>
      <c r="N296" s="21" t="s">
        <v>748</v>
      </c>
      <c r="O296" s="21" t="s">
        <v>754</v>
      </c>
      <c r="P296" s="21" t="s">
        <v>17</v>
      </c>
      <c r="Q296" s="21" t="s">
        <v>17</v>
      </c>
      <c r="R296" s="21" t="s">
        <v>17</v>
      </c>
      <c r="S296" s="21" t="s">
        <v>17</v>
      </c>
      <c r="T296" s="21" t="s">
        <v>17</v>
      </c>
      <c r="U296" s="21" t="s">
        <v>17</v>
      </c>
      <c r="V296" s="21" t="s">
        <v>17</v>
      </c>
      <c r="W296" s="21" t="s">
        <v>17</v>
      </c>
      <c r="X296" s="21" t="s">
        <v>17</v>
      </c>
      <c r="Y296" s="21" t="s">
        <v>17</v>
      </c>
      <c r="Z296" s="21" t="s">
        <v>1622</v>
      </c>
      <c r="AA296" s="21" t="s">
        <v>551</v>
      </c>
      <c r="AB296" s="21" t="s">
        <v>1623</v>
      </c>
      <c r="AC296" s="21" t="s">
        <v>1624</v>
      </c>
      <c r="AD296" s="21" t="s">
        <v>1625</v>
      </c>
    </row>
    <row r="297" spans="1:30">
      <c r="A297" s="21">
        <v>210924</v>
      </c>
      <c r="B297" s="21" t="s">
        <v>726</v>
      </c>
      <c r="C297" s="21" t="s">
        <v>27</v>
      </c>
      <c r="D297" s="21" t="s">
        <v>752</v>
      </c>
      <c r="E297" s="21" t="s">
        <v>727</v>
      </c>
      <c r="F297" s="21" t="s">
        <v>727</v>
      </c>
      <c r="G297" s="21" t="s">
        <v>747</v>
      </c>
      <c r="H297" s="21" t="s">
        <v>17</v>
      </c>
      <c r="I297" s="21" t="s">
        <v>17</v>
      </c>
      <c r="J297" s="21" t="s">
        <v>17</v>
      </c>
      <c r="K297" s="21">
        <v>15</v>
      </c>
      <c r="L297" s="21" t="s">
        <v>956</v>
      </c>
      <c r="M297" s="21" t="s">
        <v>758</v>
      </c>
      <c r="N297" s="21" t="s">
        <v>748</v>
      </c>
      <c r="O297" s="21" t="s">
        <v>754</v>
      </c>
      <c r="P297" s="21" t="s">
        <v>17</v>
      </c>
      <c r="Q297" s="21" t="s">
        <v>17</v>
      </c>
      <c r="R297" s="21" t="s">
        <v>17</v>
      </c>
      <c r="S297" s="21" t="s">
        <v>554</v>
      </c>
      <c r="T297" s="21" t="s">
        <v>17</v>
      </c>
      <c r="U297" s="21" t="s">
        <v>17</v>
      </c>
      <c r="V297" s="21" t="s">
        <v>17</v>
      </c>
      <c r="W297" s="21" t="s">
        <v>17</v>
      </c>
      <c r="X297" s="21" t="s">
        <v>17</v>
      </c>
      <c r="Y297" s="21" t="s">
        <v>17</v>
      </c>
      <c r="Z297" s="21" t="s">
        <v>1626</v>
      </c>
      <c r="AA297" s="21" t="s">
        <v>553</v>
      </c>
      <c r="AB297" s="21" t="s">
        <v>740</v>
      </c>
      <c r="AC297" s="21" t="s">
        <v>1627</v>
      </c>
      <c r="AD297" s="21" t="s">
        <v>1628</v>
      </c>
    </row>
    <row r="298" spans="1:30">
      <c r="A298" s="21">
        <v>210923</v>
      </c>
      <c r="B298" s="21" t="s">
        <v>726</v>
      </c>
      <c r="C298" s="21" t="s">
        <v>27</v>
      </c>
      <c r="D298" s="21" t="s">
        <v>727</v>
      </c>
      <c r="E298" s="21" t="s">
        <v>727</v>
      </c>
      <c r="F298" s="21" t="s">
        <v>727</v>
      </c>
      <c r="G298" s="21" t="s">
        <v>747</v>
      </c>
      <c r="H298" s="21" t="s">
        <v>17</v>
      </c>
      <c r="I298" s="21" t="s">
        <v>17</v>
      </c>
      <c r="J298" s="21" t="s">
        <v>17</v>
      </c>
      <c r="K298" s="21">
        <v>35</v>
      </c>
      <c r="L298" s="21" t="s">
        <v>730</v>
      </c>
      <c r="M298" s="21" t="s">
        <v>758</v>
      </c>
      <c r="N298" s="21" t="s">
        <v>748</v>
      </c>
      <c r="O298" s="21" t="s">
        <v>754</v>
      </c>
      <c r="P298" s="21" t="s">
        <v>17</v>
      </c>
      <c r="Q298" s="21" t="s">
        <v>17</v>
      </c>
      <c r="R298" s="21" t="s">
        <v>17</v>
      </c>
      <c r="S298" s="21" t="s">
        <v>17</v>
      </c>
      <c r="T298" s="21" t="s">
        <v>17</v>
      </c>
      <c r="U298" s="21" t="s">
        <v>17</v>
      </c>
      <c r="V298" s="21" t="s">
        <v>17</v>
      </c>
      <c r="W298" s="21" t="s">
        <v>17</v>
      </c>
      <c r="X298" s="21" t="s">
        <v>17</v>
      </c>
      <c r="Y298" s="21" t="s">
        <v>17</v>
      </c>
      <c r="Z298" s="21" t="s">
        <v>1629</v>
      </c>
      <c r="AA298" s="21" t="s">
        <v>556</v>
      </c>
      <c r="AB298" s="21" t="s">
        <v>740</v>
      </c>
      <c r="AC298" s="21" t="s">
        <v>1630</v>
      </c>
      <c r="AD298" s="21" t="s">
        <v>1631</v>
      </c>
    </row>
    <row r="299" spans="1:30">
      <c r="A299" s="21">
        <v>210922</v>
      </c>
      <c r="B299" s="21" t="s">
        <v>726</v>
      </c>
      <c r="C299" s="21" t="s">
        <v>27</v>
      </c>
      <c r="D299" s="21" t="s">
        <v>727</v>
      </c>
      <c r="E299" s="21" t="s">
        <v>727</v>
      </c>
      <c r="F299" s="21" t="s">
        <v>727</v>
      </c>
      <c r="G299" s="21" t="s">
        <v>747</v>
      </c>
      <c r="H299" s="21" t="s">
        <v>17</v>
      </c>
      <c r="I299" s="21" t="s">
        <v>17</v>
      </c>
      <c r="J299" s="21" t="s">
        <v>17</v>
      </c>
      <c r="K299" s="21">
        <v>35</v>
      </c>
      <c r="L299" s="21" t="s">
        <v>730</v>
      </c>
      <c r="M299" s="21" t="s">
        <v>758</v>
      </c>
      <c r="N299" s="21" t="s">
        <v>748</v>
      </c>
      <c r="O299" s="21" t="s">
        <v>754</v>
      </c>
      <c r="P299" s="21" t="s">
        <v>17</v>
      </c>
      <c r="Q299" s="21" t="s">
        <v>17</v>
      </c>
      <c r="R299" s="21" t="s">
        <v>17</v>
      </c>
      <c r="S299" s="21" t="s">
        <v>17</v>
      </c>
      <c r="T299" s="21" t="s">
        <v>17</v>
      </c>
      <c r="U299" s="21" t="s">
        <v>17</v>
      </c>
      <c r="V299" s="21" t="s">
        <v>17</v>
      </c>
      <c r="W299" s="21" t="s">
        <v>17</v>
      </c>
      <c r="X299" s="21" t="s">
        <v>17</v>
      </c>
      <c r="Y299" s="21" t="s">
        <v>17</v>
      </c>
      <c r="Z299" s="21" t="s">
        <v>1629</v>
      </c>
      <c r="AA299" s="21" t="s">
        <v>558</v>
      </c>
      <c r="AB299" s="21" t="s">
        <v>1193</v>
      </c>
      <c r="AC299" s="21" t="s">
        <v>1632</v>
      </c>
      <c r="AD299" s="21" t="s">
        <v>1633</v>
      </c>
    </row>
    <row r="300" spans="1:30">
      <c r="A300" s="21">
        <v>210921</v>
      </c>
      <c r="B300" s="21" t="s">
        <v>726</v>
      </c>
      <c r="C300" s="21" t="s">
        <v>27</v>
      </c>
      <c r="D300" s="21" t="s">
        <v>727</v>
      </c>
      <c r="E300" s="21" t="s">
        <v>747</v>
      </c>
      <c r="F300" s="21" t="s">
        <v>727</v>
      </c>
      <c r="G300" s="21" t="s">
        <v>747</v>
      </c>
      <c r="H300" s="21" t="s">
        <v>17</v>
      </c>
      <c r="I300" s="21" t="s">
        <v>17</v>
      </c>
      <c r="J300" s="21" t="s">
        <v>17</v>
      </c>
      <c r="K300" s="21">
        <v>30</v>
      </c>
      <c r="L300" s="21" t="s">
        <v>730</v>
      </c>
      <c r="M300" s="21" t="s">
        <v>730</v>
      </c>
      <c r="N300" s="21" t="s">
        <v>748</v>
      </c>
      <c r="O300" s="21" t="s">
        <v>754</v>
      </c>
      <c r="P300" s="21" t="s">
        <v>17</v>
      </c>
      <c r="Q300" s="21" t="s">
        <v>17</v>
      </c>
      <c r="R300" s="21" t="s">
        <v>17</v>
      </c>
      <c r="S300" s="21" t="s">
        <v>17</v>
      </c>
      <c r="T300" s="21" t="s">
        <v>17</v>
      </c>
      <c r="U300" s="21" t="s">
        <v>17</v>
      </c>
      <c r="V300" s="21" t="s">
        <v>17</v>
      </c>
      <c r="W300" s="21" t="s">
        <v>17</v>
      </c>
      <c r="X300" s="21" t="s">
        <v>17</v>
      </c>
      <c r="Y300" s="21" t="s">
        <v>17</v>
      </c>
      <c r="Z300" s="21" t="s">
        <v>1634</v>
      </c>
      <c r="AA300" s="21" t="s">
        <v>559</v>
      </c>
      <c r="AB300" s="21" t="s">
        <v>740</v>
      </c>
      <c r="AC300" s="21" t="s">
        <v>1635</v>
      </c>
      <c r="AD300" s="21" t="s">
        <v>1636</v>
      </c>
    </row>
    <row r="301" spans="1:30">
      <c r="A301" s="21">
        <v>210920</v>
      </c>
      <c r="B301" s="21" t="s">
        <v>726</v>
      </c>
      <c r="C301" s="21" t="s">
        <v>27</v>
      </c>
      <c r="D301" s="21" t="s">
        <v>727</v>
      </c>
      <c r="E301" s="21" t="s">
        <v>727</v>
      </c>
      <c r="F301" s="21" t="s">
        <v>727</v>
      </c>
      <c r="G301" s="21" t="s">
        <v>747</v>
      </c>
      <c r="H301" s="21" t="s">
        <v>17</v>
      </c>
      <c r="I301" s="21" t="s">
        <v>17</v>
      </c>
      <c r="J301" s="21" t="s">
        <v>17</v>
      </c>
      <c r="K301" s="21">
        <v>35</v>
      </c>
      <c r="L301" s="21" t="s">
        <v>730</v>
      </c>
      <c r="M301" s="21" t="s">
        <v>758</v>
      </c>
      <c r="N301" s="21" t="s">
        <v>748</v>
      </c>
      <c r="O301" s="21" t="s">
        <v>754</v>
      </c>
      <c r="P301" s="21" t="s">
        <v>17</v>
      </c>
      <c r="Q301" s="21" t="s">
        <v>17</v>
      </c>
      <c r="R301" s="21" t="s">
        <v>17</v>
      </c>
      <c r="S301" s="21" t="s">
        <v>17</v>
      </c>
      <c r="T301" s="21" t="s">
        <v>17</v>
      </c>
      <c r="U301" s="21" t="s">
        <v>17</v>
      </c>
      <c r="V301" s="21" t="s">
        <v>17</v>
      </c>
      <c r="W301" s="21" t="s">
        <v>17</v>
      </c>
      <c r="X301" s="21" t="s">
        <v>17</v>
      </c>
      <c r="Y301" s="21" t="s">
        <v>17</v>
      </c>
      <c r="Z301" s="21" t="s">
        <v>1637</v>
      </c>
      <c r="AA301" s="21" t="s">
        <v>561</v>
      </c>
      <c r="AB301" s="21" t="s">
        <v>740</v>
      </c>
      <c r="AC301" s="21" t="s">
        <v>1638</v>
      </c>
      <c r="AD301" s="21" t="s">
        <v>1639</v>
      </c>
    </row>
    <row r="302" spans="1:30">
      <c r="A302" s="21">
        <v>210919</v>
      </c>
      <c r="B302" s="21" t="s">
        <v>726</v>
      </c>
      <c r="C302" s="21" t="s">
        <v>27</v>
      </c>
      <c r="D302" s="21" t="s">
        <v>752</v>
      </c>
      <c r="E302" s="21" t="s">
        <v>727</v>
      </c>
      <c r="F302" s="21" t="s">
        <v>727</v>
      </c>
      <c r="G302" s="21" t="s">
        <v>747</v>
      </c>
      <c r="H302" s="21" t="s">
        <v>17</v>
      </c>
      <c r="I302" s="21" t="s">
        <v>17</v>
      </c>
      <c r="J302" s="21" t="s">
        <v>17</v>
      </c>
      <c r="K302" s="21">
        <v>15</v>
      </c>
      <c r="L302" s="21" t="s">
        <v>753</v>
      </c>
      <c r="M302" s="21" t="s">
        <v>758</v>
      </c>
      <c r="N302" s="21" t="s">
        <v>748</v>
      </c>
      <c r="O302" s="21" t="s">
        <v>754</v>
      </c>
      <c r="P302" s="21" t="s">
        <v>17</v>
      </c>
      <c r="Q302" s="21" t="s">
        <v>17</v>
      </c>
      <c r="R302" s="21" t="s">
        <v>17</v>
      </c>
      <c r="S302" s="21" t="s">
        <v>17</v>
      </c>
      <c r="T302" s="21" t="s">
        <v>17</v>
      </c>
      <c r="U302" s="21" t="s">
        <v>17</v>
      </c>
      <c r="V302" s="21" t="s">
        <v>17</v>
      </c>
      <c r="W302" s="21" t="s">
        <v>17</v>
      </c>
      <c r="X302" s="21" t="s">
        <v>17</v>
      </c>
      <c r="Y302" s="21" t="s">
        <v>17</v>
      </c>
      <c r="Z302" s="21" t="s">
        <v>1640</v>
      </c>
      <c r="AA302" s="21" t="s">
        <v>563</v>
      </c>
      <c r="AB302" s="21" t="s">
        <v>1641</v>
      </c>
      <c r="AC302" s="21" t="s">
        <v>1642</v>
      </c>
      <c r="AD302" s="21" t="s">
        <v>1643</v>
      </c>
    </row>
    <row r="303" spans="1:30">
      <c r="A303" s="21">
        <v>210916</v>
      </c>
      <c r="B303" s="21" t="s">
        <v>726</v>
      </c>
      <c r="C303" s="21" t="s">
        <v>27</v>
      </c>
      <c r="D303" s="21" t="s">
        <v>727</v>
      </c>
      <c r="E303" s="21" t="s">
        <v>747</v>
      </c>
      <c r="F303" s="21" t="s">
        <v>727</v>
      </c>
      <c r="G303" s="21" t="s">
        <v>747</v>
      </c>
      <c r="H303" s="21" t="s">
        <v>17</v>
      </c>
      <c r="I303" s="21" t="s">
        <v>17</v>
      </c>
      <c r="J303" s="21" t="s">
        <v>17</v>
      </c>
      <c r="K303" s="21">
        <v>30</v>
      </c>
      <c r="L303" s="21" t="s">
        <v>730</v>
      </c>
      <c r="M303" s="21" t="s">
        <v>730</v>
      </c>
      <c r="N303" s="21" t="s">
        <v>748</v>
      </c>
      <c r="O303" s="21" t="s">
        <v>754</v>
      </c>
      <c r="P303" s="21" t="s">
        <v>17</v>
      </c>
      <c r="Q303" s="21" t="s">
        <v>17</v>
      </c>
      <c r="R303" s="21" t="s">
        <v>17</v>
      </c>
      <c r="S303" s="21" t="s">
        <v>17</v>
      </c>
      <c r="T303" s="21" t="s">
        <v>17</v>
      </c>
      <c r="U303" s="21" t="s">
        <v>17</v>
      </c>
      <c r="V303" s="21" t="s">
        <v>17</v>
      </c>
      <c r="W303" s="21" t="s">
        <v>17</v>
      </c>
      <c r="X303" s="21" t="s">
        <v>17</v>
      </c>
      <c r="Y303" s="21" t="s">
        <v>17</v>
      </c>
      <c r="Z303" s="21" t="s">
        <v>1644</v>
      </c>
      <c r="AA303" s="21" t="s">
        <v>565</v>
      </c>
      <c r="AB303" s="21" t="s">
        <v>1645</v>
      </c>
      <c r="AC303" s="21" t="s">
        <v>1646</v>
      </c>
      <c r="AD303" s="21" t="s">
        <v>1647</v>
      </c>
    </row>
    <row r="304" spans="1:30">
      <c r="A304" s="21">
        <v>210913</v>
      </c>
      <c r="B304" s="21" t="s">
        <v>726</v>
      </c>
      <c r="C304" s="21" t="s">
        <v>27</v>
      </c>
      <c r="D304" s="21" t="s">
        <v>727</v>
      </c>
      <c r="E304" s="21" t="s">
        <v>727</v>
      </c>
      <c r="F304" s="21" t="s">
        <v>727</v>
      </c>
      <c r="G304" s="21" t="s">
        <v>747</v>
      </c>
      <c r="H304" s="21" t="s">
        <v>17</v>
      </c>
      <c r="I304" s="21" t="s">
        <v>17</v>
      </c>
      <c r="J304" s="21" t="s">
        <v>17</v>
      </c>
      <c r="K304" s="21">
        <v>35</v>
      </c>
      <c r="L304" s="21" t="s">
        <v>730</v>
      </c>
      <c r="M304" s="21" t="s">
        <v>758</v>
      </c>
      <c r="N304" s="21" t="s">
        <v>748</v>
      </c>
      <c r="O304" s="21" t="s">
        <v>754</v>
      </c>
      <c r="P304" s="21" t="s">
        <v>17</v>
      </c>
      <c r="Q304" s="21" t="s">
        <v>17</v>
      </c>
      <c r="R304" s="21" t="s">
        <v>17</v>
      </c>
      <c r="S304" s="21" t="s">
        <v>17</v>
      </c>
      <c r="T304" s="21" t="s">
        <v>17</v>
      </c>
      <c r="U304" s="21" t="s">
        <v>17</v>
      </c>
      <c r="V304" s="21" t="s">
        <v>17</v>
      </c>
      <c r="W304" s="21" t="s">
        <v>17</v>
      </c>
      <c r="X304" s="21" t="s">
        <v>17</v>
      </c>
      <c r="Y304" s="21" t="s">
        <v>17</v>
      </c>
      <c r="Z304" s="21" t="s">
        <v>1648</v>
      </c>
      <c r="AA304" s="21" t="s">
        <v>567</v>
      </c>
      <c r="AB304" s="21" t="s">
        <v>1649</v>
      </c>
      <c r="AC304" s="21" t="s">
        <v>1650</v>
      </c>
      <c r="AD304" s="21" t="s">
        <v>1651</v>
      </c>
    </row>
    <row r="305" spans="1:30">
      <c r="A305" s="21">
        <v>210909</v>
      </c>
      <c r="B305" s="21" t="s">
        <v>726</v>
      </c>
      <c r="C305" s="21" t="s">
        <v>27</v>
      </c>
      <c r="D305" s="21" t="s">
        <v>727</v>
      </c>
      <c r="E305" s="21" t="s">
        <v>747</v>
      </c>
      <c r="F305" s="21" t="s">
        <v>727</v>
      </c>
      <c r="G305" s="21" t="s">
        <v>780</v>
      </c>
      <c r="H305" s="21" t="s">
        <v>17</v>
      </c>
      <c r="I305" s="21" t="s">
        <v>17</v>
      </c>
      <c r="J305" s="21" t="s">
        <v>17</v>
      </c>
      <c r="K305" s="21">
        <v>20</v>
      </c>
      <c r="L305" s="21" t="s">
        <v>730</v>
      </c>
      <c r="M305" s="21" t="s">
        <v>730</v>
      </c>
      <c r="N305" s="21" t="s">
        <v>748</v>
      </c>
      <c r="O305" s="21" t="s">
        <v>781</v>
      </c>
      <c r="P305" s="21" t="s">
        <v>17</v>
      </c>
      <c r="Q305" s="21" t="s">
        <v>17</v>
      </c>
      <c r="R305" s="21" t="s">
        <v>17</v>
      </c>
      <c r="S305" s="21" t="s">
        <v>17</v>
      </c>
      <c r="T305" s="21" t="s">
        <v>17</v>
      </c>
      <c r="U305" s="21" t="s">
        <v>17</v>
      </c>
      <c r="V305" s="21" t="s">
        <v>17</v>
      </c>
      <c r="W305" s="21" t="s">
        <v>17</v>
      </c>
      <c r="X305" s="21" t="s">
        <v>17</v>
      </c>
      <c r="Y305" s="21" t="s">
        <v>17</v>
      </c>
      <c r="Z305" s="21" t="s">
        <v>1652</v>
      </c>
      <c r="AA305" s="21" t="s">
        <v>569</v>
      </c>
      <c r="AB305" s="21" t="s">
        <v>740</v>
      </c>
      <c r="AC305" s="21" t="s">
        <v>1653</v>
      </c>
      <c r="AD305" s="21" t="s">
        <v>1654</v>
      </c>
    </row>
    <row r="306" spans="1:30">
      <c r="A306" s="21">
        <v>210908</v>
      </c>
      <c r="B306" s="21" t="s">
        <v>726</v>
      </c>
      <c r="C306" s="21" t="s">
        <v>27</v>
      </c>
      <c r="D306" s="21" t="s">
        <v>752</v>
      </c>
      <c r="E306" s="21" t="s">
        <v>747</v>
      </c>
      <c r="F306" s="21" t="s">
        <v>727</v>
      </c>
      <c r="G306" s="21" t="s">
        <v>747</v>
      </c>
      <c r="H306" s="21" t="s">
        <v>17</v>
      </c>
      <c r="I306" s="21" t="s">
        <v>17</v>
      </c>
      <c r="J306" s="21" t="s">
        <v>17</v>
      </c>
      <c r="K306" s="21">
        <v>10</v>
      </c>
      <c r="L306" s="21" t="s">
        <v>956</v>
      </c>
      <c r="M306" s="21" t="s">
        <v>730</v>
      </c>
      <c r="N306" s="21" t="s">
        <v>748</v>
      </c>
      <c r="O306" s="21" t="s">
        <v>754</v>
      </c>
      <c r="P306" s="21" t="s">
        <v>17</v>
      </c>
      <c r="Q306" s="21" t="s">
        <v>17</v>
      </c>
      <c r="R306" s="21" t="s">
        <v>17</v>
      </c>
      <c r="S306" s="21" t="s">
        <v>572</v>
      </c>
      <c r="T306" s="21" t="s">
        <v>17</v>
      </c>
      <c r="U306" s="21" t="s">
        <v>17</v>
      </c>
      <c r="V306" s="21" t="s">
        <v>17</v>
      </c>
      <c r="W306" s="21" t="s">
        <v>17</v>
      </c>
      <c r="X306" s="21" t="s">
        <v>17</v>
      </c>
      <c r="Y306" s="21" t="s">
        <v>17</v>
      </c>
      <c r="Z306" s="21" t="s">
        <v>1655</v>
      </c>
      <c r="AA306" s="21" t="s">
        <v>571</v>
      </c>
      <c r="AB306" s="21" t="s">
        <v>1656</v>
      </c>
      <c r="AC306" s="21" t="s">
        <v>1657</v>
      </c>
      <c r="AD306" s="21" t="s">
        <v>1658</v>
      </c>
    </row>
    <row r="307" spans="1:30">
      <c r="A307" s="21">
        <v>210906</v>
      </c>
      <c r="B307" s="21" t="s">
        <v>726</v>
      </c>
      <c r="C307" s="21" t="s">
        <v>27</v>
      </c>
      <c r="D307" s="21" t="s">
        <v>727</v>
      </c>
      <c r="E307" s="21" t="s">
        <v>747</v>
      </c>
      <c r="F307" s="21" t="s">
        <v>727</v>
      </c>
      <c r="G307" s="21" t="s">
        <v>747</v>
      </c>
      <c r="H307" s="21" t="s">
        <v>17</v>
      </c>
      <c r="I307" s="21" t="s">
        <v>17</v>
      </c>
      <c r="J307" s="21" t="s">
        <v>17</v>
      </c>
      <c r="K307" s="21">
        <v>30</v>
      </c>
      <c r="L307" s="21" t="s">
        <v>730</v>
      </c>
      <c r="M307" s="21" t="s">
        <v>730</v>
      </c>
      <c r="N307" s="21" t="s">
        <v>748</v>
      </c>
      <c r="O307" s="21" t="s">
        <v>754</v>
      </c>
      <c r="P307" s="21" t="s">
        <v>17</v>
      </c>
      <c r="Q307" s="21" t="s">
        <v>17</v>
      </c>
      <c r="R307" s="21" t="s">
        <v>17</v>
      </c>
      <c r="S307" s="21" t="s">
        <v>17</v>
      </c>
      <c r="T307" s="21" t="s">
        <v>17</v>
      </c>
      <c r="U307" s="21" t="s">
        <v>17</v>
      </c>
      <c r="V307" s="21" t="s">
        <v>17</v>
      </c>
      <c r="W307" s="21" t="s">
        <v>17</v>
      </c>
      <c r="X307" s="21" t="s">
        <v>17</v>
      </c>
      <c r="Y307" s="21" t="s">
        <v>17</v>
      </c>
      <c r="Z307" s="21" t="s">
        <v>1659</v>
      </c>
      <c r="AA307" s="21" t="s">
        <v>574</v>
      </c>
      <c r="AB307" s="21" t="s">
        <v>970</v>
      </c>
      <c r="AC307" s="21" t="s">
        <v>1660</v>
      </c>
      <c r="AD307" s="21" t="s">
        <v>1661</v>
      </c>
    </row>
    <row r="308" spans="1:30">
      <c r="A308" s="21">
        <v>210905</v>
      </c>
      <c r="B308" s="21" t="s">
        <v>726</v>
      </c>
      <c r="C308" s="21" t="s">
        <v>27</v>
      </c>
      <c r="D308" s="21" t="s">
        <v>727</v>
      </c>
      <c r="E308" s="21" t="s">
        <v>727</v>
      </c>
      <c r="F308" s="21" t="s">
        <v>727</v>
      </c>
      <c r="G308" s="21" t="s">
        <v>747</v>
      </c>
      <c r="H308" s="21" t="s">
        <v>17</v>
      </c>
      <c r="I308" s="21" t="s">
        <v>17</v>
      </c>
      <c r="J308" s="21" t="s">
        <v>17</v>
      </c>
      <c r="K308" s="21">
        <v>35</v>
      </c>
      <c r="L308" s="21" t="s">
        <v>730</v>
      </c>
      <c r="M308" s="21" t="s">
        <v>758</v>
      </c>
      <c r="N308" s="21" t="s">
        <v>748</v>
      </c>
      <c r="O308" s="21" t="s">
        <v>754</v>
      </c>
      <c r="P308" s="21" t="s">
        <v>17</v>
      </c>
      <c r="Q308" s="21" t="s">
        <v>17</v>
      </c>
      <c r="R308" s="21" t="s">
        <v>17</v>
      </c>
      <c r="S308" s="21" t="s">
        <v>17</v>
      </c>
      <c r="T308" s="21" t="s">
        <v>17</v>
      </c>
      <c r="U308" s="21" t="s">
        <v>17</v>
      </c>
      <c r="V308" s="21" t="s">
        <v>17</v>
      </c>
      <c r="W308" s="21" t="s">
        <v>17</v>
      </c>
      <c r="X308" s="21" t="s">
        <v>17</v>
      </c>
      <c r="Y308" s="21" t="s">
        <v>17</v>
      </c>
      <c r="Z308" s="21" t="s">
        <v>1662</v>
      </c>
      <c r="AA308" s="21" t="s">
        <v>576</v>
      </c>
      <c r="AB308" s="21" t="s">
        <v>774</v>
      </c>
      <c r="AC308" s="21" t="s">
        <v>1663</v>
      </c>
      <c r="AD308" s="21" t="s">
        <v>1664</v>
      </c>
    </row>
    <row r="309" spans="1:30">
      <c r="A309" s="21">
        <v>210904</v>
      </c>
      <c r="B309" s="21" t="s">
        <v>726</v>
      </c>
      <c r="C309" s="21" t="s">
        <v>27</v>
      </c>
      <c r="D309" s="21" t="s">
        <v>727</v>
      </c>
      <c r="E309" s="21" t="s">
        <v>727</v>
      </c>
      <c r="F309" s="21" t="s">
        <v>727</v>
      </c>
      <c r="G309" s="21" t="s">
        <v>747</v>
      </c>
      <c r="H309" s="21" t="s">
        <v>17</v>
      </c>
      <c r="I309" s="21" t="s">
        <v>17</v>
      </c>
      <c r="J309" s="21" t="s">
        <v>17</v>
      </c>
      <c r="K309" s="21">
        <v>35</v>
      </c>
      <c r="L309" s="21" t="s">
        <v>730</v>
      </c>
      <c r="M309" s="21" t="s">
        <v>758</v>
      </c>
      <c r="N309" s="21" t="s">
        <v>748</v>
      </c>
      <c r="O309" s="21" t="s">
        <v>754</v>
      </c>
      <c r="P309" s="21" t="s">
        <v>17</v>
      </c>
      <c r="Q309" s="21" t="s">
        <v>17</v>
      </c>
      <c r="R309" s="21" t="s">
        <v>17</v>
      </c>
      <c r="S309" s="21" t="s">
        <v>17</v>
      </c>
      <c r="T309" s="21" t="s">
        <v>17</v>
      </c>
      <c r="U309" s="21" t="s">
        <v>17</v>
      </c>
      <c r="V309" s="21" t="s">
        <v>17</v>
      </c>
      <c r="W309" s="21" t="s">
        <v>17</v>
      </c>
      <c r="X309" s="21" t="s">
        <v>17</v>
      </c>
      <c r="Y309" s="21" t="s">
        <v>17</v>
      </c>
      <c r="Z309" s="21" t="s">
        <v>1665</v>
      </c>
      <c r="AA309" s="21" t="s">
        <v>578</v>
      </c>
      <c r="AB309" s="21" t="s">
        <v>1666</v>
      </c>
      <c r="AC309" s="21" t="s">
        <v>1667</v>
      </c>
      <c r="AD309" s="21" t="s">
        <v>1668</v>
      </c>
    </row>
    <row r="310" spans="1:30">
      <c r="A310" s="21">
        <v>210901</v>
      </c>
      <c r="B310" s="21" t="s">
        <v>726</v>
      </c>
      <c r="C310" s="21" t="s">
        <v>27</v>
      </c>
      <c r="D310" s="21" t="s">
        <v>727</v>
      </c>
      <c r="E310" s="21" t="s">
        <v>727</v>
      </c>
      <c r="F310" s="21" t="s">
        <v>727</v>
      </c>
      <c r="G310" s="21" t="s">
        <v>747</v>
      </c>
      <c r="H310" s="21" t="s">
        <v>17</v>
      </c>
      <c r="I310" s="21" t="s">
        <v>17</v>
      </c>
      <c r="J310" s="21" t="s">
        <v>17</v>
      </c>
      <c r="K310" s="21">
        <v>35</v>
      </c>
      <c r="L310" s="21" t="s">
        <v>730</v>
      </c>
      <c r="M310" s="21" t="s">
        <v>758</v>
      </c>
      <c r="N310" s="21" t="s">
        <v>748</v>
      </c>
      <c r="O310" s="21" t="s">
        <v>754</v>
      </c>
      <c r="P310" s="21" t="s">
        <v>17</v>
      </c>
      <c r="Q310" s="21" t="s">
        <v>17</v>
      </c>
      <c r="R310" s="21" t="s">
        <v>17</v>
      </c>
      <c r="S310" s="21" t="s">
        <v>17</v>
      </c>
      <c r="T310" s="21" t="s">
        <v>17</v>
      </c>
      <c r="U310" s="21" t="s">
        <v>17</v>
      </c>
      <c r="V310" s="21" t="s">
        <v>17</v>
      </c>
      <c r="W310" s="21" t="s">
        <v>17</v>
      </c>
      <c r="X310" s="21" t="s">
        <v>17</v>
      </c>
      <c r="Y310" s="21" t="s">
        <v>17</v>
      </c>
      <c r="Z310" s="21" t="s">
        <v>1669</v>
      </c>
      <c r="AA310" s="21" t="s">
        <v>580</v>
      </c>
      <c r="AB310" s="21" t="s">
        <v>796</v>
      </c>
      <c r="AC310" s="21" t="s">
        <v>1670</v>
      </c>
      <c r="AD310" s="21" t="s">
        <v>1671</v>
      </c>
    </row>
    <row r="311" spans="1:30">
      <c r="A311" s="21">
        <v>210900</v>
      </c>
      <c r="B311" s="21" t="s">
        <v>726</v>
      </c>
      <c r="C311" s="21" t="s">
        <v>27</v>
      </c>
      <c r="D311" s="21" t="s">
        <v>727</v>
      </c>
      <c r="E311" s="21" t="s">
        <v>747</v>
      </c>
      <c r="F311" s="21" t="s">
        <v>727</v>
      </c>
      <c r="G311" s="21" t="s">
        <v>747</v>
      </c>
      <c r="H311" s="21" t="s">
        <v>17</v>
      </c>
      <c r="I311" s="21" t="s">
        <v>17</v>
      </c>
      <c r="J311" s="21" t="s">
        <v>17</v>
      </c>
      <c r="K311" s="21">
        <v>30</v>
      </c>
      <c r="L311" s="21" t="s">
        <v>730</v>
      </c>
      <c r="M311" s="21" t="s">
        <v>730</v>
      </c>
      <c r="N311" s="21" t="s">
        <v>748</v>
      </c>
      <c r="O311" s="21" t="s">
        <v>754</v>
      </c>
      <c r="P311" s="21" t="s">
        <v>17</v>
      </c>
      <c r="Q311" s="21" t="s">
        <v>17</v>
      </c>
      <c r="R311" s="21" t="s">
        <v>17</v>
      </c>
      <c r="S311" s="21" t="s">
        <v>17</v>
      </c>
      <c r="T311" s="21" t="s">
        <v>17</v>
      </c>
      <c r="U311" s="21" t="s">
        <v>17</v>
      </c>
      <c r="V311" s="21" t="s">
        <v>17</v>
      </c>
      <c r="W311" s="21" t="s">
        <v>17</v>
      </c>
      <c r="X311" s="21" t="s">
        <v>17</v>
      </c>
      <c r="Y311" s="21" t="s">
        <v>17</v>
      </c>
      <c r="Z311" s="21" t="s">
        <v>1672</v>
      </c>
      <c r="AA311" s="21" t="s">
        <v>582</v>
      </c>
      <c r="AB311" s="21" t="s">
        <v>796</v>
      </c>
      <c r="AC311" s="21" t="s">
        <v>1673</v>
      </c>
      <c r="AD311" s="21" t="s">
        <v>1674</v>
      </c>
    </row>
    <row r="312" spans="1:30">
      <c r="A312" s="21">
        <v>210899</v>
      </c>
      <c r="B312" s="21" t="s">
        <v>726</v>
      </c>
      <c r="C312" s="21" t="s">
        <v>27</v>
      </c>
      <c r="D312" s="21" t="s">
        <v>727</v>
      </c>
      <c r="E312" s="21" t="s">
        <v>727</v>
      </c>
      <c r="F312" s="21" t="s">
        <v>727</v>
      </c>
      <c r="G312" s="21" t="s">
        <v>747</v>
      </c>
      <c r="H312" s="21" t="s">
        <v>17</v>
      </c>
      <c r="I312" s="21" t="s">
        <v>17</v>
      </c>
      <c r="J312" s="21" t="s">
        <v>17</v>
      </c>
      <c r="K312" s="21">
        <v>35</v>
      </c>
      <c r="L312" s="21" t="s">
        <v>730</v>
      </c>
      <c r="M312" s="21" t="s">
        <v>758</v>
      </c>
      <c r="N312" s="21" t="s">
        <v>748</v>
      </c>
      <c r="O312" s="21" t="s">
        <v>754</v>
      </c>
      <c r="P312" s="21" t="s">
        <v>17</v>
      </c>
      <c r="Q312" s="21" t="s">
        <v>17</v>
      </c>
      <c r="R312" s="21" t="s">
        <v>17</v>
      </c>
      <c r="S312" s="21" t="s">
        <v>17</v>
      </c>
      <c r="T312" s="21" t="s">
        <v>17</v>
      </c>
      <c r="U312" s="21" t="s">
        <v>17</v>
      </c>
      <c r="V312" s="21" t="s">
        <v>17</v>
      </c>
      <c r="W312" s="21" t="s">
        <v>17</v>
      </c>
      <c r="X312" s="21" t="s">
        <v>17</v>
      </c>
      <c r="Y312" s="21" t="s">
        <v>17</v>
      </c>
      <c r="Z312" s="21" t="s">
        <v>1675</v>
      </c>
      <c r="AA312" s="21" t="s">
        <v>584</v>
      </c>
      <c r="AB312" s="21" t="s">
        <v>740</v>
      </c>
      <c r="AC312" s="21" t="s">
        <v>1676</v>
      </c>
      <c r="AD312" s="21" t="s">
        <v>1677</v>
      </c>
    </row>
    <row r="313" spans="1:30">
      <c r="A313" s="21">
        <v>210898</v>
      </c>
      <c r="B313" s="21" t="s">
        <v>726</v>
      </c>
      <c r="C313" s="21" t="s">
        <v>27</v>
      </c>
      <c r="D313" s="21" t="s">
        <v>727</v>
      </c>
      <c r="E313" s="21" t="s">
        <v>727</v>
      </c>
      <c r="F313" s="21" t="s">
        <v>727</v>
      </c>
      <c r="G313" s="21" t="s">
        <v>747</v>
      </c>
      <c r="H313" s="21" t="s">
        <v>17</v>
      </c>
      <c r="I313" s="21" t="s">
        <v>17</v>
      </c>
      <c r="J313" s="21" t="s">
        <v>17</v>
      </c>
      <c r="K313" s="21">
        <v>35</v>
      </c>
      <c r="L313" s="21" t="s">
        <v>730</v>
      </c>
      <c r="M313" s="21" t="s">
        <v>758</v>
      </c>
      <c r="N313" s="21" t="s">
        <v>748</v>
      </c>
      <c r="O313" s="21" t="s">
        <v>754</v>
      </c>
      <c r="P313" s="21" t="s">
        <v>17</v>
      </c>
      <c r="Q313" s="21" t="s">
        <v>17</v>
      </c>
      <c r="R313" s="21" t="s">
        <v>17</v>
      </c>
      <c r="S313" s="21" t="s">
        <v>17</v>
      </c>
      <c r="T313" s="21" t="s">
        <v>17</v>
      </c>
      <c r="U313" s="21" t="s">
        <v>17</v>
      </c>
      <c r="V313" s="21" t="s">
        <v>17</v>
      </c>
      <c r="W313" s="21" t="s">
        <v>17</v>
      </c>
      <c r="X313" s="21" t="s">
        <v>17</v>
      </c>
      <c r="Y313" s="21" t="s">
        <v>17</v>
      </c>
      <c r="Z313" s="21" t="s">
        <v>1678</v>
      </c>
      <c r="AA313" s="21" t="s">
        <v>586</v>
      </c>
      <c r="AB313" s="21" t="s">
        <v>740</v>
      </c>
      <c r="AC313" s="21" t="s">
        <v>1679</v>
      </c>
      <c r="AD313" s="21" t="s">
        <v>1680</v>
      </c>
    </row>
    <row r="314" spans="1:30">
      <c r="A314" s="21">
        <v>210897</v>
      </c>
      <c r="B314" s="21" t="s">
        <v>726</v>
      </c>
      <c r="C314" s="21" t="s">
        <v>27</v>
      </c>
      <c r="D314" s="21" t="s">
        <v>727</v>
      </c>
      <c r="E314" s="21" t="s">
        <v>727</v>
      </c>
      <c r="F314" s="21" t="s">
        <v>727</v>
      </c>
      <c r="G314" s="21" t="s">
        <v>747</v>
      </c>
      <c r="H314" s="21" t="s">
        <v>17</v>
      </c>
      <c r="I314" s="21" t="s">
        <v>17</v>
      </c>
      <c r="J314" s="21" t="s">
        <v>17</v>
      </c>
      <c r="K314" s="21">
        <v>35</v>
      </c>
      <c r="L314" s="21" t="s">
        <v>730</v>
      </c>
      <c r="M314" s="21" t="s">
        <v>758</v>
      </c>
      <c r="N314" s="21" t="s">
        <v>748</v>
      </c>
      <c r="O314" s="21" t="s">
        <v>754</v>
      </c>
      <c r="P314" s="21" t="s">
        <v>17</v>
      </c>
      <c r="Q314" s="21" t="s">
        <v>17</v>
      </c>
      <c r="R314" s="21" t="s">
        <v>17</v>
      </c>
      <c r="S314" s="21" t="s">
        <v>17</v>
      </c>
      <c r="T314" s="21" t="s">
        <v>17</v>
      </c>
      <c r="U314" s="21" t="s">
        <v>17</v>
      </c>
      <c r="V314" s="21" t="s">
        <v>17</v>
      </c>
      <c r="W314" s="21" t="s">
        <v>17</v>
      </c>
      <c r="X314" s="21" t="s">
        <v>17</v>
      </c>
      <c r="Y314" s="21" t="s">
        <v>17</v>
      </c>
      <c r="Z314" s="21" t="s">
        <v>1681</v>
      </c>
      <c r="AA314" s="21" t="s">
        <v>588</v>
      </c>
      <c r="AB314" s="21" t="s">
        <v>774</v>
      </c>
      <c r="AC314" s="21" t="s">
        <v>1682</v>
      </c>
      <c r="AD314" s="21" t="s">
        <v>1683</v>
      </c>
    </row>
    <row r="315" spans="1:30">
      <c r="A315" s="21">
        <v>210896</v>
      </c>
      <c r="B315" s="21" t="s">
        <v>726</v>
      </c>
      <c r="C315" s="21" t="s">
        <v>27</v>
      </c>
      <c r="D315" s="21" t="s">
        <v>727</v>
      </c>
      <c r="E315" s="21" t="s">
        <v>727</v>
      </c>
      <c r="F315" s="21" t="s">
        <v>727</v>
      </c>
      <c r="G315" s="21" t="s">
        <v>747</v>
      </c>
      <c r="H315" s="21" t="s">
        <v>17</v>
      </c>
      <c r="I315" s="21" t="s">
        <v>17</v>
      </c>
      <c r="J315" s="21" t="s">
        <v>17</v>
      </c>
      <c r="K315" s="21">
        <v>35</v>
      </c>
      <c r="L315" s="21" t="s">
        <v>730</v>
      </c>
      <c r="M315" s="21" t="s">
        <v>758</v>
      </c>
      <c r="N315" s="21" t="s">
        <v>748</v>
      </c>
      <c r="O315" s="21" t="s">
        <v>754</v>
      </c>
      <c r="P315" s="21" t="s">
        <v>17</v>
      </c>
      <c r="Q315" s="21" t="s">
        <v>17</v>
      </c>
      <c r="R315" s="21" t="s">
        <v>17</v>
      </c>
      <c r="S315" s="21" t="s">
        <v>17</v>
      </c>
      <c r="T315" s="21" t="s">
        <v>17</v>
      </c>
      <c r="U315" s="21" t="s">
        <v>17</v>
      </c>
      <c r="V315" s="21" t="s">
        <v>17</v>
      </c>
      <c r="W315" s="21" t="s">
        <v>17</v>
      </c>
      <c r="X315" s="21" t="s">
        <v>17</v>
      </c>
      <c r="Y315" s="21" t="s">
        <v>17</v>
      </c>
      <c r="Z315" s="21" t="s">
        <v>1684</v>
      </c>
      <c r="AA315" s="21" t="s">
        <v>590</v>
      </c>
      <c r="AB315" s="21" t="s">
        <v>740</v>
      </c>
      <c r="AC315" s="21" t="s">
        <v>1685</v>
      </c>
      <c r="AD315" s="21" t="s">
        <v>1686</v>
      </c>
    </row>
    <row r="316" spans="1:30">
      <c r="A316" s="21">
        <v>210895</v>
      </c>
      <c r="B316" s="21" t="s">
        <v>726</v>
      </c>
      <c r="C316" s="21" t="s">
        <v>27</v>
      </c>
      <c r="D316" s="21" t="s">
        <v>727</v>
      </c>
      <c r="E316" s="21" t="s">
        <v>727</v>
      </c>
      <c r="F316" s="21" t="s">
        <v>727</v>
      </c>
      <c r="G316" s="21" t="s">
        <v>747</v>
      </c>
      <c r="H316" s="21" t="s">
        <v>17</v>
      </c>
      <c r="I316" s="21" t="s">
        <v>17</v>
      </c>
      <c r="J316" s="21" t="s">
        <v>17</v>
      </c>
      <c r="K316" s="21">
        <v>35</v>
      </c>
      <c r="L316" s="21" t="s">
        <v>730</v>
      </c>
      <c r="M316" s="21" t="s">
        <v>758</v>
      </c>
      <c r="N316" s="21" t="s">
        <v>748</v>
      </c>
      <c r="O316" s="21" t="s">
        <v>754</v>
      </c>
      <c r="P316" s="21" t="s">
        <v>17</v>
      </c>
      <c r="Q316" s="21" t="s">
        <v>17</v>
      </c>
      <c r="R316" s="21" t="s">
        <v>17</v>
      </c>
      <c r="S316" s="21" t="s">
        <v>17</v>
      </c>
      <c r="T316" s="21" t="s">
        <v>17</v>
      </c>
      <c r="U316" s="21" t="s">
        <v>17</v>
      </c>
      <c r="V316" s="21" t="s">
        <v>17</v>
      </c>
      <c r="W316" s="21" t="s">
        <v>17</v>
      </c>
      <c r="X316" s="21" t="s">
        <v>17</v>
      </c>
      <c r="Y316" s="21" t="s">
        <v>17</v>
      </c>
      <c r="Z316" s="21" t="s">
        <v>1687</v>
      </c>
      <c r="AA316" s="21" t="s">
        <v>592</v>
      </c>
      <c r="AB316" s="21" t="s">
        <v>796</v>
      </c>
      <c r="AC316" s="21" t="s">
        <v>1688</v>
      </c>
      <c r="AD316" s="21" t="s">
        <v>1689</v>
      </c>
    </row>
    <row r="317" spans="1:30">
      <c r="A317" s="21">
        <v>210894</v>
      </c>
      <c r="B317" s="21" t="s">
        <v>726</v>
      </c>
      <c r="C317" s="21" t="s">
        <v>27</v>
      </c>
      <c r="D317" s="21" t="s">
        <v>727</v>
      </c>
      <c r="E317" s="21" t="s">
        <v>747</v>
      </c>
      <c r="F317" s="21" t="s">
        <v>727</v>
      </c>
      <c r="G317" s="21" t="s">
        <v>747</v>
      </c>
      <c r="H317" s="21" t="s">
        <v>17</v>
      </c>
      <c r="I317" s="21" t="s">
        <v>17</v>
      </c>
      <c r="J317" s="21" t="s">
        <v>17</v>
      </c>
      <c r="K317" s="21">
        <v>30</v>
      </c>
      <c r="L317" s="21" t="s">
        <v>730</v>
      </c>
      <c r="M317" s="21" t="s">
        <v>730</v>
      </c>
      <c r="N317" s="21" t="s">
        <v>748</v>
      </c>
      <c r="O317" s="21" t="s">
        <v>754</v>
      </c>
      <c r="P317" s="21" t="s">
        <v>17</v>
      </c>
      <c r="Q317" s="21" t="s">
        <v>17</v>
      </c>
      <c r="R317" s="21" t="s">
        <v>17</v>
      </c>
      <c r="S317" s="21" t="s">
        <v>17</v>
      </c>
      <c r="T317" s="21" t="s">
        <v>17</v>
      </c>
      <c r="U317" s="21" t="s">
        <v>17</v>
      </c>
      <c r="V317" s="21" t="s">
        <v>17</v>
      </c>
      <c r="W317" s="21" t="s">
        <v>17</v>
      </c>
      <c r="X317" s="21" t="s">
        <v>17</v>
      </c>
      <c r="Y317" s="21" t="s">
        <v>17</v>
      </c>
      <c r="Z317" s="21" t="s">
        <v>1687</v>
      </c>
      <c r="AA317" s="21" t="s">
        <v>594</v>
      </c>
      <c r="AB317" s="21" t="s">
        <v>879</v>
      </c>
      <c r="AC317" s="21" t="s">
        <v>1690</v>
      </c>
      <c r="AD317" s="21" t="s">
        <v>1691</v>
      </c>
    </row>
    <row r="318" spans="1:30">
      <c r="A318" s="21">
        <v>210892</v>
      </c>
      <c r="B318" s="21" t="s">
        <v>726</v>
      </c>
      <c r="C318" s="21" t="s">
        <v>27</v>
      </c>
      <c r="D318" s="21" t="s">
        <v>727</v>
      </c>
      <c r="E318" s="21" t="s">
        <v>747</v>
      </c>
      <c r="F318" s="21" t="s">
        <v>727</v>
      </c>
      <c r="G318" s="21" t="s">
        <v>747</v>
      </c>
      <c r="H318" s="21" t="s">
        <v>17</v>
      </c>
      <c r="I318" s="21" t="s">
        <v>17</v>
      </c>
      <c r="J318" s="21" t="s">
        <v>17</v>
      </c>
      <c r="K318" s="21">
        <v>30</v>
      </c>
      <c r="L318" s="21" t="s">
        <v>730</v>
      </c>
      <c r="M318" s="21" t="s">
        <v>730</v>
      </c>
      <c r="N318" s="21" t="s">
        <v>748</v>
      </c>
      <c r="O318" s="21" t="s">
        <v>754</v>
      </c>
      <c r="P318" s="21" t="s">
        <v>17</v>
      </c>
      <c r="Q318" s="21" t="s">
        <v>17</v>
      </c>
      <c r="R318" s="21" t="s">
        <v>17</v>
      </c>
      <c r="S318" s="21" t="s">
        <v>17</v>
      </c>
      <c r="T318" s="21" t="s">
        <v>17</v>
      </c>
      <c r="U318" s="21" t="s">
        <v>17</v>
      </c>
      <c r="V318" s="21" t="s">
        <v>17</v>
      </c>
      <c r="W318" s="21" t="s">
        <v>17</v>
      </c>
      <c r="X318" s="21" t="s">
        <v>17</v>
      </c>
      <c r="Y318" s="21" t="s">
        <v>17</v>
      </c>
      <c r="Z318" s="21" t="s">
        <v>1692</v>
      </c>
      <c r="AA318" s="21" t="s">
        <v>595</v>
      </c>
      <c r="AB318" s="21" t="s">
        <v>1693</v>
      </c>
      <c r="AC318" s="21" t="s">
        <v>1694</v>
      </c>
      <c r="AD318" s="21" t="s">
        <v>1695</v>
      </c>
    </row>
    <row r="319" spans="1:30">
      <c r="A319" s="21">
        <v>210891</v>
      </c>
      <c r="B319" s="21" t="s">
        <v>726</v>
      </c>
      <c r="C319" s="21" t="s">
        <v>27</v>
      </c>
      <c r="D319" s="21" t="s">
        <v>727</v>
      </c>
      <c r="E319" s="21" t="s">
        <v>727</v>
      </c>
      <c r="F319" s="21" t="s">
        <v>727</v>
      </c>
      <c r="G319" s="21" t="s">
        <v>747</v>
      </c>
      <c r="H319" s="21" t="s">
        <v>17</v>
      </c>
      <c r="I319" s="21" t="s">
        <v>17</v>
      </c>
      <c r="J319" s="21" t="s">
        <v>17</v>
      </c>
      <c r="K319" s="21">
        <v>35</v>
      </c>
      <c r="L319" s="21" t="s">
        <v>730</v>
      </c>
      <c r="M319" s="21" t="s">
        <v>758</v>
      </c>
      <c r="N319" s="21" t="s">
        <v>748</v>
      </c>
      <c r="O319" s="21" t="s">
        <v>754</v>
      </c>
      <c r="P319" s="21" t="s">
        <v>17</v>
      </c>
      <c r="Q319" s="21" t="s">
        <v>17</v>
      </c>
      <c r="R319" s="21" t="s">
        <v>17</v>
      </c>
      <c r="S319" s="21" t="s">
        <v>17</v>
      </c>
      <c r="T319" s="21" t="s">
        <v>17</v>
      </c>
      <c r="U319" s="21" t="s">
        <v>17</v>
      </c>
      <c r="V319" s="21" t="s">
        <v>17</v>
      </c>
      <c r="W319" s="21" t="s">
        <v>17</v>
      </c>
      <c r="X319" s="21" t="s">
        <v>17</v>
      </c>
      <c r="Y319" s="21" t="s">
        <v>17</v>
      </c>
      <c r="Z319" s="21" t="s">
        <v>1696</v>
      </c>
      <c r="AA319" s="21" t="s">
        <v>597</v>
      </c>
      <c r="AB319" s="21" t="s">
        <v>740</v>
      </c>
      <c r="AC319" s="21" t="s">
        <v>1697</v>
      </c>
      <c r="AD319" s="21" t="s">
        <v>1698</v>
      </c>
    </row>
    <row r="320" spans="1:30">
      <c r="A320" s="21">
        <v>210890</v>
      </c>
      <c r="B320" s="21" t="s">
        <v>726</v>
      </c>
      <c r="C320" s="21" t="s">
        <v>27</v>
      </c>
      <c r="D320" s="21" t="s">
        <v>727</v>
      </c>
      <c r="E320" s="21" t="s">
        <v>727</v>
      </c>
      <c r="F320" s="21" t="s">
        <v>727</v>
      </c>
      <c r="G320" s="21" t="s">
        <v>747</v>
      </c>
      <c r="H320" s="21" t="s">
        <v>17</v>
      </c>
      <c r="I320" s="21" t="s">
        <v>17</v>
      </c>
      <c r="J320" s="21" t="s">
        <v>17</v>
      </c>
      <c r="K320" s="21">
        <v>35</v>
      </c>
      <c r="L320" s="21" t="s">
        <v>730</v>
      </c>
      <c r="M320" s="21" t="s">
        <v>758</v>
      </c>
      <c r="N320" s="21" t="s">
        <v>748</v>
      </c>
      <c r="O320" s="21" t="s">
        <v>754</v>
      </c>
      <c r="P320" s="21" t="s">
        <v>17</v>
      </c>
      <c r="Q320" s="21" t="s">
        <v>17</v>
      </c>
      <c r="R320" s="21" t="s">
        <v>17</v>
      </c>
      <c r="S320" s="21" t="s">
        <v>17</v>
      </c>
      <c r="T320" s="21" t="s">
        <v>17</v>
      </c>
      <c r="U320" s="21" t="s">
        <v>17</v>
      </c>
      <c r="V320" s="21" t="s">
        <v>17</v>
      </c>
      <c r="W320" s="21" t="s">
        <v>17</v>
      </c>
      <c r="X320" s="21" t="s">
        <v>17</v>
      </c>
      <c r="Y320" s="21" t="s">
        <v>17</v>
      </c>
      <c r="Z320" s="21" t="s">
        <v>1696</v>
      </c>
      <c r="AA320" s="21" t="s">
        <v>599</v>
      </c>
      <c r="AB320" s="21" t="s">
        <v>1699</v>
      </c>
      <c r="AC320" s="21" t="s">
        <v>1700</v>
      </c>
      <c r="AD320" s="21" t="s">
        <v>1701</v>
      </c>
    </row>
    <row r="321" spans="1:30">
      <c r="A321" s="21">
        <v>210889</v>
      </c>
      <c r="B321" s="21" t="s">
        <v>726</v>
      </c>
      <c r="C321" s="21" t="s">
        <v>27</v>
      </c>
      <c r="D321" s="21" t="s">
        <v>727</v>
      </c>
      <c r="E321" s="21" t="s">
        <v>727</v>
      </c>
      <c r="F321" s="21" t="s">
        <v>727</v>
      </c>
      <c r="G321" s="21" t="s">
        <v>747</v>
      </c>
      <c r="H321" s="21" t="s">
        <v>17</v>
      </c>
      <c r="I321" s="21" t="s">
        <v>17</v>
      </c>
      <c r="J321" s="21" t="s">
        <v>17</v>
      </c>
      <c r="K321" s="21">
        <v>35</v>
      </c>
      <c r="L321" s="21" t="s">
        <v>730</v>
      </c>
      <c r="M321" s="21" t="s">
        <v>758</v>
      </c>
      <c r="N321" s="21" t="s">
        <v>748</v>
      </c>
      <c r="O321" s="21" t="s">
        <v>754</v>
      </c>
      <c r="P321" s="21" t="s">
        <v>17</v>
      </c>
      <c r="Q321" s="21" t="s">
        <v>17</v>
      </c>
      <c r="R321" s="21" t="s">
        <v>17</v>
      </c>
      <c r="S321" s="21" t="s">
        <v>17</v>
      </c>
      <c r="T321" s="21" t="s">
        <v>17</v>
      </c>
      <c r="U321" s="21" t="s">
        <v>17</v>
      </c>
      <c r="V321" s="21" t="s">
        <v>17</v>
      </c>
      <c r="W321" s="21" t="s">
        <v>17</v>
      </c>
      <c r="X321" s="21" t="s">
        <v>17</v>
      </c>
      <c r="Y321" s="21" t="s">
        <v>17</v>
      </c>
      <c r="Z321" s="21" t="s">
        <v>1702</v>
      </c>
      <c r="AA321" s="21" t="s">
        <v>600</v>
      </c>
      <c r="AB321" s="21" t="s">
        <v>1703</v>
      </c>
      <c r="AC321" s="21" t="s">
        <v>1704</v>
      </c>
      <c r="AD321" s="21" t="s">
        <v>1705</v>
      </c>
    </row>
    <row r="322" spans="1:30">
      <c r="A322" s="21">
        <v>210888</v>
      </c>
      <c r="B322" s="21" t="s">
        <v>726</v>
      </c>
      <c r="C322" s="21" t="s">
        <v>27</v>
      </c>
      <c r="D322" s="21" t="s">
        <v>727</v>
      </c>
      <c r="E322" s="21" t="s">
        <v>727</v>
      </c>
      <c r="F322" s="21" t="s">
        <v>727</v>
      </c>
      <c r="G322" s="21" t="s">
        <v>747</v>
      </c>
      <c r="H322" s="21" t="s">
        <v>17</v>
      </c>
      <c r="I322" s="21" t="s">
        <v>17</v>
      </c>
      <c r="J322" s="21" t="s">
        <v>17</v>
      </c>
      <c r="K322" s="21">
        <v>35</v>
      </c>
      <c r="L322" s="21" t="s">
        <v>730</v>
      </c>
      <c r="M322" s="21" t="s">
        <v>758</v>
      </c>
      <c r="N322" s="21" t="s">
        <v>748</v>
      </c>
      <c r="O322" s="21" t="s">
        <v>754</v>
      </c>
      <c r="P322" s="21" t="s">
        <v>17</v>
      </c>
      <c r="Q322" s="21" t="s">
        <v>17</v>
      </c>
      <c r="R322" s="21" t="s">
        <v>17</v>
      </c>
      <c r="S322" s="21" t="s">
        <v>17</v>
      </c>
      <c r="T322" s="21" t="s">
        <v>17</v>
      </c>
      <c r="U322" s="21" t="s">
        <v>17</v>
      </c>
      <c r="V322" s="21" t="s">
        <v>17</v>
      </c>
      <c r="W322" s="21" t="s">
        <v>17</v>
      </c>
      <c r="X322" s="21" t="s">
        <v>17</v>
      </c>
      <c r="Y322" s="21" t="s">
        <v>17</v>
      </c>
      <c r="Z322" s="21" t="s">
        <v>1706</v>
      </c>
      <c r="AA322" s="21" t="s">
        <v>602</v>
      </c>
      <c r="AB322" s="21" t="s">
        <v>1707</v>
      </c>
      <c r="AC322" s="21" t="s">
        <v>1708</v>
      </c>
      <c r="AD322" s="21" t="s">
        <v>1709</v>
      </c>
    </row>
    <row r="323" spans="1:30">
      <c r="A323" s="21">
        <v>210887</v>
      </c>
      <c r="B323" s="21" t="s">
        <v>726</v>
      </c>
      <c r="C323" s="21" t="s">
        <v>27</v>
      </c>
      <c r="D323" s="21" t="s">
        <v>727</v>
      </c>
      <c r="E323" s="21" t="s">
        <v>727</v>
      </c>
      <c r="F323" s="21" t="s">
        <v>727</v>
      </c>
      <c r="G323" s="21" t="s">
        <v>747</v>
      </c>
      <c r="H323" s="21" t="s">
        <v>17</v>
      </c>
      <c r="I323" s="21" t="s">
        <v>17</v>
      </c>
      <c r="J323" s="21" t="s">
        <v>17</v>
      </c>
      <c r="K323" s="21">
        <v>35</v>
      </c>
      <c r="L323" s="21" t="s">
        <v>730</v>
      </c>
      <c r="M323" s="21" t="s">
        <v>758</v>
      </c>
      <c r="N323" s="21" t="s">
        <v>748</v>
      </c>
      <c r="O323" s="21" t="s">
        <v>754</v>
      </c>
      <c r="P323" s="21" t="s">
        <v>17</v>
      </c>
      <c r="Q323" s="21" t="s">
        <v>17</v>
      </c>
      <c r="R323" s="21" t="s">
        <v>17</v>
      </c>
      <c r="S323" s="21" t="s">
        <v>17</v>
      </c>
      <c r="T323" s="21" t="s">
        <v>17</v>
      </c>
      <c r="U323" s="21" t="s">
        <v>17</v>
      </c>
      <c r="V323" s="21" t="s">
        <v>17</v>
      </c>
      <c r="W323" s="21" t="s">
        <v>17</v>
      </c>
      <c r="X323" s="21" t="s">
        <v>17</v>
      </c>
      <c r="Y323" s="21" t="s">
        <v>17</v>
      </c>
      <c r="Z323" s="21" t="s">
        <v>1706</v>
      </c>
      <c r="AA323" s="21" t="s">
        <v>604</v>
      </c>
      <c r="AB323" s="21" t="s">
        <v>1710</v>
      </c>
      <c r="AC323" s="21" t="s">
        <v>1711</v>
      </c>
      <c r="AD323" s="21" t="s">
        <v>1712</v>
      </c>
    </row>
    <row r="324" spans="1:30">
      <c r="A324" s="21">
        <v>210886</v>
      </c>
      <c r="B324" s="21" t="s">
        <v>726</v>
      </c>
      <c r="C324" s="21" t="s">
        <v>27</v>
      </c>
      <c r="D324" s="21" t="s">
        <v>727</v>
      </c>
      <c r="E324" s="21" t="s">
        <v>727</v>
      </c>
      <c r="F324" s="21" t="s">
        <v>727</v>
      </c>
      <c r="G324" s="21" t="s">
        <v>747</v>
      </c>
      <c r="H324" s="21" t="s">
        <v>17</v>
      </c>
      <c r="I324" s="21" t="s">
        <v>17</v>
      </c>
      <c r="J324" s="21" t="s">
        <v>17</v>
      </c>
      <c r="K324" s="21">
        <v>35</v>
      </c>
      <c r="L324" s="21" t="s">
        <v>730</v>
      </c>
      <c r="M324" s="21" t="s">
        <v>758</v>
      </c>
      <c r="N324" s="21" t="s">
        <v>748</v>
      </c>
      <c r="O324" s="21" t="s">
        <v>754</v>
      </c>
      <c r="P324" s="21" t="s">
        <v>17</v>
      </c>
      <c r="Q324" s="21" t="s">
        <v>17</v>
      </c>
      <c r="R324" s="21" t="s">
        <v>17</v>
      </c>
      <c r="S324" s="21" t="s">
        <v>17</v>
      </c>
      <c r="T324" s="21" t="s">
        <v>17</v>
      </c>
      <c r="U324" s="21" t="s">
        <v>17</v>
      </c>
      <c r="V324" s="21" t="s">
        <v>17</v>
      </c>
      <c r="W324" s="21" t="s">
        <v>17</v>
      </c>
      <c r="X324" s="21" t="s">
        <v>17</v>
      </c>
      <c r="Y324" s="21" t="s">
        <v>17</v>
      </c>
      <c r="Z324" s="21" t="s">
        <v>1713</v>
      </c>
      <c r="AA324" s="21" t="s">
        <v>605</v>
      </c>
      <c r="AB324" s="21" t="s">
        <v>774</v>
      </c>
      <c r="AC324" s="21" t="s">
        <v>1714</v>
      </c>
      <c r="AD324" s="21" t="s">
        <v>1715</v>
      </c>
    </row>
    <row r="325" spans="1:30">
      <c r="A325" s="21">
        <v>210885</v>
      </c>
      <c r="B325" s="21" t="s">
        <v>726</v>
      </c>
      <c r="C325" s="21" t="s">
        <v>27</v>
      </c>
      <c r="D325" s="21" t="s">
        <v>727</v>
      </c>
      <c r="E325" s="21" t="s">
        <v>727</v>
      </c>
      <c r="F325" s="21" t="s">
        <v>727</v>
      </c>
      <c r="G325" s="21" t="s">
        <v>747</v>
      </c>
      <c r="H325" s="21" t="s">
        <v>17</v>
      </c>
      <c r="I325" s="21" t="s">
        <v>17</v>
      </c>
      <c r="J325" s="21" t="s">
        <v>17</v>
      </c>
      <c r="K325" s="21">
        <v>35</v>
      </c>
      <c r="L325" s="21" t="s">
        <v>730</v>
      </c>
      <c r="M325" s="21" t="s">
        <v>758</v>
      </c>
      <c r="N325" s="21" t="s">
        <v>748</v>
      </c>
      <c r="O325" s="21" t="s">
        <v>754</v>
      </c>
      <c r="P325" s="21" t="s">
        <v>17</v>
      </c>
      <c r="Q325" s="21" t="s">
        <v>17</v>
      </c>
      <c r="R325" s="21" t="s">
        <v>17</v>
      </c>
      <c r="S325" s="21" t="s">
        <v>17</v>
      </c>
      <c r="T325" s="21" t="s">
        <v>17</v>
      </c>
      <c r="U325" s="21" t="s">
        <v>17</v>
      </c>
      <c r="V325" s="21" t="s">
        <v>17</v>
      </c>
      <c r="W325" s="21" t="s">
        <v>17</v>
      </c>
      <c r="X325" s="21" t="s">
        <v>17</v>
      </c>
      <c r="Y325" s="21" t="s">
        <v>17</v>
      </c>
      <c r="Z325" s="21" t="s">
        <v>1716</v>
      </c>
      <c r="AA325" s="21" t="s">
        <v>607</v>
      </c>
      <c r="AB325" s="21" t="s">
        <v>1717</v>
      </c>
      <c r="AC325" s="21" t="s">
        <v>1718</v>
      </c>
      <c r="AD325" s="21" t="s">
        <v>1719</v>
      </c>
    </row>
    <row r="326" spans="1:30">
      <c r="A326" s="21">
        <v>210884</v>
      </c>
      <c r="B326" s="21" t="s">
        <v>726</v>
      </c>
      <c r="C326" s="21" t="s">
        <v>27</v>
      </c>
      <c r="D326" s="21" t="s">
        <v>727</v>
      </c>
      <c r="E326" s="21" t="s">
        <v>727</v>
      </c>
      <c r="F326" s="21" t="s">
        <v>727</v>
      </c>
      <c r="G326" s="21" t="s">
        <v>747</v>
      </c>
      <c r="H326" s="21" t="s">
        <v>17</v>
      </c>
      <c r="I326" s="21" t="s">
        <v>17</v>
      </c>
      <c r="J326" s="21" t="s">
        <v>17</v>
      </c>
      <c r="K326" s="21">
        <v>35</v>
      </c>
      <c r="L326" s="21" t="s">
        <v>730</v>
      </c>
      <c r="M326" s="21" t="s">
        <v>758</v>
      </c>
      <c r="N326" s="21" t="s">
        <v>748</v>
      </c>
      <c r="O326" s="21" t="s">
        <v>754</v>
      </c>
      <c r="P326" s="21" t="s">
        <v>17</v>
      </c>
      <c r="Q326" s="21" t="s">
        <v>17</v>
      </c>
      <c r="R326" s="21" t="s">
        <v>17</v>
      </c>
      <c r="S326" s="21" t="s">
        <v>17</v>
      </c>
      <c r="T326" s="21" t="s">
        <v>17</v>
      </c>
      <c r="U326" s="21" t="s">
        <v>17</v>
      </c>
      <c r="V326" s="21" t="s">
        <v>17</v>
      </c>
      <c r="W326" s="21" t="s">
        <v>17</v>
      </c>
      <c r="X326" s="21" t="s">
        <v>17</v>
      </c>
      <c r="Y326" s="21" t="s">
        <v>17</v>
      </c>
      <c r="Z326" s="21" t="s">
        <v>1720</v>
      </c>
      <c r="AA326" s="21" t="s">
        <v>609</v>
      </c>
      <c r="AB326" s="21" t="s">
        <v>796</v>
      </c>
      <c r="AC326" s="21" t="s">
        <v>1721</v>
      </c>
      <c r="AD326" s="21" t="s">
        <v>1722</v>
      </c>
    </row>
    <row r="327" spans="1:30">
      <c r="A327" s="21">
        <v>210883</v>
      </c>
      <c r="B327" s="21" t="s">
        <v>726</v>
      </c>
      <c r="C327" s="21" t="s">
        <v>27</v>
      </c>
      <c r="D327" s="21" t="s">
        <v>727</v>
      </c>
      <c r="E327" s="21" t="s">
        <v>727</v>
      </c>
      <c r="F327" s="21" t="s">
        <v>727</v>
      </c>
      <c r="G327" s="21" t="s">
        <v>747</v>
      </c>
      <c r="H327" s="21" t="s">
        <v>17</v>
      </c>
      <c r="I327" s="21" t="s">
        <v>17</v>
      </c>
      <c r="J327" s="21" t="s">
        <v>17</v>
      </c>
      <c r="K327" s="21">
        <v>35</v>
      </c>
      <c r="L327" s="21" t="s">
        <v>730</v>
      </c>
      <c r="M327" s="21" t="s">
        <v>758</v>
      </c>
      <c r="N327" s="21" t="s">
        <v>748</v>
      </c>
      <c r="O327" s="21" t="s">
        <v>754</v>
      </c>
      <c r="P327" s="21" t="s">
        <v>17</v>
      </c>
      <c r="Q327" s="21" t="s">
        <v>17</v>
      </c>
      <c r="R327" s="21" t="s">
        <v>17</v>
      </c>
      <c r="S327" s="21" t="s">
        <v>17</v>
      </c>
      <c r="T327" s="21" t="s">
        <v>17</v>
      </c>
      <c r="U327" s="21" t="s">
        <v>17</v>
      </c>
      <c r="V327" s="21" t="s">
        <v>17</v>
      </c>
      <c r="W327" s="21" t="s">
        <v>17</v>
      </c>
      <c r="X327" s="21" t="s">
        <v>17</v>
      </c>
      <c r="Y327" s="21" t="s">
        <v>17</v>
      </c>
      <c r="Z327" s="21" t="s">
        <v>1723</v>
      </c>
      <c r="AA327" s="21" t="s">
        <v>611</v>
      </c>
      <c r="AB327" s="21" t="s">
        <v>1724</v>
      </c>
      <c r="AC327" s="21" t="s">
        <v>1725</v>
      </c>
      <c r="AD327" s="21" t="s">
        <v>1726</v>
      </c>
    </row>
    <row r="328" spans="1:30">
      <c r="A328" s="21">
        <v>210882</v>
      </c>
      <c r="B328" s="21" t="s">
        <v>726</v>
      </c>
      <c r="C328" s="21" t="s">
        <v>27</v>
      </c>
      <c r="D328" s="21" t="s">
        <v>727</v>
      </c>
      <c r="E328" s="21" t="s">
        <v>955</v>
      </c>
      <c r="F328" s="21" t="s">
        <v>727</v>
      </c>
      <c r="G328" s="21" t="s">
        <v>747</v>
      </c>
      <c r="H328" s="21" t="s">
        <v>17</v>
      </c>
      <c r="I328" s="21" t="s">
        <v>17</v>
      </c>
      <c r="J328" s="21" t="s">
        <v>17</v>
      </c>
      <c r="K328" s="21">
        <v>28</v>
      </c>
      <c r="L328" s="21" t="s">
        <v>730</v>
      </c>
      <c r="M328" s="21" t="s">
        <v>1040</v>
      </c>
      <c r="N328" s="21" t="s">
        <v>748</v>
      </c>
      <c r="O328" s="21" t="s">
        <v>754</v>
      </c>
      <c r="P328" s="21" t="s">
        <v>17</v>
      </c>
      <c r="Q328" s="21" t="s">
        <v>17</v>
      </c>
      <c r="R328" s="21" t="s">
        <v>17</v>
      </c>
      <c r="S328" s="21" t="s">
        <v>17</v>
      </c>
      <c r="T328" s="21" t="s">
        <v>17</v>
      </c>
      <c r="U328" s="21" t="s">
        <v>17</v>
      </c>
      <c r="V328" s="21" t="s">
        <v>17</v>
      </c>
      <c r="W328" s="21" t="s">
        <v>17</v>
      </c>
      <c r="X328" s="21" t="s">
        <v>17</v>
      </c>
      <c r="Y328" s="21" t="s">
        <v>17</v>
      </c>
      <c r="Z328" s="21" t="s">
        <v>1727</v>
      </c>
      <c r="AA328" s="21" t="s">
        <v>613</v>
      </c>
      <c r="AB328" s="21" t="s">
        <v>740</v>
      </c>
      <c r="AC328" s="21" t="s">
        <v>1728</v>
      </c>
      <c r="AD328" s="21" t="s">
        <v>1729</v>
      </c>
    </row>
    <row r="329" spans="1:30">
      <c r="A329" s="21">
        <v>210881</v>
      </c>
      <c r="B329" s="21" t="s">
        <v>726</v>
      </c>
      <c r="C329" s="21" t="s">
        <v>27</v>
      </c>
      <c r="D329" s="21" t="s">
        <v>727</v>
      </c>
      <c r="E329" s="21" t="s">
        <v>727</v>
      </c>
      <c r="F329" s="21" t="s">
        <v>727</v>
      </c>
      <c r="G329" s="21" t="s">
        <v>747</v>
      </c>
      <c r="H329" s="21" t="s">
        <v>17</v>
      </c>
      <c r="I329" s="21" t="s">
        <v>17</v>
      </c>
      <c r="J329" s="21" t="s">
        <v>17</v>
      </c>
      <c r="K329" s="21">
        <v>35</v>
      </c>
      <c r="L329" s="21" t="s">
        <v>730</v>
      </c>
      <c r="M329" s="21" t="s">
        <v>758</v>
      </c>
      <c r="N329" s="21" t="s">
        <v>748</v>
      </c>
      <c r="O329" s="21" t="s">
        <v>754</v>
      </c>
      <c r="P329" s="21" t="s">
        <v>17</v>
      </c>
      <c r="Q329" s="21" t="s">
        <v>17</v>
      </c>
      <c r="R329" s="21" t="s">
        <v>17</v>
      </c>
      <c r="S329" s="21" t="s">
        <v>17</v>
      </c>
      <c r="T329" s="21" t="s">
        <v>17</v>
      </c>
      <c r="U329" s="21" t="s">
        <v>17</v>
      </c>
      <c r="V329" s="21" t="s">
        <v>17</v>
      </c>
      <c r="W329" s="21" t="s">
        <v>17</v>
      </c>
      <c r="X329" s="21" t="s">
        <v>17</v>
      </c>
      <c r="Y329" s="21" t="s">
        <v>17</v>
      </c>
      <c r="Z329" s="21" t="s">
        <v>1730</v>
      </c>
      <c r="AA329" s="21" t="s">
        <v>615</v>
      </c>
      <c r="AB329" s="21" t="s">
        <v>740</v>
      </c>
      <c r="AC329" s="21" t="s">
        <v>1731</v>
      </c>
      <c r="AD329" s="21" t="s">
        <v>1732</v>
      </c>
    </row>
    <row r="330" spans="1:30">
      <c r="A330" s="21">
        <v>210880</v>
      </c>
      <c r="B330" s="21" t="s">
        <v>726</v>
      </c>
      <c r="C330" s="21" t="s">
        <v>27</v>
      </c>
      <c r="D330" s="21" t="s">
        <v>727</v>
      </c>
      <c r="E330" s="21" t="s">
        <v>727</v>
      </c>
      <c r="F330" s="21" t="s">
        <v>727</v>
      </c>
      <c r="G330" s="21" t="s">
        <v>747</v>
      </c>
      <c r="H330" s="21" t="s">
        <v>17</v>
      </c>
      <c r="I330" s="21" t="s">
        <v>17</v>
      </c>
      <c r="J330" s="21" t="s">
        <v>17</v>
      </c>
      <c r="K330" s="21">
        <v>35</v>
      </c>
      <c r="L330" s="21" t="s">
        <v>730</v>
      </c>
      <c r="M330" s="21" t="s">
        <v>758</v>
      </c>
      <c r="N330" s="21" t="s">
        <v>748</v>
      </c>
      <c r="O330" s="21" t="s">
        <v>754</v>
      </c>
      <c r="P330" s="21" t="s">
        <v>17</v>
      </c>
      <c r="Q330" s="21" t="s">
        <v>17</v>
      </c>
      <c r="R330" s="21" t="s">
        <v>17</v>
      </c>
      <c r="S330" s="21" t="s">
        <v>17</v>
      </c>
      <c r="T330" s="21" t="s">
        <v>17</v>
      </c>
      <c r="U330" s="21" t="s">
        <v>17</v>
      </c>
      <c r="V330" s="21" t="s">
        <v>17</v>
      </c>
      <c r="W330" s="21" t="s">
        <v>17</v>
      </c>
      <c r="X330" s="21" t="s">
        <v>17</v>
      </c>
      <c r="Y330" s="21" t="s">
        <v>17</v>
      </c>
      <c r="Z330" s="21" t="s">
        <v>1733</v>
      </c>
      <c r="AA330" s="21" t="s">
        <v>617</v>
      </c>
      <c r="AB330" s="21" t="s">
        <v>740</v>
      </c>
      <c r="AC330" s="21" t="s">
        <v>1734</v>
      </c>
      <c r="AD330" s="21" t="s">
        <v>1735</v>
      </c>
    </row>
    <row r="331" spans="1:30">
      <c r="A331" s="21">
        <v>210879</v>
      </c>
      <c r="B331" s="21" t="s">
        <v>726</v>
      </c>
      <c r="C331" s="21" t="s">
        <v>27</v>
      </c>
      <c r="D331" s="21" t="s">
        <v>727</v>
      </c>
      <c r="E331" s="21" t="s">
        <v>747</v>
      </c>
      <c r="F331" s="21" t="s">
        <v>727</v>
      </c>
      <c r="G331" s="21" t="s">
        <v>747</v>
      </c>
      <c r="H331" s="21" t="s">
        <v>17</v>
      </c>
      <c r="I331" s="21" t="s">
        <v>17</v>
      </c>
      <c r="J331" s="21" t="s">
        <v>17</v>
      </c>
      <c r="K331" s="21">
        <v>30</v>
      </c>
      <c r="L331" s="21" t="s">
        <v>730</v>
      </c>
      <c r="M331" s="21" t="s">
        <v>730</v>
      </c>
      <c r="N331" s="21" t="s">
        <v>748</v>
      </c>
      <c r="O331" s="21" t="s">
        <v>754</v>
      </c>
      <c r="P331" s="21" t="s">
        <v>17</v>
      </c>
      <c r="Q331" s="21" t="s">
        <v>17</v>
      </c>
      <c r="R331" s="21" t="s">
        <v>17</v>
      </c>
      <c r="S331" s="21" t="s">
        <v>17</v>
      </c>
      <c r="T331" s="21" t="s">
        <v>17</v>
      </c>
      <c r="U331" s="21" t="s">
        <v>17</v>
      </c>
      <c r="V331" s="21" t="s">
        <v>17</v>
      </c>
      <c r="W331" s="21" t="s">
        <v>17</v>
      </c>
      <c r="X331" s="21" t="s">
        <v>17</v>
      </c>
      <c r="Y331" s="21" t="s">
        <v>17</v>
      </c>
      <c r="Z331" s="21" t="s">
        <v>1736</v>
      </c>
      <c r="AA331" s="21" t="s">
        <v>619</v>
      </c>
      <c r="AB331" s="21" t="s">
        <v>740</v>
      </c>
      <c r="AC331" s="21" t="s">
        <v>1737</v>
      </c>
      <c r="AD331" s="21" t="s">
        <v>1738</v>
      </c>
    </row>
    <row r="332" spans="1:30">
      <c r="A332" s="21">
        <v>210878</v>
      </c>
      <c r="B332" s="21" t="s">
        <v>726</v>
      </c>
      <c r="C332" s="21" t="s">
        <v>27</v>
      </c>
      <c r="D332" s="21" t="s">
        <v>727</v>
      </c>
      <c r="E332" s="21" t="s">
        <v>727</v>
      </c>
      <c r="F332" s="21" t="s">
        <v>727</v>
      </c>
      <c r="G332" s="21" t="s">
        <v>747</v>
      </c>
      <c r="H332" s="21" t="s">
        <v>17</v>
      </c>
      <c r="I332" s="21" t="s">
        <v>17</v>
      </c>
      <c r="J332" s="21" t="s">
        <v>17</v>
      </c>
      <c r="K332" s="21">
        <v>35</v>
      </c>
      <c r="L332" s="21" t="s">
        <v>730</v>
      </c>
      <c r="M332" s="21" t="s">
        <v>758</v>
      </c>
      <c r="N332" s="21" t="s">
        <v>748</v>
      </c>
      <c r="O332" s="21" t="s">
        <v>754</v>
      </c>
      <c r="P332" s="21" t="s">
        <v>17</v>
      </c>
      <c r="Q332" s="21" t="s">
        <v>17</v>
      </c>
      <c r="R332" s="21" t="s">
        <v>17</v>
      </c>
      <c r="S332" s="21" t="s">
        <v>17</v>
      </c>
      <c r="T332" s="21" t="s">
        <v>17</v>
      </c>
      <c r="U332" s="21" t="s">
        <v>17</v>
      </c>
      <c r="V332" s="21" t="s">
        <v>17</v>
      </c>
      <c r="W332" s="21" t="s">
        <v>17</v>
      </c>
      <c r="X332" s="21" t="s">
        <v>17</v>
      </c>
      <c r="Y332" s="21" t="s">
        <v>17</v>
      </c>
      <c r="Z332" s="21" t="s">
        <v>1736</v>
      </c>
      <c r="AA332" s="21" t="s">
        <v>621</v>
      </c>
      <c r="AB332" s="21" t="s">
        <v>740</v>
      </c>
      <c r="AC332" s="21" t="s">
        <v>1734</v>
      </c>
      <c r="AD332" s="21" t="s">
        <v>1735</v>
      </c>
    </row>
    <row r="333" spans="1:30">
      <c r="A333" s="21">
        <v>210877</v>
      </c>
      <c r="B333" s="21" t="s">
        <v>726</v>
      </c>
      <c r="C333" s="21" t="s">
        <v>27</v>
      </c>
      <c r="D333" s="21" t="s">
        <v>727</v>
      </c>
      <c r="E333" s="21" t="s">
        <v>747</v>
      </c>
      <c r="F333" s="21" t="s">
        <v>727</v>
      </c>
      <c r="G333" s="21" t="s">
        <v>747</v>
      </c>
      <c r="H333" s="21" t="s">
        <v>17</v>
      </c>
      <c r="I333" s="21" t="s">
        <v>17</v>
      </c>
      <c r="J333" s="21" t="s">
        <v>17</v>
      </c>
      <c r="K333" s="21">
        <v>30</v>
      </c>
      <c r="L333" s="21" t="s">
        <v>730</v>
      </c>
      <c r="M333" s="21" t="s">
        <v>730</v>
      </c>
      <c r="N333" s="21" t="s">
        <v>748</v>
      </c>
      <c r="O333" s="21" t="s">
        <v>754</v>
      </c>
      <c r="P333" s="21" t="s">
        <v>17</v>
      </c>
      <c r="Q333" s="21" t="s">
        <v>17</v>
      </c>
      <c r="R333" s="21" t="s">
        <v>17</v>
      </c>
      <c r="S333" s="21" t="s">
        <v>17</v>
      </c>
      <c r="T333" s="21" t="s">
        <v>17</v>
      </c>
      <c r="U333" s="21" t="s">
        <v>17</v>
      </c>
      <c r="V333" s="21" t="s">
        <v>17</v>
      </c>
      <c r="W333" s="21" t="s">
        <v>17</v>
      </c>
      <c r="X333" s="21" t="s">
        <v>17</v>
      </c>
      <c r="Y333" s="21" t="s">
        <v>17</v>
      </c>
      <c r="Z333" s="21" t="s">
        <v>1736</v>
      </c>
      <c r="AA333" s="21" t="s">
        <v>622</v>
      </c>
      <c r="AB333" s="21" t="s">
        <v>1447</v>
      </c>
      <c r="AC333" s="21" t="s">
        <v>1739</v>
      </c>
      <c r="AD333" s="21" t="s">
        <v>1740</v>
      </c>
    </row>
    <row r="334" spans="1:30">
      <c r="A334" s="21">
        <v>210876</v>
      </c>
      <c r="B334" s="21" t="s">
        <v>726</v>
      </c>
      <c r="C334" s="21" t="s">
        <v>27</v>
      </c>
      <c r="D334" s="21" t="s">
        <v>727</v>
      </c>
      <c r="E334" s="21" t="s">
        <v>727</v>
      </c>
      <c r="F334" s="21" t="s">
        <v>727</v>
      </c>
      <c r="G334" s="21" t="s">
        <v>747</v>
      </c>
      <c r="H334" s="21" t="s">
        <v>17</v>
      </c>
      <c r="I334" s="21" t="s">
        <v>17</v>
      </c>
      <c r="J334" s="21" t="s">
        <v>17</v>
      </c>
      <c r="K334" s="21">
        <v>35</v>
      </c>
      <c r="L334" s="21" t="s">
        <v>730</v>
      </c>
      <c r="M334" s="21" t="s">
        <v>758</v>
      </c>
      <c r="N334" s="21" t="s">
        <v>748</v>
      </c>
      <c r="O334" s="21" t="s">
        <v>754</v>
      </c>
      <c r="P334" s="21" t="s">
        <v>17</v>
      </c>
      <c r="Q334" s="21" t="s">
        <v>17</v>
      </c>
      <c r="R334" s="21" t="s">
        <v>17</v>
      </c>
      <c r="S334" s="21" t="s">
        <v>17</v>
      </c>
      <c r="T334" s="21" t="s">
        <v>17</v>
      </c>
      <c r="U334" s="21" t="s">
        <v>17</v>
      </c>
      <c r="V334" s="21" t="s">
        <v>17</v>
      </c>
      <c r="W334" s="21" t="s">
        <v>17</v>
      </c>
      <c r="X334" s="21" t="s">
        <v>17</v>
      </c>
      <c r="Y334" s="21" t="s">
        <v>17</v>
      </c>
      <c r="Z334" s="21" t="s">
        <v>1736</v>
      </c>
      <c r="AA334" s="21" t="s">
        <v>623</v>
      </c>
      <c r="AB334" s="21" t="s">
        <v>740</v>
      </c>
      <c r="AC334" s="21" t="s">
        <v>1734</v>
      </c>
      <c r="AD334" s="21" t="s">
        <v>1735</v>
      </c>
    </row>
    <row r="335" spans="1:30">
      <c r="A335" s="21">
        <v>210875</v>
      </c>
      <c r="B335" s="21" t="s">
        <v>726</v>
      </c>
      <c r="C335" s="21" t="s">
        <v>27</v>
      </c>
      <c r="D335" s="21" t="s">
        <v>727</v>
      </c>
      <c r="E335" s="21" t="s">
        <v>727</v>
      </c>
      <c r="F335" s="21" t="s">
        <v>727</v>
      </c>
      <c r="G335" s="21" t="s">
        <v>747</v>
      </c>
      <c r="H335" s="21" t="s">
        <v>17</v>
      </c>
      <c r="I335" s="21" t="s">
        <v>17</v>
      </c>
      <c r="J335" s="21" t="s">
        <v>17</v>
      </c>
      <c r="K335" s="21">
        <v>35</v>
      </c>
      <c r="L335" s="21" t="s">
        <v>730</v>
      </c>
      <c r="M335" s="21" t="s">
        <v>758</v>
      </c>
      <c r="N335" s="21" t="s">
        <v>748</v>
      </c>
      <c r="O335" s="21" t="s">
        <v>754</v>
      </c>
      <c r="P335" s="21" t="s">
        <v>17</v>
      </c>
      <c r="Q335" s="21" t="s">
        <v>17</v>
      </c>
      <c r="R335" s="21" t="s">
        <v>17</v>
      </c>
      <c r="S335" s="21" t="s">
        <v>17</v>
      </c>
      <c r="T335" s="21" t="s">
        <v>17</v>
      </c>
      <c r="U335" s="21" t="s">
        <v>17</v>
      </c>
      <c r="V335" s="21" t="s">
        <v>17</v>
      </c>
      <c r="W335" s="21" t="s">
        <v>17</v>
      </c>
      <c r="X335" s="21" t="s">
        <v>17</v>
      </c>
      <c r="Y335" s="21" t="s">
        <v>17</v>
      </c>
      <c r="Z335" s="21" t="s">
        <v>1736</v>
      </c>
      <c r="AA335" s="21" t="s">
        <v>624</v>
      </c>
      <c r="AB335" s="21" t="s">
        <v>740</v>
      </c>
      <c r="AC335" s="21" t="s">
        <v>1734</v>
      </c>
      <c r="AD335" s="21" t="s">
        <v>1735</v>
      </c>
    </row>
    <row r="336" spans="1:30">
      <c r="A336" s="21">
        <v>210873</v>
      </c>
      <c r="B336" s="21" t="s">
        <v>726</v>
      </c>
      <c r="C336" s="21" t="s">
        <v>27</v>
      </c>
      <c r="D336" s="21" t="s">
        <v>727</v>
      </c>
      <c r="E336" s="21" t="s">
        <v>727</v>
      </c>
      <c r="F336" s="21" t="s">
        <v>727</v>
      </c>
      <c r="G336" s="21" t="s">
        <v>747</v>
      </c>
      <c r="H336" s="21" t="s">
        <v>17</v>
      </c>
      <c r="I336" s="21" t="s">
        <v>17</v>
      </c>
      <c r="J336" s="21" t="s">
        <v>17</v>
      </c>
      <c r="K336" s="21">
        <v>35</v>
      </c>
      <c r="L336" s="21" t="s">
        <v>730</v>
      </c>
      <c r="M336" s="21" t="s">
        <v>758</v>
      </c>
      <c r="N336" s="21" t="s">
        <v>748</v>
      </c>
      <c r="O336" s="21" t="s">
        <v>754</v>
      </c>
      <c r="P336" s="21" t="s">
        <v>17</v>
      </c>
      <c r="Q336" s="21" t="s">
        <v>17</v>
      </c>
      <c r="R336" s="21" t="s">
        <v>17</v>
      </c>
      <c r="S336" s="21" t="s">
        <v>17</v>
      </c>
      <c r="T336" s="21" t="s">
        <v>17</v>
      </c>
      <c r="U336" s="21" t="s">
        <v>17</v>
      </c>
      <c r="V336" s="21" t="s">
        <v>17</v>
      </c>
      <c r="W336" s="21" t="s">
        <v>17</v>
      </c>
      <c r="X336" s="21" t="s">
        <v>17</v>
      </c>
      <c r="Y336" s="21" t="s">
        <v>17</v>
      </c>
      <c r="Z336" s="21" t="s">
        <v>1741</v>
      </c>
      <c r="AA336" s="21" t="s">
        <v>625</v>
      </c>
      <c r="AB336" s="21" t="s">
        <v>740</v>
      </c>
      <c r="AC336" s="21" t="s">
        <v>1734</v>
      </c>
      <c r="AD336" s="21" t="s">
        <v>1735</v>
      </c>
    </row>
    <row r="337" spans="1:30">
      <c r="A337" s="21">
        <v>210872</v>
      </c>
      <c r="B337" s="21" t="s">
        <v>726</v>
      </c>
      <c r="C337" s="21" t="s">
        <v>27</v>
      </c>
      <c r="D337" s="21" t="s">
        <v>727</v>
      </c>
      <c r="E337" s="21" t="s">
        <v>727</v>
      </c>
      <c r="F337" s="21" t="s">
        <v>727</v>
      </c>
      <c r="G337" s="21" t="s">
        <v>747</v>
      </c>
      <c r="H337" s="21" t="s">
        <v>17</v>
      </c>
      <c r="I337" s="21" t="s">
        <v>17</v>
      </c>
      <c r="J337" s="21" t="s">
        <v>17</v>
      </c>
      <c r="K337" s="21">
        <v>35</v>
      </c>
      <c r="L337" s="21" t="s">
        <v>730</v>
      </c>
      <c r="M337" s="21" t="s">
        <v>758</v>
      </c>
      <c r="N337" s="21" t="s">
        <v>748</v>
      </c>
      <c r="O337" s="21" t="s">
        <v>754</v>
      </c>
      <c r="P337" s="21" t="s">
        <v>17</v>
      </c>
      <c r="Q337" s="21" t="s">
        <v>17</v>
      </c>
      <c r="R337" s="21" t="s">
        <v>17</v>
      </c>
      <c r="S337" s="21" t="s">
        <v>17</v>
      </c>
      <c r="T337" s="21" t="s">
        <v>17</v>
      </c>
      <c r="U337" s="21" t="s">
        <v>17</v>
      </c>
      <c r="V337" s="21" t="s">
        <v>17</v>
      </c>
      <c r="W337" s="21" t="s">
        <v>17</v>
      </c>
      <c r="X337" s="21" t="s">
        <v>17</v>
      </c>
      <c r="Y337" s="21" t="s">
        <v>17</v>
      </c>
      <c r="Z337" s="21" t="s">
        <v>1741</v>
      </c>
      <c r="AA337" s="21" t="s">
        <v>627</v>
      </c>
      <c r="AB337" s="21" t="s">
        <v>740</v>
      </c>
      <c r="AC337" s="21" t="s">
        <v>1742</v>
      </c>
      <c r="AD337" s="21" t="s">
        <v>1743</v>
      </c>
    </row>
    <row r="338" spans="1:30">
      <c r="A338" s="21">
        <v>210871</v>
      </c>
      <c r="B338" s="21" t="s">
        <v>726</v>
      </c>
      <c r="C338" s="21" t="s">
        <v>27</v>
      </c>
      <c r="D338" s="21" t="s">
        <v>727</v>
      </c>
      <c r="E338" s="21" t="s">
        <v>727</v>
      </c>
      <c r="F338" s="21" t="s">
        <v>727</v>
      </c>
      <c r="G338" s="21" t="s">
        <v>747</v>
      </c>
      <c r="H338" s="21" t="s">
        <v>17</v>
      </c>
      <c r="I338" s="21" t="s">
        <v>17</v>
      </c>
      <c r="J338" s="21" t="s">
        <v>17</v>
      </c>
      <c r="K338" s="21">
        <v>35</v>
      </c>
      <c r="L338" s="21" t="s">
        <v>730</v>
      </c>
      <c r="M338" s="21" t="s">
        <v>758</v>
      </c>
      <c r="N338" s="21" t="s">
        <v>748</v>
      </c>
      <c r="O338" s="21" t="s">
        <v>754</v>
      </c>
      <c r="P338" s="21" t="s">
        <v>17</v>
      </c>
      <c r="Q338" s="21" t="s">
        <v>17</v>
      </c>
      <c r="R338" s="21" t="s">
        <v>17</v>
      </c>
      <c r="S338" s="21" t="s">
        <v>17</v>
      </c>
      <c r="T338" s="21" t="s">
        <v>17</v>
      </c>
      <c r="U338" s="21" t="s">
        <v>17</v>
      </c>
      <c r="V338" s="21" t="s">
        <v>17</v>
      </c>
      <c r="W338" s="21" t="s">
        <v>17</v>
      </c>
      <c r="X338" s="21" t="s">
        <v>17</v>
      </c>
      <c r="Y338" s="21" t="s">
        <v>17</v>
      </c>
      <c r="Z338" s="21" t="s">
        <v>1741</v>
      </c>
      <c r="AA338" s="21" t="s">
        <v>628</v>
      </c>
      <c r="AB338" s="21" t="s">
        <v>740</v>
      </c>
      <c r="AC338" s="21" t="s">
        <v>1734</v>
      </c>
      <c r="AD338" s="21" t="s">
        <v>1735</v>
      </c>
    </row>
    <row r="339" spans="1:30">
      <c r="A339" s="21">
        <v>210870</v>
      </c>
      <c r="B339" s="21" t="s">
        <v>726</v>
      </c>
      <c r="C339" s="21" t="s">
        <v>27</v>
      </c>
      <c r="D339" s="21" t="s">
        <v>727</v>
      </c>
      <c r="E339" s="21" t="s">
        <v>727</v>
      </c>
      <c r="F339" s="21" t="s">
        <v>727</v>
      </c>
      <c r="G339" s="21" t="s">
        <v>747</v>
      </c>
      <c r="H339" s="21" t="s">
        <v>17</v>
      </c>
      <c r="I339" s="21" t="s">
        <v>17</v>
      </c>
      <c r="J339" s="21" t="s">
        <v>17</v>
      </c>
      <c r="K339" s="21">
        <v>35</v>
      </c>
      <c r="L339" s="21" t="s">
        <v>730</v>
      </c>
      <c r="M339" s="21" t="s">
        <v>758</v>
      </c>
      <c r="N339" s="21" t="s">
        <v>748</v>
      </c>
      <c r="O339" s="21" t="s">
        <v>754</v>
      </c>
      <c r="P339" s="21" t="s">
        <v>17</v>
      </c>
      <c r="Q339" s="21" t="s">
        <v>17</v>
      </c>
      <c r="R339" s="21" t="s">
        <v>17</v>
      </c>
      <c r="S339" s="21" t="s">
        <v>17</v>
      </c>
      <c r="T339" s="21" t="s">
        <v>17</v>
      </c>
      <c r="U339" s="21" t="s">
        <v>17</v>
      </c>
      <c r="V339" s="21" t="s">
        <v>17</v>
      </c>
      <c r="W339" s="21" t="s">
        <v>17</v>
      </c>
      <c r="X339" s="21" t="s">
        <v>17</v>
      </c>
      <c r="Y339" s="21" t="s">
        <v>17</v>
      </c>
      <c r="Z339" s="21" t="s">
        <v>1744</v>
      </c>
      <c r="AA339" s="21" t="s">
        <v>629</v>
      </c>
      <c r="AB339" s="21" t="s">
        <v>1745</v>
      </c>
      <c r="AC339" s="21" t="s">
        <v>1746</v>
      </c>
      <c r="AD339" s="21" t="s">
        <v>1747</v>
      </c>
    </row>
    <row r="340" spans="1:30">
      <c r="A340" s="21">
        <v>210869</v>
      </c>
      <c r="B340" s="21" t="s">
        <v>726</v>
      </c>
      <c r="C340" s="21" t="s">
        <v>27</v>
      </c>
      <c r="D340" s="21" t="s">
        <v>727</v>
      </c>
      <c r="E340" s="21" t="s">
        <v>727</v>
      </c>
      <c r="F340" s="21" t="s">
        <v>727</v>
      </c>
      <c r="G340" s="21" t="s">
        <v>747</v>
      </c>
      <c r="H340" s="21" t="s">
        <v>17</v>
      </c>
      <c r="I340" s="21" t="s">
        <v>17</v>
      </c>
      <c r="J340" s="21" t="s">
        <v>17</v>
      </c>
      <c r="K340" s="21">
        <v>35</v>
      </c>
      <c r="L340" s="21" t="s">
        <v>730</v>
      </c>
      <c r="M340" s="21" t="s">
        <v>758</v>
      </c>
      <c r="N340" s="21" t="s">
        <v>748</v>
      </c>
      <c r="O340" s="21" t="s">
        <v>754</v>
      </c>
      <c r="P340" s="21" t="s">
        <v>17</v>
      </c>
      <c r="Q340" s="21" t="s">
        <v>17</v>
      </c>
      <c r="R340" s="21" t="s">
        <v>17</v>
      </c>
      <c r="S340" s="21" t="s">
        <v>17</v>
      </c>
      <c r="T340" s="21" t="s">
        <v>17</v>
      </c>
      <c r="U340" s="21" t="s">
        <v>17</v>
      </c>
      <c r="V340" s="21" t="s">
        <v>17</v>
      </c>
      <c r="W340" s="21" t="s">
        <v>17</v>
      </c>
      <c r="X340" s="21" t="s">
        <v>17</v>
      </c>
      <c r="Y340" s="21" t="s">
        <v>17</v>
      </c>
      <c r="Z340" s="21" t="s">
        <v>1748</v>
      </c>
      <c r="AA340" s="21" t="s">
        <v>631</v>
      </c>
      <c r="AB340" s="21" t="s">
        <v>1749</v>
      </c>
      <c r="AC340" s="21" t="s">
        <v>1750</v>
      </c>
      <c r="AD340" s="21" t="s">
        <v>1751</v>
      </c>
    </row>
    <row r="341" spans="1:30">
      <c r="A341" s="21">
        <v>210868</v>
      </c>
      <c r="B341" s="21" t="s">
        <v>726</v>
      </c>
      <c r="C341" s="21" t="s">
        <v>27</v>
      </c>
      <c r="D341" s="21" t="s">
        <v>727</v>
      </c>
      <c r="E341" s="21" t="s">
        <v>747</v>
      </c>
      <c r="F341" s="21" t="s">
        <v>727</v>
      </c>
      <c r="G341" s="21" t="s">
        <v>747</v>
      </c>
      <c r="H341" s="21" t="s">
        <v>17</v>
      </c>
      <c r="I341" s="21" t="s">
        <v>17</v>
      </c>
      <c r="J341" s="21" t="s">
        <v>17</v>
      </c>
      <c r="K341" s="21">
        <v>30</v>
      </c>
      <c r="L341" s="21" t="s">
        <v>730</v>
      </c>
      <c r="M341" s="21" t="s">
        <v>730</v>
      </c>
      <c r="N341" s="21" t="s">
        <v>748</v>
      </c>
      <c r="O341" s="21" t="s">
        <v>754</v>
      </c>
      <c r="P341" s="21" t="s">
        <v>17</v>
      </c>
      <c r="Q341" s="21" t="s">
        <v>17</v>
      </c>
      <c r="R341" s="21" t="s">
        <v>17</v>
      </c>
      <c r="S341" s="21" t="s">
        <v>17</v>
      </c>
      <c r="T341" s="21" t="s">
        <v>17</v>
      </c>
      <c r="U341" s="21" t="s">
        <v>17</v>
      </c>
      <c r="V341" s="21" t="s">
        <v>17</v>
      </c>
      <c r="W341" s="21" t="s">
        <v>17</v>
      </c>
      <c r="X341" s="21" t="s">
        <v>17</v>
      </c>
      <c r="Y341" s="21" t="s">
        <v>17</v>
      </c>
      <c r="Z341" s="21" t="s">
        <v>1748</v>
      </c>
      <c r="AA341" s="21" t="s">
        <v>633</v>
      </c>
      <c r="AB341" s="21" t="s">
        <v>1752</v>
      </c>
      <c r="AC341" s="21" t="s">
        <v>1753</v>
      </c>
      <c r="AD341" s="21" t="s">
        <v>1754</v>
      </c>
    </row>
    <row r="342" spans="1:30">
      <c r="A342" s="21">
        <v>210866</v>
      </c>
      <c r="B342" s="21" t="s">
        <v>726</v>
      </c>
      <c r="C342" s="21" t="s">
        <v>27</v>
      </c>
      <c r="D342" s="21" t="s">
        <v>727</v>
      </c>
      <c r="E342" s="21" t="s">
        <v>727</v>
      </c>
      <c r="F342" s="21" t="s">
        <v>727</v>
      </c>
      <c r="G342" s="21" t="s">
        <v>747</v>
      </c>
      <c r="H342" s="21" t="s">
        <v>17</v>
      </c>
      <c r="I342" s="21" t="s">
        <v>17</v>
      </c>
      <c r="J342" s="21" t="s">
        <v>17</v>
      </c>
      <c r="K342" s="21">
        <v>35</v>
      </c>
      <c r="L342" s="21" t="s">
        <v>730</v>
      </c>
      <c r="M342" s="21" t="s">
        <v>758</v>
      </c>
      <c r="N342" s="21" t="s">
        <v>748</v>
      </c>
      <c r="O342" s="21" t="s">
        <v>754</v>
      </c>
      <c r="P342" s="21" t="s">
        <v>17</v>
      </c>
      <c r="Q342" s="21" t="s">
        <v>17</v>
      </c>
      <c r="R342" s="21" t="s">
        <v>17</v>
      </c>
      <c r="S342" s="21" t="s">
        <v>17</v>
      </c>
      <c r="T342" s="21" t="s">
        <v>17</v>
      </c>
      <c r="U342" s="21" t="s">
        <v>17</v>
      </c>
      <c r="V342" s="21" t="s">
        <v>17</v>
      </c>
      <c r="W342" s="21" t="s">
        <v>17</v>
      </c>
      <c r="X342" s="21" t="s">
        <v>17</v>
      </c>
      <c r="Y342" s="21" t="s">
        <v>17</v>
      </c>
      <c r="Z342" s="21" t="s">
        <v>1755</v>
      </c>
      <c r="AA342" s="21" t="s">
        <v>634</v>
      </c>
      <c r="AB342" s="21" t="s">
        <v>1756</v>
      </c>
      <c r="AC342" s="21" t="s">
        <v>1757</v>
      </c>
      <c r="AD342" s="21" t="s">
        <v>1758</v>
      </c>
    </row>
    <row r="343" spans="1:30">
      <c r="A343" s="21">
        <v>210865</v>
      </c>
      <c r="B343" s="21" t="s">
        <v>726</v>
      </c>
      <c r="C343" s="21" t="s">
        <v>27</v>
      </c>
      <c r="D343" s="21" t="s">
        <v>727</v>
      </c>
      <c r="E343" s="21" t="s">
        <v>727</v>
      </c>
      <c r="F343" s="21" t="s">
        <v>727</v>
      </c>
      <c r="G343" s="21" t="s">
        <v>747</v>
      </c>
      <c r="H343" s="21" t="s">
        <v>17</v>
      </c>
      <c r="I343" s="21" t="s">
        <v>17</v>
      </c>
      <c r="J343" s="21" t="s">
        <v>17</v>
      </c>
      <c r="K343" s="21">
        <v>35</v>
      </c>
      <c r="L343" s="21" t="s">
        <v>730</v>
      </c>
      <c r="M343" s="21" t="s">
        <v>758</v>
      </c>
      <c r="N343" s="21" t="s">
        <v>748</v>
      </c>
      <c r="O343" s="21" t="s">
        <v>754</v>
      </c>
      <c r="P343" s="21" t="s">
        <v>17</v>
      </c>
      <c r="Q343" s="21" t="s">
        <v>17</v>
      </c>
      <c r="R343" s="21" t="s">
        <v>17</v>
      </c>
      <c r="S343" s="21" t="s">
        <v>17</v>
      </c>
      <c r="T343" s="21" t="s">
        <v>17</v>
      </c>
      <c r="U343" s="21" t="s">
        <v>17</v>
      </c>
      <c r="V343" s="21" t="s">
        <v>17</v>
      </c>
      <c r="W343" s="21" t="s">
        <v>17</v>
      </c>
      <c r="X343" s="21" t="s">
        <v>17</v>
      </c>
      <c r="Y343" s="21" t="s">
        <v>17</v>
      </c>
      <c r="Z343" s="21" t="s">
        <v>1755</v>
      </c>
      <c r="AA343" s="21" t="s">
        <v>636</v>
      </c>
      <c r="AB343" s="21" t="s">
        <v>740</v>
      </c>
      <c r="AC343" s="21" t="s">
        <v>1759</v>
      </c>
      <c r="AD343" s="21" t="s">
        <v>1760</v>
      </c>
    </row>
    <row r="344" spans="1:30">
      <c r="A344" s="21">
        <v>210864</v>
      </c>
      <c r="B344" s="21" t="s">
        <v>726</v>
      </c>
      <c r="C344" s="21" t="s">
        <v>27</v>
      </c>
      <c r="D344" s="21" t="s">
        <v>727</v>
      </c>
      <c r="E344" s="21" t="s">
        <v>727</v>
      </c>
      <c r="F344" s="21" t="s">
        <v>727</v>
      </c>
      <c r="G344" s="21" t="s">
        <v>747</v>
      </c>
      <c r="H344" s="21" t="s">
        <v>17</v>
      </c>
      <c r="I344" s="21" t="s">
        <v>17</v>
      </c>
      <c r="J344" s="21" t="s">
        <v>17</v>
      </c>
      <c r="K344" s="21">
        <v>35</v>
      </c>
      <c r="L344" s="21" t="s">
        <v>730</v>
      </c>
      <c r="M344" s="21" t="s">
        <v>758</v>
      </c>
      <c r="N344" s="21" t="s">
        <v>748</v>
      </c>
      <c r="O344" s="21" t="s">
        <v>754</v>
      </c>
      <c r="P344" s="21" t="s">
        <v>17</v>
      </c>
      <c r="Q344" s="21" t="s">
        <v>17</v>
      </c>
      <c r="R344" s="21" t="s">
        <v>17</v>
      </c>
      <c r="S344" s="21" t="s">
        <v>17</v>
      </c>
      <c r="T344" s="21" t="s">
        <v>17</v>
      </c>
      <c r="U344" s="21" t="s">
        <v>17</v>
      </c>
      <c r="V344" s="21" t="s">
        <v>17</v>
      </c>
      <c r="W344" s="21" t="s">
        <v>17</v>
      </c>
      <c r="X344" s="21" t="s">
        <v>17</v>
      </c>
      <c r="Y344" s="21" t="s">
        <v>17</v>
      </c>
      <c r="Z344" s="21" t="s">
        <v>1761</v>
      </c>
      <c r="AA344" s="21" t="s">
        <v>637</v>
      </c>
      <c r="AB344" s="21" t="s">
        <v>879</v>
      </c>
      <c r="AC344" s="21" t="s">
        <v>1762</v>
      </c>
      <c r="AD344" s="21" t="s">
        <v>1763</v>
      </c>
    </row>
    <row r="345" spans="1:30">
      <c r="A345" s="21">
        <v>210863</v>
      </c>
      <c r="B345" s="21" t="s">
        <v>726</v>
      </c>
      <c r="C345" s="21" t="s">
        <v>27</v>
      </c>
      <c r="D345" s="21" t="s">
        <v>727</v>
      </c>
      <c r="E345" s="21" t="s">
        <v>727</v>
      </c>
      <c r="F345" s="21" t="s">
        <v>727</v>
      </c>
      <c r="G345" s="21" t="s">
        <v>955</v>
      </c>
      <c r="H345" s="21" t="s">
        <v>17</v>
      </c>
      <c r="I345" s="21" t="s">
        <v>17</v>
      </c>
      <c r="J345" s="21" t="s">
        <v>17</v>
      </c>
      <c r="K345" s="21">
        <v>33</v>
      </c>
      <c r="L345" s="21" t="s">
        <v>730</v>
      </c>
      <c r="M345" s="21" t="s">
        <v>758</v>
      </c>
      <c r="N345" s="21" t="s">
        <v>748</v>
      </c>
      <c r="O345" s="21" t="s">
        <v>957</v>
      </c>
      <c r="P345" s="21" t="s">
        <v>17</v>
      </c>
      <c r="Q345" s="21" t="s">
        <v>17</v>
      </c>
      <c r="R345" s="21" t="s">
        <v>17</v>
      </c>
      <c r="S345" s="21" t="s">
        <v>17</v>
      </c>
      <c r="T345" s="21" t="s">
        <v>17</v>
      </c>
      <c r="U345" s="21" t="s">
        <v>17</v>
      </c>
      <c r="V345" s="21" t="s">
        <v>17</v>
      </c>
      <c r="W345" s="21" t="s">
        <v>17</v>
      </c>
      <c r="X345" s="21" t="s">
        <v>17</v>
      </c>
      <c r="Y345" s="21" t="s">
        <v>17</v>
      </c>
      <c r="Z345" s="21" t="s">
        <v>1764</v>
      </c>
      <c r="AA345" s="21" t="s">
        <v>639</v>
      </c>
      <c r="AB345" s="21" t="s">
        <v>1765</v>
      </c>
      <c r="AC345" s="21" t="s">
        <v>1766</v>
      </c>
      <c r="AD345" s="21" t="s">
        <v>1767</v>
      </c>
    </row>
    <row r="346" spans="1:30">
      <c r="A346" s="21">
        <v>210862</v>
      </c>
      <c r="B346" s="21" t="s">
        <v>726</v>
      </c>
      <c r="C346" s="21" t="s">
        <v>27</v>
      </c>
      <c r="D346" s="21" t="s">
        <v>727</v>
      </c>
      <c r="E346" s="21" t="s">
        <v>727</v>
      </c>
      <c r="F346" s="21" t="s">
        <v>727</v>
      </c>
      <c r="G346" s="21" t="s">
        <v>747</v>
      </c>
      <c r="H346" s="21" t="s">
        <v>17</v>
      </c>
      <c r="I346" s="21" t="s">
        <v>17</v>
      </c>
      <c r="J346" s="21" t="s">
        <v>17</v>
      </c>
      <c r="K346" s="21">
        <v>35</v>
      </c>
      <c r="L346" s="21" t="s">
        <v>730</v>
      </c>
      <c r="M346" s="21" t="s">
        <v>758</v>
      </c>
      <c r="N346" s="21" t="s">
        <v>748</v>
      </c>
      <c r="O346" s="21" t="s">
        <v>754</v>
      </c>
      <c r="P346" s="21" t="s">
        <v>17</v>
      </c>
      <c r="Q346" s="21" t="s">
        <v>17</v>
      </c>
      <c r="R346" s="21" t="s">
        <v>17</v>
      </c>
      <c r="S346" s="21" t="s">
        <v>17</v>
      </c>
      <c r="T346" s="21" t="s">
        <v>17</v>
      </c>
      <c r="U346" s="21" t="s">
        <v>17</v>
      </c>
      <c r="V346" s="21" t="s">
        <v>17</v>
      </c>
      <c r="W346" s="21" t="s">
        <v>17</v>
      </c>
      <c r="X346" s="21" t="s">
        <v>17</v>
      </c>
      <c r="Y346" s="21" t="s">
        <v>17</v>
      </c>
      <c r="Z346" s="21" t="s">
        <v>1764</v>
      </c>
      <c r="AA346" s="21" t="s">
        <v>641</v>
      </c>
      <c r="AB346" s="21" t="s">
        <v>796</v>
      </c>
      <c r="AC346" s="21" t="s">
        <v>1768</v>
      </c>
      <c r="AD346" s="21" t="s">
        <v>1769</v>
      </c>
    </row>
    <row r="347" spans="1:30">
      <c r="A347" s="21">
        <v>210861</v>
      </c>
      <c r="B347" s="21" t="s">
        <v>726</v>
      </c>
      <c r="C347" s="21" t="s">
        <v>27</v>
      </c>
      <c r="D347" s="21" t="s">
        <v>727</v>
      </c>
      <c r="E347" s="21" t="s">
        <v>747</v>
      </c>
      <c r="F347" s="21" t="s">
        <v>752</v>
      </c>
      <c r="G347" s="21" t="s">
        <v>747</v>
      </c>
      <c r="H347" s="21" t="s">
        <v>17</v>
      </c>
      <c r="I347" s="21" t="s">
        <v>17</v>
      </c>
      <c r="J347" s="21" t="s">
        <v>17</v>
      </c>
      <c r="K347" s="21">
        <v>10</v>
      </c>
      <c r="L347" s="21" t="s">
        <v>730</v>
      </c>
      <c r="M347" s="21" t="s">
        <v>730</v>
      </c>
      <c r="N347" s="21" t="s">
        <v>843</v>
      </c>
      <c r="O347" s="21" t="s">
        <v>754</v>
      </c>
      <c r="P347" s="21" t="s">
        <v>17</v>
      </c>
      <c r="Q347" s="21" t="s">
        <v>17</v>
      </c>
      <c r="R347" s="21" t="s">
        <v>17</v>
      </c>
      <c r="S347" s="21" t="s">
        <v>17</v>
      </c>
      <c r="T347" s="21" t="s">
        <v>17</v>
      </c>
      <c r="U347" s="21" t="s">
        <v>17</v>
      </c>
      <c r="V347" s="21" t="s">
        <v>17</v>
      </c>
      <c r="W347" s="21" t="s">
        <v>17</v>
      </c>
      <c r="X347" s="21" t="s">
        <v>17</v>
      </c>
      <c r="Y347" s="21" t="s">
        <v>17</v>
      </c>
      <c r="Z347" s="21" t="s">
        <v>1764</v>
      </c>
      <c r="AA347" s="21" t="s">
        <v>642</v>
      </c>
      <c r="AB347" s="21" t="s">
        <v>740</v>
      </c>
      <c r="AC347" s="21" t="s">
        <v>1770</v>
      </c>
      <c r="AD347" s="21" t="s">
        <v>1771</v>
      </c>
    </row>
    <row r="348" spans="1:30">
      <c r="A348" s="21">
        <v>210860</v>
      </c>
      <c r="B348" s="21" t="s">
        <v>726</v>
      </c>
      <c r="C348" s="21" t="s">
        <v>27</v>
      </c>
      <c r="D348" s="21" t="s">
        <v>727</v>
      </c>
      <c r="E348" s="21" t="s">
        <v>727</v>
      </c>
      <c r="F348" s="21" t="s">
        <v>727</v>
      </c>
      <c r="G348" s="21" t="s">
        <v>747</v>
      </c>
      <c r="H348" s="21" t="s">
        <v>17</v>
      </c>
      <c r="I348" s="21" t="s">
        <v>17</v>
      </c>
      <c r="J348" s="21" t="s">
        <v>17</v>
      </c>
      <c r="K348" s="21">
        <v>35</v>
      </c>
      <c r="L348" s="21" t="s">
        <v>730</v>
      </c>
      <c r="M348" s="21" t="s">
        <v>758</v>
      </c>
      <c r="N348" s="21" t="s">
        <v>748</v>
      </c>
      <c r="O348" s="21" t="s">
        <v>754</v>
      </c>
      <c r="P348" s="21" t="s">
        <v>17</v>
      </c>
      <c r="Q348" s="21" t="s">
        <v>17</v>
      </c>
      <c r="R348" s="21" t="s">
        <v>17</v>
      </c>
      <c r="S348" s="21" t="s">
        <v>17</v>
      </c>
      <c r="T348" s="21" t="s">
        <v>17</v>
      </c>
      <c r="U348" s="21" t="s">
        <v>17</v>
      </c>
      <c r="V348" s="21" t="s">
        <v>17</v>
      </c>
      <c r="W348" s="21" t="s">
        <v>17</v>
      </c>
      <c r="X348" s="21" t="s">
        <v>17</v>
      </c>
      <c r="Y348" s="21" t="s">
        <v>17</v>
      </c>
      <c r="Z348" s="21" t="s">
        <v>1772</v>
      </c>
      <c r="AA348" s="21" t="s">
        <v>643</v>
      </c>
      <c r="AB348" s="21" t="s">
        <v>1773</v>
      </c>
      <c r="AC348" s="21" t="s">
        <v>1774</v>
      </c>
      <c r="AD348" s="21" t="s">
        <v>1775</v>
      </c>
    </row>
    <row r="349" spans="1:30">
      <c r="A349" s="21">
        <v>210859</v>
      </c>
      <c r="B349" s="21" t="s">
        <v>726</v>
      </c>
      <c r="C349" s="21" t="s">
        <v>27</v>
      </c>
      <c r="D349" s="21" t="s">
        <v>727</v>
      </c>
      <c r="E349" s="21" t="s">
        <v>727</v>
      </c>
      <c r="F349" s="21" t="s">
        <v>727</v>
      </c>
      <c r="G349" s="21" t="s">
        <v>747</v>
      </c>
      <c r="H349" s="21" t="s">
        <v>17</v>
      </c>
      <c r="I349" s="21" t="s">
        <v>17</v>
      </c>
      <c r="J349" s="21" t="s">
        <v>17</v>
      </c>
      <c r="K349" s="21">
        <v>35</v>
      </c>
      <c r="L349" s="21" t="s">
        <v>730</v>
      </c>
      <c r="M349" s="21" t="s">
        <v>758</v>
      </c>
      <c r="N349" s="21" t="s">
        <v>748</v>
      </c>
      <c r="O349" s="21" t="s">
        <v>754</v>
      </c>
      <c r="P349" s="21" t="s">
        <v>17</v>
      </c>
      <c r="Q349" s="21" t="s">
        <v>17</v>
      </c>
      <c r="R349" s="21" t="s">
        <v>17</v>
      </c>
      <c r="S349" s="21" t="s">
        <v>17</v>
      </c>
      <c r="T349" s="21" t="s">
        <v>17</v>
      </c>
      <c r="U349" s="21" t="s">
        <v>17</v>
      </c>
      <c r="V349" s="21" t="s">
        <v>17</v>
      </c>
      <c r="W349" s="21" t="s">
        <v>17</v>
      </c>
      <c r="X349" s="21" t="s">
        <v>17</v>
      </c>
      <c r="Y349" s="21" t="s">
        <v>17</v>
      </c>
      <c r="Z349" s="21" t="s">
        <v>1776</v>
      </c>
      <c r="AA349" s="21" t="s">
        <v>645</v>
      </c>
      <c r="AB349" s="21" t="s">
        <v>740</v>
      </c>
      <c r="AC349" s="21" t="s">
        <v>1777</v>
      </c>
      <c r="AD349" s="21" t="s">
        <v>1778</v>
      </c>
    </row>
    <row r="350" spans="1:30">
      <c r="A350" s="21">
        <v>210858</v>
      </c>
      <c r="B350" s="21" t="s">
        <v>726</v>
      </c>
      <c r="C350" s="21" t="s">
        <v>27</v>
      </c>
      <c r="D350" s="21" t="s">
        <v>727</v>
      </c>
      <c r="E350" s="21" t="s">
        <v>747</v>
      </c>
      <c r="F350" s="21" t="s">
        <v>727</v>
      </c>
      <c r="G350" s="21" t="s">
        <v>747</v>
      </c>
      <c r="H350" s="21" t="s">
        <v>17</v>
      </c>
      <c r="I350" s="21" t="s">
        <v>17</v>
      </c>
      <c r="J350" s="21" t="s">
        <v>17</v>
      </c>
      <c r="K350" s="21">
        <v>30</v>
      </c>
      <c r="L350" s="21" t="s">
        <v>730</v>
      </c>
      <c r="M350" s="21" t="s">
        <v>730</v>
      </c>
      <c r="N350" s="21" t="s">
        <v>748</v>
      </c>
      <c r="O350" s="21" t="s">
        <v>754</v>
      </c>
      <c r="P350" s="21" t="s">
        <v>17</v>
      </c>
      <c r="Q350" s="21" t="s">
        <v>17</v>
      </c>
      <c r="R350" s="21" t="s">
        <v>17</v>
      </c>
      <c r="S350" s="21" t="s">
        <v>17</v>
      </c>
      <c r="T350" s="21" t="s">
        <v>17</v>
      </c>
      <c r="U350" s="21" t="s">
        <v>17</v>
      </c>
      <c r="V350" s="21" t="s">
        <v>17</v>
      </c>
      <c r="W350" s="21" t="s">
        <v>17</v>
      </c>
      <c r="X350" s="21" t="s">
        <v>17</v>
      </c>
      <c r="Y350" s="21" t="s">
        <v>17</v>
      </c>
      <c r="Z350" s="21" t="s">
        <v>1779</v>
      </c>
      <c r="AA350" s="21" t="s">
        <v>647</v>
      </c>
      <c r="AB350" s="21" t="s">
        <v>1780</v>
      </c>
      <c r="AC350" s="21" t="s">
        <v>1781</v>
      </c>
      <c r="AD350" s="21" t="s">
        <v>1782</v>
      </c>
    </row>
    <row r="351" spans="1:30">
      <c r="A351" s="21">
        <v>210857</v>
      </c>
      <c r="B351" s="21" t="s">
        <v>726</v>
      </c>
      <c r="C351" s="21" t="s">
        <v>27</v>
      </c>
      <c r="D351" s="21" t="s">
        <v>727</v>
      </c>
      <c r="E351" s="21" t="s">
        <v>747</v>
      </c>
      <c r="F351" s="21" t="s">
        <v>727</v>
      </c>
      <c r="G351" s="21" t="s">
        <v>747</v>
      </c>
      <c r="H351" s="21" t="s">
        <v>17</v>
      </c>
      <c r="I351" s="21" t="s">
        <v>17</v>
      </c>
      <c r="J351" s="21" t="s">
        <v>17</v>
      </c>
      <c r="K351" s="21">
        <v>30</v>
      </c>
      <c r="L351" s="21" t="s">
        <v>730</v>
      </c>
      <c r="M351" s="21" t="s">
        <v>730</v>
      </c>
      <c r="N351" s="21" t="s">
        <v>748</v>
      </c>
      <c r="O351" s="21" t="s">
        <v>754</v>
      </c>
      <c r="P351" s="21" t="s">
        <v>17</v>
      </c>
      <c r="Q351" s="21" t="s">
        <v>17</v>
      </c>
      <c r="R351" s="21" t="s">
        <v>17</v>
      </c>
      <c r="S351" s="21" t="s">
        <v>17</v>
      </c>
      <c r="T351" s="21" t="s">
        <v>17</v>
      </c>
      <c r="U351" s="21" t="s">
        <v>17</v>
      </c>
      <c r="V351" s="21" t="s">
        <v>17</v>
      </c>
      <c r="W351" s="21" t="s">
        <v>17</v>
      </c>
      <c r="X351" s="21" t="s">
        <v>17</v>
      </c>
      <c r="Y351" s="21" t="s">
        <v>17</v>
      </c>
      <c r="Z351" s="21" t="s">
        <v>1783</v>
      </c>
      <c r="AA351" s="21" t="s">
        <v>649</v>
      </c>
      <c r="AB351" s="21" t="s">
        <v>879</v>
      </c>
      <c r="AC351" s="21" t="s">
        <v>1784</v>
      </c>
      <c r="AD351" s="21" t="s">
        <v>1785</v>
      </c>
    </row>
    <row r="352" spans="1:30">
      <c r="A352" s="21">
        <v>210856</v>
      </c>
      <c r="B352" s="21" t="s">
        <v>726</v>
      </c>
      <c r="C352" s="21" t="s">
        <v>27</v>
      </c>
      <c r="D352" s="21" t="s">
        <v>727</v>
      </c>
      <c r="E352" s="21" t="s">
        <v>727</v>
      </c>
      <c r="F352" s="21" t="s">
        <v>727</v>
      </c>
      <c r="G352" s="21" t="s">
        <v>747</v>
      </c>
      <c r="H352" s="21" t="s">
        <v>17</v>
      </c>
      <c r="I352" s="21" t="s">
        <v>17</v>
      </c>
      <c r="J352" s="21" t="s">
        <v>17</v>
      </c>
      <c r="K352" s="21">
        <v>35</v>
      </c>
      <c r="L352" s="21" t="s">
        <v>730</v>
      </c>
      <c r="M352" s="21" t="s">
        <v>758</v>
      </c>
      <c r="N352" s="21" t="s">
        <v>748</v>
      </c>
      <c r="O352" s="21" t="s">
        <v>754</v>
      </c>
      <c r="P352" s="21" t="s">
        <v>17</v>
      </c>
      <c r="Q352" s="21" t="s">
        <v>17</v>
      </c>
      <c r="R352" s="21" t="s">
        <v>17</v>
      </c>
      <c r="S352" s="21" t="s">
        <v>17</v>
      </c>
      <c r="T352" s="21" t="s">
        <v>17</v>
      </c>
      <c r="U352" s="21" t="s">
        <v>17</v>
      </c>
      <c r="V352" s="21" t="s">
        <v>17</v>
      </c>
      <c r="W352" s="21" t="s">
        <v>17</v>
      </c>
      <c r="X352" s="21" t="s">
        <v>17</v>
      </c>
      <c r="Y352" s="21" t="s">
        <v>17</v>
      </c>
      <c r="Z352" s="21" t="s">
        <v>1786</v>
      </c>
      <c r="AA352" s="21" t="s">
        <v>651</v>
      </c>
      <c r="AB352" s="21" t="s">
        <v>879</v>
      </c>
      <c r="AC352" s="21" t="s">
        <v>1787</v>
      </c>
      <c r="AD352" s="21" t="s">
        <v>1788</v>
      </c>
    </row>
    <row r="353" spans="1:30">
      <c r="A353" s="21">
        <v>210855</v>
      </c>
      <c r="B353" s="21" t="s">
        <v>726</v>
      </c>
      <c r="C353" s="21" t="s">
        <v>27</v>
      </c>
      <c r="D353" s="21" t="s">
        <v>727</v>
      </c>
      <c r="E353" s="21" t="s">
        <v>727</v>
      </c>
      <c r="F353" s="21" t="s">
        <v>727</v>
      </c>
      <c r="G353" s="21" t="s">
        <v>747</v>
      </c>
      <c r="H353" s="21" t="s">
        <v>17</v>
      </c>
      <c r="I353" s="21" t="s">
        <v>17</v>
      </c>
      <c r="J353" s="21" t="s">
        <v>17</v>
      </c>
      <c r="K353" s="21">
        <v>35</v>
      </c>
      <c r="L353" s="21" t="s">
        <v>730</v>
      </c>
      <c r="M353" s="21" t="s">
        <v>758</v>
      </c>
      <c r="N353" s="21" t="s">
        <v>748</v>
      </c>
      <c r="O353" s="21" t="s">
        <v>754</v>
      </c>
      <c r="P353" s="21" t="s">
        <v>17</v>
      </c>
      <c r="Q353" s="21" t="s">
        <v>17</v>
      </c>
      <c r="R353" s="21" t="s">
        <v>17</v>
      </c>
      <c r="S353" s="21" t="s">
        <v>17</v>
      </c>
      <c r="T353" s="21" t="s">
        <v>17</v>
      </c>
      <c r="U353" s="21" t="s">
        <v>17</v>
      </c>
      <c r="V353" s="21" t="s">
        <v>17</v>
      </c>
      <c r="W353" s="21" t="s">
        <v>17</v>
      </c>
      <c r="X353" s="21" t="s">
        <v>17</v>
      </c>
      <c r="Y353" s="21" t="s">
        <v>17</v>
      </c>
      <c r="Z353" s="21" t="s">
        <v>1786</v>
      </c>
      <c r="AA353" s="21" t="s">
        <v>653</v>
      </c>
      <c r="AB353" s="21" t="s">
        <v>908</v>
      </c>
      <c r="AC353" s="21" t="s">
        <v>1789</v>
      </c>
      <c r="AD353" s="21" t="s">
        <v>1790</v>
      </c>
    </row>
    <row r="354" spans="1:30">
      <c r="A354" s="21">
        <v>210854</v>
      </c>
      <c r="B354" s="21" t="s">
        <v>726</v>
      </c>
      <c r="C354" s="21" t="s">
        <v>27</v>
      </c>
      <c r="D354" s="21" t="s">
        <v>727</v>
      </c>
      <c r="E354" s="21" t="s">
        <v>727</v>
      </c>
      <c r="F354" s="21" t="s">
        <v>727</v>
      </c>
      <c r="G354" s="21" t="s">
        <v>747</v>
      </c>
      <c r="H354" s="21" t="s">
        <v>17</v>
      </c>
      <c r="I354" s="21" t="s">
        <v>17</v>
      </c>
      <c r="J354" s="21" t="s">
        <v>17</v>
      </c>
      <c r="K354" s="21">
        <v>35</v>
      </c>
      <c r="L354" s="21" t="s">
        <v>730</v>
      </c>
      <c r="M354" s="21" t="s">
        <v>758</v>
      </c>
      <c r="N354" s="21" t="s">
        <v>748</v>
      </c>
      <c r="O354" s="21" t="s">
        <v>754</v>
      </c>
      <c r="P354" s="21" t="s">
        <v>17</v>
      </c>
      <c r="Q354" s="21" t="s">
        <v>17</v>
      </c>
      <c r="R354" s="21" t="s">
        <v>17</v>
      </c>
      <c r="S354" s="21" t="s">
        <v>17</v>
      </c>
      <c r="T354" s="21" t="s">
        <v>17</v>
      </c>
      <c r="U354" s="21" t="s">
        <v>17</v>
      </c>
      <c r="V354" s="21" t="s">
        <v>17</v>
      </c>
      <c r="W354" s="21" t="s">
        <v>17</v>
      </c>
      <c r="X354" s="21" t="s">
        <v>17</v>
      </c>
      <c r="Y354" s="21" t="s">
        <v>17</v>
      </c>
      <c r="Z354" s="21" t="s">
        <v>1791</v>
      </c>
      <c r="AA354" s="21" t="s">
        <v>654</v>
      </c>
      <c r="AB354" s="21" t="s">
        <v>774</v>
      </c>
      <c r="AC354" s="21" t="s">
        <v>1792</v>
      </c>
      <c r="AD354" s="21" t="s">
        <v>1793</v>
      </c>
    </row>
    <row r="355" spans="1:30">
      <c r="A355" s="21">
        <v>210853</v>
      </c>
      <c r="B355" s="21" t="s">
        <v>726</v>
      </c>
      <c r="C355" s="21" t="s">
        <v>27</v>
      </c>
      <c r="D355" s="21" t="s">
        <v>727</v>
      </c>
      <c r="E355" s="21" t="s">
        <v>727</v>
      </c>
      <c r="F355" s="21" t="s">
        <v>727</v>
      </c>
      <c r="G355" s="21" t="s">
        <v>747</v>
      </c>
      <c r="H355" s="21" t="s">
        <v>17</v>
      </c>
      <c r="I355" s="21" t="s">
        <v>17</v>
      </c>
      <c r="J355" s="21" t="s">
        <v>17</v>
      </c>
      <c r="K355" s="21">
        <v>35</v>
      </c>
      <c r="L355" s="21" t="s">
        <v>730</v>
      </c>
      <c r="M355" s="21" t="s">
        <v>758</v>
      </c>
      <c r="N355" s="21" t="s">
        <v>748</v>
      </c>
      <c r="O355" s="21" t="s">
        <v>754</v>
      </c>
      <c r="P355" s="21" t="s">
        <v>17</v>
      </c>
      <c r="Q355" s="21" t="s">
        <v>17</v>
      </c>
      <c r="R355" s="21" t="s">
        <v>17</v>
      </c>
      <c r="S355" s="21" t="s">
        <v>17</v>
      </c>
      <c r="T355" s="21" t="s">
        <v>17</v>
      </c>
      <c r="U355" s="21" t="s">
        <v>17</v>
      </c>
      <c r="V355" s="21" t="s">
        <v>17</v>
      </c>
      <c r="W355" s="21" t="s">
        <v>17</v>
      </c>
      <c r="X355" s="21" t="s">
        <v>17</v>
      </c>
      <c r="Y355" s="21" t="s">
        <v>17</v>
      </c>
      <c r="Z355" s="21" t="s">
        <v>1794</v>
      </c>
      <c r="AA355" s="21" t="s">
        <v>656</v>
      </c>
      <c r="AB355" s="21" t="s">
        <v>774</v>
      </c>
      <c r="AC355" s="21" t="s">
        <v>1795</v>
      </c>
      <c r="AD355" s="21" t="s">
        <v>1796</v>
      </c>
    </row>
    <row r="356" spans="1:30">
      <c r="A356" s="21">
        <v>210852</v>
      </c>
      <c r="B356" s="21" t="s">
        <v>726</v>
      </c>
      <c r="C356" s="21" t="s">
        <v>27</v>
      </c>
      <c r="D356" s="21" t="s">
        <v>727</v>
      </c>
      <c r="E356" s="21" t="s">
        <v>727</v>
      </c>
      <c r="F356" s="21" t="s">
        <v>727</v>
      </c>
      <c r="G356" s="21" t="s">
        <v>747</v>
      </c>
      <c r="H356" s="21" t="s">
        <v>17</v>
      </c>
      <c r="I356" s="21" t="s">
        <v>17</v>
      </c>
      <c r="J356" s="21" t="s">
        <v>17</v>
      </c>
      <c r="K356" s="21">
        <v>35</v>
      </c>
      <c r="L356" s="21" t="s">
        <v>730</v>
      </c>
      <c r="M356" s="21" t="s">
        <v>758</v>
      </c>
      <c r="N356" s="21" t="s">
        <v>748</v>
      </c>
      <c r="O356" s="21" t="s">
        <v>754</v>
      </c>
      <c r="P356" s="21" t="s">
        <v>17</v>
      </c>
      <c r="Q356" s="21" t="s">
        <v>17</v>
      </c>
      <c r="R356" s="21" t="s">
        <v>17</v>
      </c>
      <c r="S356" s="21" t="s">
        <v>17</v>
      </c>
      <c r="T356" s="21" t="s">
        <v>17</v>
      </c>
      <c r="U356" s="21" t="s">
        <v>17</v>
      </c>
      <c r="V356" s="21" t="s">
        <v>17</v>
      </c>
      <c r="W356" s="21" t="s">
        <v>17</v>
      </c>
      <c r="X356" s="21" t="s">
        <v>17</v>
      </c>
      <c r="Y356" s="21" t="s">
        <v>17</v>
      </c>
      <c r="Z356" s="21" t="s">
        <v>1794</v>
      </c>
      <c r="AA356" s="21" t="s">
        <v>658</v>
      </c>
      <c r="AB356" s="21" t="s">
        <v>1797</v>
      </c>
      <c r="AC356" s="21" t="s">
        <v>1798</v>
      </c>
      <c r="AD356" s="21" t="s">
        <v>1799</v>
      </c>
    </row>
    <row r="357" spans="1:30">
      <c r="A357" s="21">
        <v>210851</v>
      </c>
      <c r="B357" s="21" t="s">
        <v>726</v>
      </c>
      <c r="C357" s="21" t="s">
        <v>27</v>
      </c>
      <c r="D357" s="21" t="s">
        <v>727</v>
      </c>
      <c r="E357" s="21" t="s">
        <v>727</v>
      </c>
      <c r="F357" s="21" t="s">
        <v>727</v>
      </c>
      <c r="G357" s="21" t="s">
        <v>747</v>
      </c>
      <c r="H357" s="21" t="s">
        <v>17</v>
      </c>
      <c r="I357" s="21" t="s">
        <v>17</v>
      </c>
      <c r="J357" s="21" t="s">
        <v>17</v>
      </c>
      <c r="K357" s="21">
        <v>35</v>
      </c>
      <c r="L357" s="21" t="s">
        <v>730</v>
      </c>
      <c r="M357" s="21" t="s">
        <v>758</v>
      </c>
      <c r="N357" s="21" t="s">
        <v>748</v>
      </c>
      <c r="O357" s="21" t="s">
        <v>754</v>
      </c>
      <c r="P357" s="21" t="s">
        <v>17</v>
      </c>
      <c r="Q357" s="21" t="s">
        <v>17</v>
      </c>
      <c r="R357" s="21" t="s">
        <v>17</v>
      </c>
      <c r="S357" s="21" t="s">
        <v>17</v>
      </c>
      <c r="T357" s="21" t="s">
        <v>17</v>
      </c>
      <c r="U357" s="21" t="s">
        <v>17</v>
      </c>
      <c r="V357" s="21" t="s">
        <v>17</v>
      </c>
      <c r="W357" s="21" t="s">
        <v>17</v>
      </c>
      <c r="X357" s="21" t="s">
        <v>17</v>
      </c>
      <c r="Y357" s="21" t="s">
        <v>17</v>
      </c>
      <c r="Z357" s="21" t="s">
        <v>1794</v>
      </c>
      <c r="AA357" s="21" t="s">
        <v>659</v>
      </c>
      <c r="AB357" s="21" t="s">
        <v>740</v>
      </c>
      <c r="AC357" s="21" t="s">
        <v>1800</v>
      </c>
      <c r="AD357" s="21" t="s">
        <v>1801</v>
      </c>
    </row>
    <row r="358" spans="1:30">
      <c r="A358" s="21">
        <v>210850</v>
      </c>
      <c r="B358" s="21" t="s">
        <v>726</v>
      </c>
      <c r="C358" s="21" t="s">
        <v>27</v>
      </c>
      <c r="D358" s="21" t="s">
        <v>752</v>
      </c>
      <c r="E358" s="21" t="s">
        <v>747</v>
      </c>
      <c r="F358" s="21" t="s">
        <v>727</v>
      </c>
      <c r="G358" s="21" t="s">
        <v>747</v>
      </c>
      <c r="H358" s="21" t="s">
        <v>17</v>
      </c>
      <c r="I358" s="21" t="s">
        <v>17</v>
      </c>
      <c r="J358" s="21" t="s">
        <v>17</v>
      </c>
      <c r="K358" s="21">
        <v>10</v>
      </c>
      <c r="L358" s="21" t="s">
        <v>753</v>
      </c>
      <c r="M358" s="21" t="s">
        <v>730</v>
      </c>
      <c r="N358" s="21" t="s">
        <v>748</v>
      </c>
      <c r="O358" s="21" t="s">
        <v>754</v>
      </c>
      <c r="P358" s="21" t="s">
        <v>17</v>
      </c>
      <c r="Q358" s="21" t="s">
        <v>17</v>
      </c>
      <c r="R358" s="21" t="s">
        <v>17</v>
      </c>
      <c r="S358" s="21" t="s">
        <v>17</v>
      </c>
      <c r="T358" s="21" t="s">
        <v>17</v>
      </c>
      <c r="U358" s="21" t="s">
        <v>17</v>
      </c>
      <c r="V358" s="21" t="s">
        <v>17</v>
      </c>
      <c r="W358" s="21" t="s">
        <v>17</v>
      </c>
      <c r="X358" s="21" t="s">
        <v>17</v>
      </c>
      <c r="Y358" s="21" t="s">
        <v>17</v>
      </c>
      <c r="Z358" s="21" t="s">
        <v>1802</v>
      </c>
      <c r="AA358" s="21" t="s">
        <v>660</v>
      </c>
      <c r="AB358" s="21" t="s">
        <v>879</v>
      </c>
      <c r="AC358" s="21" t="s">
        <v>1803</v>
      </c>
      <c r="AD358" s="21" t="s">
        <v>1804</v>
      </c>
    </row>
    <row r="359" spans="1:30">
      <c r="A359" s="21">
        <v>210849</v>
      </c>
      <c r="B359" s="21" t="s">
        <v>726</v>
      </c>
      <c r="C359" s="21" t="s">
        <v>27</v>
      </c>
      <c r="D359" s="21" t="s">
        <v>727</v>
      </c>
      <c r="E359" s="21" t="s">
        <v>727</v>
      </c>
      <c r="F359" s="21" t="s">
        <v>727</v>
      </c>
      <c r="G359" s="21" t="s">
        <v>747</v>
      </c>
      <c r="H359" s="21" t="s">
        <v>17</v>
      </c>
      <c r="I359" s="21" t="s">
        <v>17</v>
      </c>
      <c r="J359" s="21" t="s">
        <v>17</v>
      </c>
      <c r="K359" s="21">
        <v>35</v>
      </c>
      <c r="L359" s="21" t="s">
        <v>730</v>
      </c>
      <c r="M359" s="21" t="s">
        <v>758</v>
      </c>
      <c r="N359" s="21" t="s">
        <v>748</v>
      </c>
      <c r="O359" s="21" t="s">
        <v>754</v>
      </c>
      <c r="P359" s="21" t="s">
        <v>17</v>
      </c>
      <c r="Q359" s="21" t="s">
        <v>17</v>
      </c>
      <c r="R359" s="21" t="s">
        <v>17</v>
      </c>
      <c r="S359" s="21" t="s">
        <v>17</v>
      </c>
      <c r="T359" s="21" t="s">
        <v>17</v>
      </c>
      <c r="U359" s="21" t="s">
        <v>17</v>
      </c>
      <c r="V359" s="21" t="s">
        <v>17</v>
      </c>
      <c r="W359" s="21" t="s">
        <v>17</v>
      </c>
      <c r="X359" s="21" t="s">
        <v>17</v>
      </c>
      <c r="Y359" s="21" t="s">
        <v>17</v>
      </c>
      <c r="Z359" s="21" t="s">
        <v>1802</v>
      </c>
      <c r="AA359" s="21" t="s">
        <v>662</v>
      </c>
      <c r="AB359" s="21" t="s">
        <v>774</v>
      </c>
      <c r="AC359" s="21" t="s">
        <v>1805</v>
      </c>
      <c r="AD359" s="21" t="s">
        <v>1806</v>
      </c>
    </row>
    <row r="360" spans="1:30">
      <c r="A360" s="21">
        <v>210848</v>
      </c>
      <c r="B360" s="21" t="s">
        <v>726</v>
      </c>
      <c r="C360" s="21" t="s">
        <v>27</v>
      </c>
      <c r="D360" s="21" t="s">
        <v>727</v>
      </c>
      <c r="E360" s="21" t="s">
        <v>727</v>
      </c>
      <c r="F360" s="21" t="s">
        <v>727</v>
      </c>
      <c r="G360" s="21" t="s">
        <v>747</v>
      </c>
      <c r="H360" s="21" t="s">
        <v>17</v>
      </c>
      <c r="I360" s="21" t="s">
        <v>17</v>
      </c>
      <c r="J360" s="21" t="s">
        <v>17</v>
      </c>
      <c r="K360" s="21">
        <v>35</v>
      </c>
      <c r="L360" s="21" t="s">
        <v>730</v>
      </c>
      <c r="M360" s="21" t="s">
        <v>758</v>
      </c>
      <c r="N360" s="21" t="s">
        <v>748</v>
      </c>
      <c r="O360" s="21" t="s">
        <v>754</v>
      </c>
      <c r="P360" s="21" t="s">
        <v>17</v>
      </c>
      <c r="Q360" s="21" t="s">
        <v>17</v>
      </c>
      <c r="R360" s="21" t="s">
        <v>17</v>
      </c>
      <c r="S360" s="21" t="s">
        <v>17</v>
      </c>
      <c r="T360" s="21" t="s">
        <v>17</v>
      </c>
      <c r="U360" s="21" t="s">
        <v>17</v>
      </c>
      <c r="V360" s="21" t="s">
        <v>17</v>
      </c>
      <c r="W360" s="21" t="s">
        <v>17</v>
      </c>
      <c r="X360" s="21" t="s">
        <v>17</v>
      </c>
      <c r="Y360" s="21" t="s">
        <v>17</v>
      </c>
      <c r="Z360" s="21" t="s">
        <v>1802</v>
      </c>
      <c r="AA360" s="21" t="s">
        <v>663</v>
      </c>
      <c r="AB360" s="21" t="s">
        <v>959</v>
      </c>
      <c r="AC360" s="21" t="s">
        <v>1807</v>
      </c>
      <c r="AD360" s="21" t="s">
        <v>1808</v>
      </c>
    </row>
    <row r="361" spans="1:30">
      <c r="A361" s="21">
        <v>210847</v>
      </c>
      <c r="B361" s="21" t="s">
        <v>726</v>
      </c>
      <c r="C361" s="21" t="s">
        <v>27</v>
      </c>
      <c r="D361" s="21" t="s">
        <v>727</v>
      </c>
      <c r="E361" s="21" t="s">
        <v>727</v>
      </c>
      <c r="F361" s="21" t="s">
        <v>727</v>
      </c>
      <c r="G361" s="21" t="s">
        <v>747</v>
      </c>
      <c r="H361" s="21" t="s">
        <v>17</v>
      </c>
      <c r="I361" s="21" t="s">
        <v>17</v>
      </c>
      <c r="J361" s="21" t="s">
        <v>17</v>
      </c>
      <c r="K361" s="21">
        <v>35</v>
      </c>
      <c r="L361" s="21" t="s">
        <v>730</v>
      </c>
      <c r="M361" s="21" t="s">
        <v>758</v>
      </c>
      <c r="N361" s="21" t="s">
        <v>748</v>
      </c>
      <c r="O361" s="21" t="s">
        <v>754</v>
      </c>
      <c r="P361" s="21" t="s">
        <v>17</v>
      </c>
      <c r="Q361" s="21" t="s">
        <v>17</v>
      </c>
      <c r="R361" s="21" t="s">
        <v>17</v>
      </c>
      <c r="S361" s="21" t="s">
        <v>17</v>
      </c>
      <c r="T361" s="21" t="s">
        <v>17</v>
      </c>
      <c r="U361" s="21" t="s">
        <v>17</v>
      </c>
      <c r="V361" s="21" t="s">
        <v>17</v>
      </c>
      <c r="W361" s="21" t="s">
        <v>17</v>
      </c>
      <c r="X361" s="21" t="s">
        <v>17</v>
      </c>
      <c r="Y361" s="21" t="s">
        <v>17</v>
      </c>
      <c r="Z361" s="21" t="s">
        <v>1802</v>
      </c>
      <c r="AA361" s="21" t="s">
        <v>664</v>
      </c>
      <c r="AB361" s="21" t="s">
        <v>1809</v>
      </c>
      <c r="AC361" s="21" t="s">
        <v>1810</v>
      </c>
      <c r="AD361" s="21" t="s">
        <v>1811</v>
      </c>
    </row>
    <row r="362" spans="1:30">
      <c r="A362" s="21">
        <v>210846</v>
      </c>
      <c r="B362" s="21" t="s">
        <v>726</v>
      </c>
      <c r="C362" s="21" t="s">
        <v>27</v>
      </c>
      <c r="D362" s="21" t="s">
        <v>727</v>
      </c>
      <c r="E362" s="21" t="s">
        <v>747</v>
      </c>
      <c r="F362" s="21" t="s">
        <v>747</v>
      </c>
      <c r="G362" s="21" t="s">
        <v>747</v>
      </c>
      <c r="H362" s="21" t="s">
        <v>17</v>
      </c>
      <c r="I362" s="21" t="s">
        <v>17</v>
      </c>
      <c r="J362" s="21" t="s">
        <v>17</v>
      </c>
      <c r="K362" s="21">
        <v>25</v>
      </c>
      <c r="L362" s="21" t="s">
        <v>730</v>
      </c>
      <c r="M362" s="21" t="s">
        <v>730</v>
      </c>
      <c r="N362" s="21" t="s">
        <v>730</v>
      </c>
      <c r="O362" s="21" t="s">
        <v>754</v>
      </c>
      <c r="P362" s="21" t="s">
        <v>17</v>
      </c>
      <c r="Q362" s="21" t="s">
        <v>17</v>
      </c>
      <c r="R362" s="21" t="s">
        <v>17</v>
      </c>
      <c r="S362" s="21" t="s">
        <v>17</v>
      </c>
      <c r="T362" s="21" t="s">
        <v>17</v>
      </c>
      <c r="U362" s="21" t="s">
        <v>17</v>
      </c>
      <c r="V362" s="21" t="s">
        <v>17</v>
      </c>
      <c r="W362" s="21" t="s">
        <v>17</v>
      </c>
      <c r="X362" s="21" t="s">
        <v>17</v>
      </c>
      <c r="Y362" s="21" t="s">
        <v>17</v>
      </c>
      <c r="Z362" s="21" t="s">
        <v>1812</v>
      </c>
      <c r="AA362" s="21" t="s">
        <v>665</v>
      </c>
      <c r="AB362" s="21" t="s">
        <v>774</v>
      </c>
      <c r="AC362" s="21" t="s">
        <v>1813</v>
      </c>
      <c r="AD362" s="21" t="s">
        <v>1814</v>
      </c>
    </row>
    <row r="363" spans="1:30">
      <c r="A363" s="21">
        <v>210845</v>
      </c>
      <c r="B363" s="21" t="s">
        <v>726</v>
      </c>
      <c r="C363" s="21" t="s">
        <v>27</v>
      </c>
      <c r="D363" s="21" t="s">
        <v>752</v>
      </c>
      <c r="E363" s="21" t="s">
        <v>955</v>
      </c>
      <c r="F363" s="21" t="s">
        <v>752</v>
      </c>
      <c r="G363" s="21" t="s">
        <v>955</v>
      </c>
      <c r="H363" s="21" t="s">
        <v>17</v>
      </c>
      <c r="I363" s="21" t="s">
        <v>17</v>
      </c>
      <c r="J363" s="21" t="s">
        <v>17</v>
      </c>
      <c r="K363" s="21">
        <v>-14</v>
      </c>
      <c r="L363" s="21" t="s">
        <v>753</v>
      </c>
      <c r="M363" s="21" t="s">
        <v>1040</v>
      </c>
      <c r="N363" s="21" t="s">
        <v>843</v>
      </c>
      <c r="O363" s="21" t="s">
        <v>957</v>
      </c>
      <c r="P363" s="21" t="s">
        <v>17</v>
      </c>
      <c r="Q363" s="21" t="s">
        <v>17</v>
      </c>
      <c r="R363" s="21" t="s">
        <v>17</v>
      </c>
      <c r="S363" s="21" t="s">
        <v>17</v>
      </c>
      <c r="T363" s="21" t="s">
        <v>17</v>
      </c>
      <c r="U363" s="21" t="s">
        <v>17</v>
      </c>
      <c r="V363" s="21" t="s">
        <v>17</v>
      </c>
      <c r="W363" s="21" t="s">
        <v>17</v>
      </c>
      <c r="X363" s="21" t="s">
        <v>17</v>
      </c>
      <c r="Y363" s="21" t="s">
        <v>17</v>
      </c>
      <c r="Z363" s="21" t="s">
        <v>1812</v>
      </c>
      <c r="AA363" s="21" t="s">
        <v>667</v>
      </c>
      <c r="AB363" s="21" t="s">
        <v>879</v>
      </c>
      <c r="AC363" s="21" t="s">
        <v>1815</v>
      </c>
      <c r="AD363" s="21" t="s">
        <v>1816</v>
      </c>
    </row>
    <row r="364" spans="1:30">
      <c r="A364" s="21">
        <v>210844</v>
      </c>
      <c r="B364" s="21" t="s">
        <v>726</v>
      </c>
      <c r="C364" s="21" t="s">
        <v>27</v>
      </c>
      <c r="D364" s="21" t="s">
        <v>727</v>
      </c>
      <c r="E364" s="21" t="s">
        <v>727</v>
      </c>
      <c r="F364" s="21" t="s">
        <v>727</v>
      </c>
      <c r="G364" s="21" t="s">
        <v>747</v>
      </c>
      <c r="H364" s="21" t="s">
        <v>17</v>
      </c>
      <c r="I364" s="21" t="s">
        <v>17</v>
      </c>
      <c r="J364" s="21" t="s">
        <v>17</v>
      </c>
      <c r="K364" s="21">
        <v>35</v>
      </c>
      <c r="L364" s="21" t="s">
        <v>730</v>
      </c>
      <c r="M364" s="21" t="s">
        <v>758</v>
      </c>
      <c r="N364" s="21" t="s">
        <v>748</v>
      </c>
      <c r="O364" s="21" t="s">
        <v>754</v>
      </c>
      <c r="P364" s="21" t="s">
        <v>17</v>
      </c>
      <c r="Q364" s="21" t="s">
        <v>17</v>
      </c>
      <c r="R364" s="21" t="s">
        <v>17</v>
      </c>
      <c r="S364" s="21" t="s">
        <v>17</v>
      </c>
      <c r="T364" s="21" t="s">
        <v>17</v>
      </c>
      <c r="U364" s="21" t="s">
        <v>17</v>
      </c>
      <c r="V364" s="21" t="s">
        <v>17</v>
      </c>
      <c r="W364" s="21" t="s">
        <v>17</v>
      </c>
      <c r="X364" s="21" t="s">
        <v>17</v>
      </c>
      <c r="Y364" s="21" t="s">
        <v>17</v>
      </c>
      <c r="Z364" s="21" t="s">
        <v>1817</v>
      </c>
      <c r="AA364" s="21" t="s">
        <v>668</v>
      </c>
      <c r="AB364" s="21" t="s">
        <v>740</v>
      </c>
      <c r="AC364" s="21" t="s">
        <v>1818</v>
      </c>
      <c r="AD364" s="21" t="s">
        <v>1819</v>
      </c>
    </row>
    <row r="365" spans="1:30">
      <c r="A365" s="21">
        <v>210843</v>
      </c>
      <c r="B365" s="21" t="s">
        <v>726</v>
      </c>
      <c r="C365" s="21" t="s">
        <v>27</v>
      </c>
      <c r="D365" s="21" t="s">
        <v>727</v>
      </c>
      <c r="E365" s="21" t="s">
        <v>727</v>
      </c>
      <c r="F365" s="21" t="s">
        <v>727</v>
      </c>
      <c r="G365" s="21" t="s">
        <v>747</v>
      </c>
      <c r="H365" s="21" t="s">
        <v>17</v>
      </c>
      <c r="I365" s="21" t="s">
        <v>17</v>
      </c>
      <c r="J365" s="21" t="s">
        <v>17</v>
      </c>
      <c r="K365" s="21">
        <v>35</v>
      </c>
      <c r="L365" s="21" t="s">
        <v>730</v>
      </c>
      <c r="M365" s="21" t="s">
        <v>758</v>
      </c>
      <c r="N365" s="21" t="s">
        <v>748</v>
      </c>
      <c r="O365" s="21" t="s">
        <v>754</v>
      </c>
      <c r="P365" s="21" t="s">
        <v>17</v>
      </c>
      <c r="Q365" s="21" t="s">
        <v>17</v>
      </c>
      <c r="R365" s="21" t="s">
        <v>17</v>
      </c>
      <c r="S365" s="21" t="s">
        <v>17</v>
      </c>
      <c r="T365" s="21" t="s">
        <v>17</v>
      </c>
      <c r="U365" s="21" t="s">
        <v>17</v>
      </c>
      <c r="V365" s="21" t="s">
        <v>17</v>
      </c>
      <c r="W365" s="21" t="s">
        <v>17</v>
      </c>
      <c r="X365" s="21" t="s">
        <v>17</v>
      </c>
      <c r="Y365" s="21" t="s">
        <v>17</v>
      </c>
      <c r="Z365" s="21" t="s">
        <v>1820</v>
      </c>
      <c r="AA365" s="21" t="s">
        <v>670</v>
      </c>
      <c r="AB365" s="21" t="s">
        <v>740</v>
      </c>
      <c r="AC365" s="21" t="s">
        <v>1821</v>
      </c>
      <c r="AD365" s="21" t="s">
        <v>1822</v>
      </c>
    </row>
    <row r="366" spans="1:30">
      <c r="A366" s="21">
        <v>210842</v>
      </c>
      <c r="B366" s="21" t="s">
        <v>726</v>
      </c>
      <c r="C366" s="21" t="s">
        <v>27</v>
      </c>
      <c r="D366" s="21" t="s">
        <v>727</v>
      </c>
      <c r="E366" s="21" t="s">
        <v>727</v>
      </c>
      <c r="F366" s="21" t="s">
        <v>727</v>
      </c>
      <c r="G366" s="21" t="s">
        <v>747</v>
      </c>
      <c r="H366" s="21" t="s">
        <v>17</v>
      </c>
      <c r="I366" s="21" t="s">
        <v>17</v>
      </c>
      <c r="J366" s="21" t="s">
        <v>17</v>
      </c>
      <c r="K366" s="21">
        <v>35</v>
      </c>
      <c r="L366" s="21" t="s">
        <v>730</v>
      </c>
      <c r="M366" s="21" t="s">
        <v>758</v>
      </c>
      <c r="N366" s="21" t="s">
        <v>748</v>
      </c>
      <c r="O366" s="21" t="s">
        <v>754</v>
      </c>
      <c r="P366" s="21" t="s">
        <v>17</v>
      </c>
      <c r="Q366" s="21" t="s">
        <v>17</v>
      </c>
      <c r="R366" s="21" t="s">
        <v>17</v>
      </c>
      <c r="S366" s="21" t="s">
        <v>17</v>
      </c>
      <c r="T366" s="21" t="s">
        <v>17</v>
      </c>
      <c r="U366" s="21" t="s">
        <v>17</v>
      </c>
      <c r="V366" s="21" t="s">
        <v>17</v>
      </c>
      <c r="W366" s="21" t="s">
        <v>17</v>
      </c>
      <c r="X366" s="21" t="s">
        <v>17</v>
      </c>
      <c r="Y366" s="21" t="s">
        <v>17</v>
      </c>
      <c r="Z366" s="21" t="s">
        <v>1820</v>
      </c>
      <c r="AA366" s="21" t="s">
        <v>672</v>
      </c>
      <c r="AB366" s="21" t="s">
        <v>796</v>
      </c>
      <c r="AC366" s="21" t="s">
        <v>1823</v>
      </c>
      <c r="AD366" s="21" t="s">
        <v>1824</v>
      </c>
    </row>
    <row r="367" spans="1:30">
      <c r="A367" s="21">
        <v>210841</v>
      </c>
      <c r="B367" s="21" t="s">
        <v>726</v>
      </c>
      <c r="C367" s="21" t="s">
        <v>27</v>
      </c>
      <c r="D367" s="21" t="s">
        <v>727</v>
      </c>
      <c r="E367" s="21" t="s">
        <v>727</v>
      </c>
      <c r="F367" s="21" t="s">
        <v>727</v>
      </c>
      <c r="G367" s="21" t="s">
        <v>747</v>
      </c>
      <c r="H367" s="21" t="s">
        <v>17</v>
      </c>
      <c r="I367" s="21" t="s">
        <v>17</v>
      </c>
      <c r="J367" s="21" t="s">
        <v>17</v>
      </c>
      <c r="K367" s="21">
        <v>35</v>
      </c>
      <c r="L367" s="21" t="s">
        <v>730</v>
      </c>
      <c r="M367" s="21" t="s">
        <v>758</v>
      </c>
      <c r="N367" s="21" t="s">
        <v>748</v>
      </c>
      <c r="O367" s="21" t="s">
        <v>754</v>
      </c>
      <c r="P367" s="21" t="s">
        <v>17</v>
      </c>
      <c r="Q367" s="21" t="s">
        <v>17</v>
      </c>
      <c r="R367" s="21" t="s">
        <v>17</v>
      </c>
      <c r="S367" s="21" t="s">
        <v>17</v>
      </c>
      <c r="T367" s="21" t="s">
        <v>17</v>
      </c>
      <c r="U367" s="21" t="s">
        <v>17</v>
      </c>
      <c r="V367" s="21" t="s">
        <v>17</v>
      </c>
      <c r="W367" s="21" t="s">
        <v>17</v>
      </c>
      <c r="X367" s="21" t="s">
        <v>17</v>
      </c>
      <c r="Y367" s="21" t="s">
        <v>17</v>
      </c>
      <c r="Z367" s="21" t="s">
        <v>1820</v>
      </c>
      <c r="AA367" s="21" t="s">
        <v>673</v>
      </c>
      <c r="AB367" s="21" t="s">
        <v>1825</v>
      </c>
      <c r="AC367" s="21" t="s">
        <v>1826</v>
      </c>
      <c r="AD367" s="21" t="s">
        <v>1827</v>
      </c>
    </row>
    <row r="368" spans="1:30">
      <c r="A368" s="21">
        <v>210840</v>
      </c>
      <c r="B368" s="21" t="s">
        <v>726</v>
      </c>
      <c r="C368" s="21" t="s">
        <v>27</v>
      </c>
      <c r="D368" s="21" t="s">
        <v>727</v>
      </c>
      <c r="E368" s="21" t="s">
        <v>727</v>
      </c>
      <c r="F368" s="21" t="s">
        <v>727</v>
      </c>
      <c r="G368" s="21" t="s">
        <v>747</v>
      </c>
      <c r="H368" s="21" t="s">
        <v>17</v>
      </c>
      <c r="I368" s="21" t="s">
        <v>17</v>
      </c>
      <c r="J368" s="21" t="s">
        <v>17</v>
      </c>
      <c r="K368" s="21">
        <v>35</v>
      </c>
      <c r="L368" s="21" t="s">
        <v>730</v>
      </c>
      <c r="M368" s="21" t="s">
        <v>758</v>
      </c>
      <c r="N368" s="21" t="s">
        <v>748</v>
      </c>
      <c r="O368" s="21" t="s">
        <v>754</v>
      </c>
      <c r="P368" s="21" t="s">
        <v>17</v>
      </c>
      <c r="Q368" s="21" t="s">
        <v>17</v>
      </c>
      <c r="R368" s="21" t="s">
        <v>17</v>
      </c>
      <c r="S368" s="21" t="s">
        <v>17</v>
      </c>
      <c r="T368" s="21" t="s">
        <v>17</v>
      </c>
      <c r="U368" s="21" t="s">
        <v>17</v>
      </c>
      <c r="V368" s="21" t="s">
        <v>17</v>
      </c>
      <c r="W368" s="21" t="s">
        <v>17</v>
      </c>
      <c r="X368" s="21" t="s">
        <v>17</v>
      </c>
      <c r="Y368" s="21" t="s">
        <v>17</v>
      </c>
      <c r="Z368" s="21" t="s">
        <v>1820</v>
      </c>
      <c r="AA368" s="21" t="s">
        <v>674</v>
      </c>
      <c r="AB368" s="21" t="s">
        <v>1828</v>
      </c>
      <c r="AC368" s="21" t="s">
        <v>1829</v>
      </c>
      <c r="AD368" s="21" t="s">
        <v>1830</v>
      </c>
    </row>
    <row r="369" spans="1:30">
      <c r="A369" s="21">
        <v>210839</v>
      </c>
      <c r="B369" s="21" t="s">
        <v>726</v>
      </c>
      <c r="C369" s="21" t="s">
        <v>27</v>
      </c>
      <c r="D369" s="21" t="s">
        <v>727</v>
      </c>
      <c r="E369" s="21" t="s">
        <v>727</v>
      </c>
      <c r="F369" s="21" t="s">
        <v>727</v>
      </c>
      <c r="G369" s="21" t="s">
        <v>747</v>
      </c>
      <c r="H369" s="21" t="s">
        <v>17</v>
      </c>
      <c r="I369" s="21" t="s">
        <v>17</v>
      </c>
      <c r="J369" s="21" t="s">
        <v>17</v>
      </c>
      <c r="K369" s="21">
        <v>35</v>
      </c>
      <c r="L369" s="21" t="s">
        <v>730</v>
      </c>
      <c r="M369" s="21" t="s">
        <v>758</v>
      </c>
      <c r="N369" s="21" t="s">
        <v>758</v>
      </c>
      <c r="O369" s="21" t="s">
        <v>754</v>
      </c>
      <c r="P369" s="21" t="s">
        <v>17</v>
      </c>
      <c r="Q369" s="21" t="s">
        <v>17</v>
      </c>
      <c r="R369" s="21" t="s">
        <v>17</v>
      </c>
      <c r="S369" s="21" t="s">
        <v>17</v>
      </c>
      <c r="T369" s="21" t="s">
        <v>17</v>
      </c>
      <c r="U369" s="21" t="s">
        <v>17</v>
      </c>
      <c r="V369" s="21" t="s">
        <v>17</v>
      </c>
      <c r="W369" s="21" t="s">
        <v>17</v>
      </c>
      <c r="X369" s="21" t="s">
        <v>17</v>
      </c>
      <c r="Y369" s="21" t="s">
        <v>17</v>
      </c>
      <c r="Z369" s="21" t="s">
        <v>1831</v>
      </c>
      <c r="AA369" s="21" t="s">
        <v>675</v>
      </c>
      <c r="AB369" s="21" t="s">
        <v>796</v>
      </c>
      <c r="AC369" s="21" t="s">
        <v>1832</v>
      </c>
      <c r="AD369" s="21" t="s">
        <v>1833</v>
      </c>
    </row>
    <row r="370" spans="1:30">
      <c r="A370" s="21">
        <v>210838</v>
      </c>
      <c r="B370" s="21" t="s">
        <v>726</v>
      </c>
      <c r="C370" s="21" t="s">
        <v>27</v>
      </c>
      <c r="D370" s="21" t="s">
        <v>727</v>
      </c>
      <c r="E370" s="21" t="s">
        <v>727</v>
      </c>
      <c r="F370" s="21" t="s">
        <v>727</v>
      </c>
      <c r="G370" s="21" t="s">
        <v>747</v>
      </c>
      <c r="H370" s="21" t="s">
        <v>17</v>
      </c>
      <c r="I370" s="21" t="s">
        <v>17</v>
      </c>
      <c r="J370" s="21" t="s">
        <v>17</v>
      </c>
      <c r="K370" s="21">
        <v>35</v>
      </c>
      <c r="L370" s="21" t="s">
        <v>730</v>
      </c>
      <c r="M370" s="21" t="s">
        <v>758</v>
      </c>
      <c r="N370" s="21" t="s">
        <v>748</v>
      </c>
      <c r="O370" s="21" t="s">
        <v>754</v>
      </c>
      <c r="P370" s="21" t="s">
        <v>17</v>
      </c>
      <c r="Q370" s="21" t="s">
        <v>17</v>
      </c>
      <c r="R370" s="21" t="s">
        <v>17</v>
      </c>
      <c r="S370" s="21" t="s">
        <v>17</v>
      </c>
      <c r="T370" s="21" t="s">
        <v>17</v>
      </c>
      <c r="U370" s="21" t="s">
        <v>17</v>
      </c>
      <c r="V370" s="21" t="s">
        <v>17</v>
      </c>
      <c r="W370" s="21" t="s">
        <v>17</v>
      </c>
      <c r="X370" s="21" t="s">
        <v>17</v>
      </c>
      <c r="Y370" s="21" t="s">
        <v>17</v>
      </c>
      <c r="Z370" s="21" t="s">
        <v>1831</v>
      </c>
      <c r="AA370" s="21" t="s">
        <v>677</v>
      </c>
      <c r="AB370" s="21" t="s">
        <v>740</v>
      </c>
      <c r="AC370" s="21" t="s">
        <v>1834</v>
      </c>
      <c r="AD370" s="21" t="s">
        <v>1835</v>
      </c>
    </row>
    <row r="371" spans="1:30">
      <c r="A371" s="21">
        <v>210837</v>
      </c>
      <c r="B371" s="21" t="s">
        <v>726</v>
      </c>
      <c r="C371" s="21" t="s">
        <v>27</v>
      </c>
      <c r="D371" s="21" t="s">
        <v>727</v>
      </c>
      <c r="E371" s="21" t="s">
        <v>727</v>
      </c>
      <c r="F371" s="21" t="s">
        <v>727</v>
      </c>
      <c r="G371" s="21" t="s">
        <v>747</v>
      </c>
      <c r="H371" s="21" t="s">
        <v>17</v>
      </c>
      <c r="I371" s="21" t="s">
        <v>17</v>
      </c>
      <c r="J371" s="21" t="s">
        <v>17</v>
      </c>
      <c r="K371" s="21">
        <v>35</v>
      </c>
      <c r="L371" s="21" t="s">
        <v>730</v>
      </c>
      <c r="M371" s="21" t="s">
        <v>758</v>
      </c>
      <c r="N371" s="21" t="s">
        <v>748</v>
      </c>
      <c r="O371" s="21" t="s">
        <v>754</v>
      </c>
      <c r="P371" s="21" t="s">
        <v>17</v>
      </c>
      <c r="Q371" s="21" t="s">
        <v>17</v>
      </c>
      <c r="R371" s="21" t="s">
        <v>17</v>
      </c>
      <c r="S371" s="21" t="s">
        <v>17</v>
      </c>
      <c r="T371" s="21" t="s">
        <v>17</v>
      </c>
      <c r="U371" s="21" t="s">
        <v>17</v>
      </c>
      <c r="V371" s="21" t="s">
        <v>17</v>
      </c>
      <c r="W371" s="21" t="s">
        <v>17</v>
      </c>
      <c r="X371" s="21" t="s">
        <v>17</v>
      </c>
      <c r="Y371" s="21" t="s">
        <v>17</v>
      </c>
      <c r="Z371" s="21" t="s">
        <v>1831</v>
      </c>
      <c r="AA371" s="21" t="s">
        <v>678</v>
      </c>
      <c r="AB371" s="21" t="s">
        <v>740</v>
      </c>
      <c r="AC371" s="21" t="s">
        <v>1836</v>
      </c>
      <c r="AD371" s="21" t="s">
        <v>1837</v>
      </c>
    </row>
    <row r="372" spans="1:30">
      <c r="A372" s="21">
        <v>210836</v>
      </c>
      <c r="B372" s="21" t="s">
        <v>726</v>
      </c>
      <c r="C372" s="21" t="s">
        <v>27</v>
      </c>
      <c r="D372" s="21" t="s">
        <v>727</v>
      </c>
      <c r="E372" s="21" t="s">
        <v>727</v>
      </c>
      <c r="F372" s="21" t="s">
        <v>727</v>
      </c>
      <c r="G372" s="21" t="s">
        <v>747</v>
      </c>
      <c r="H372" s="21" t="s">
        <v>17</v>
      </c>
      <c r="I372" s="21" t="s">
        <v>17</v>
      </c>
      <c r="J372" s="21" t="s">
        <v>17</v>
      </c>
      <c r="K372" s="21">
        <v>35</v>
      </c>
      <c r="L372" s="21" t="s">
        <v>730</v>
      </c>
      <c r="M372" s="21" t="s">
        <v>758</v>
      </c>
      <c r="N372" s="21" t="s">
        <v>748</v>
      </c>
      <c r="O372" s="21" t="s">
        <v>754</v>
      </c>
      <c r="P372" s="21" t="s">
        <v>17</v>
      </c>
      <c r="Q372" s="21" t="s">
        <v>17</v>
      </c>
      <c r="R372" s="21" t="s">
        <v>17</v>
      </c>
      <c r="S372" s="21" t="s">
        <v>17</v>
      </c>
      <c r="T372" s="21" t="s">
        <v>17</v>
      </c>
      <c r="U372" s="21" t="s">
        <v>17</v>
      </c>
      <c r="V372" s="21" t="s">
        <v>17</v>
      </c>
      <c r="W372" s="21" t="s">
        <v>17</v>
      </c>
      <c r="X372" s="21" t="s">
        <v>17</v>
      </c>
      <c r="Y372" s="21" t="s">
        <v>17</v>
      </c>
      <c r="Z372" s="21" t="s">
        <v>1838</v>
      </c>
      <c r="AA372" s="21" t="s">
        <v>679</v>
      </c>
      <c r="AB372" s="21" t="s">
        <v>740</v>
      </c>
      <c r="AC372" s="21" t="s">
        <v>1839</v>
      </c>
      <c r="AD372" s="21" t="s">
        <v>1840</v>
      </c>
    </row>
    <row r="373" spans="1:30">
      <c r="A373" s="21">
        <v>210831</v>
      </c>
      <c r="B373" s="21" t="s">
        <v>726</v>
      </c>
      <c r="C373" s="21" t="s">
        <v>27</v>
      </c>
      <c r="D373" s="21" t="s">
        <v>727</v>
      </c>
      <c r="E373" s="21" t="s">
        <v>727</v>
      </c>
      <c r="F373" s="21" t="s">
        <v>727</v>
      </c>
      <c r="G373" s="21" t="s">
        <v>747</v>
      </c>
      <c r="H373" s="21" t="s">
        <v>17</v>
      </c>
      <c r="I373" s="21" t="s">
        <v>17</v>
      </c>
      <c r="J373" s="21" t="s">
        <v>17</v>
      </c>
      <c r="K373" s="21">
        <v>35</v>
      </c>
      <c r="L373" s="21" t="s">
        <v>730</v>
      </c>
      <c r="M373" s="21" t="s">
        <v>758</v>
      </c>
      <c r="N373" s="21" t="s">
        <v>748</v>
      </c>
      <c r="O373" s="21" t="s">
        <v>754</v>
      </c>
      <c r="P373" s="21" t="s">
        <v>17</v>
      </c>
      <c r="Q373" s="21" t="s">
        <v>17</v>
      </c>
      <c r="R373" s="21" t="s">
        <v>17</v>
      </c>
      <c r="S373" s="21" t="s">
        <v>17</v>
      </c>
      <c r="T373" s="21" t="s">
        <v>17</v>
      </c>
      <c r="U373" s="21" t="s">
        <v>17</v>
      </c>
      <c r="V373" s="21" t="s">
        <v>17</v>
      </c>
      <c r="W373" s="21" t="s">
        <v>17</v>
      </c>
      <c r="X373" s="21" t="s">
        <v>17</v>
      </c>
      <c r="Y373" s="21" t="s">
        <v>17</v>
      </c>
      <c r="Z373" s="21" t="s">
        <v>1841</v>
      </c>
      <c r="AA373" s="21" t="s">
        <v>681</v>
      </c>
      <c r="AB373" s="21" t="s">
        <v>740</v>
      </c>
      <c r="AC373" s="21" t="s">
        <v>1842</v>
      </c>
      <c r="AD373" s="21" t="s">
        <v>1843</v>
      </c>
    </row>
    <row r="374" spans="1:30">
      <c r="A374" s="21">
        <v>210830</v>
      </c>
      <c r="B374" s="21" t="s">
        <v>726</v>
      </c>
      <c r="C374" s="21" t="s">
        <v>27</v>
      </c>
      <c r="D374" s="21" t="s">
        <v>727</v>
      </c>
      <c r="E374" s="21" t="s">
        <v>727</v>
      </c>
      <c r="F374" s="21" t="s">
        <v>727</v>
      </c>
      <c r="G374" s="21" t="s">
        <v>747</v>
      </c>
      <c r="H374" s="21" t="s">
        <v>17</v>
      </c>
      <c r="I374" s="21" t="s">
        <v>17</v>
      </c>
      <c r="J374" s="21" t="s">
        <v>17</v>
      </c>
      <c r="K374" s="21">
        <v>35</v>
      </c>
      <c r="L374" s="21" t="s">
        <v>730</v>
      </c>
      <c r="M374" s="21" t="s">
        <v>758</v>
      </c>
      <c r="N374" s="21" t="s">
        <v>748</v>
      </c>
      <c r="O374" s="21" t="s">
        <v>754</v>
      </c>
      <c r="P374" s="21" t="s">
        <v>17</v>
      </c>
      <c r="Q374" s="21" t="s">
        <v>17</v>
      </c>
      <c r="R374" s="21" t="s">
        <v>17</v>
      </c>
      <c r="S374" s="21" t="s">
        <v>17</v>
      </c>
      <c r="T374" s="21" t="s">
        <v>17</v>
      </c>
      <c r="U374" s="21" t="s">
        <v>17</v>
      </c>
      <c r="V374" s="21" t="s">
        <v>17</v>
      </c>
      <c r="W374" s="21" t="s">
        <v>17</v>
      </c>
      <c r="X374" s="21" t="s">
        <v>17</v>
      </c>
      <c r="Y374" s="21" t="s">
        <v>17</v>
      </c>
      <c r="Z374" s="21" t="s">
        <v>1844</v>
      </c>
      <c r="AA374" s="21" t="s">
        <v>683</v>
      </c>
      <c r="AB374" s="21" t="s">
        <v>1845</v>
      </c>
      <c r="AC374" s="21" t="s">
        <v>1846</v>
      </c>
      <c r="AD374" s="21" t="s">
        <v>1847</v>
      </c>
    </row>
    <row r="375" spans="1:30">
      <c r="A375" s="21">
        <v>210828</v>
      </c>
      <c r="B375" s="21" t="s">
        <v>726</v>
      </c>
      <c r="C375" s="21" t="s">
        <v>27</v>
      </c>
      <c r="D375" s="21" t="s">
        <v>727</v>
      </c>
      <c r="E375" s="21" t="s">
        <v>747</v>
      </c>
      <c r="F375" s="21" t="s">
        <v>727</v>
      </c>
      <c r="G375" s="21" t="s">
        <v>747</v>
      </c>
      <c r="H375" s="21" t="s">
        <v>17</v>
      </c>
      <c r="I375" s="21" t="s">
        <v>17</v>
      </c>
      <c r="J375" s="21" t="s">
        <v>17</v>
      </c>
      <c r="K375" s="21">
        <v>30</v>
      </c>
      <c r="L375" s="21" t="s">
        <v>730</v>
      </c>
      <c r="M375" s="21" t="s">
        <v>730</v>
      </c>
      <c r="N375" s="21" t="s">
        <v>748</v>
      </c>
      <c r="O375" s="21" t="s">
        <v>754</v>
      </c>
      <c r="P375" s="21" t="s">
        <v>17</v>
      </c>
      <c r="Q375" s="21" t="s">
        <v>17</v>
      </c>
      <c r="R375" s="21" t="s">
        <v>17</v>
      </c>
      <c r="S375" s="21" t="s">
        <v>17</v>
      </c>
      <c r="T375" s="21" t="s">
        <v>17</v>
      </c>
      <c r="U375" s="21" t="s">
        <v>17</v>
      </c>
      <c r="V375" s="21" t="s">
        <v>17</v>
      </c>
      <c r="W375" s="21" t="s">
        <v>17</v>
      </c>
      <c r="X375" s="21" t="s">
        <v>17</v>
      </c>
      <c r="Y375" s="21" t="s">
        <v>17</v>
      </c>
      <c r="Z375" s="21" t="s">
        <v>1848</v>
      </c>
      <c r="AA375" s="21" t="s">
        <v>685</v>
      </c>
      <c r="AB375" s="21" t="s">
        <v>740</v>
      </c>
      <c r="AC375" s="21" t="s">
        <v>1849</v>
      </c>
      <c r="AD375" s="21" t="s">
        <v>1850</v>
      </c>
    </row>
    <row r="376" spans="1:30">
      <c r="A376" s="21">
        <v>210827</v>
      </c>
      <c r="B376" s="21" t="s">
        <v>726</v>
      </c>
      <c r="C376" s="21" t="s">
        <v>27</v>
      </c>
      <c r="D376" s="21" t="s">
        <v>727</v>
      </c>
      <c r="E376" s="21" t="s">
        <v>747</v>
      </c>
      <c r="F376" s="21" t="s">
        <v>727</v>
      </c>
      <c r="G376" s="21" t="s">
        <v>747</v>
      </c>
      <c r="H376" s="21" t="s">
        <v>17</v>
      </c>
      <c r="I376" s="21" t="s">
        <v>17</v>
      </c>
      <c r="J376" s="21" t="s">
        <v>17</v>
      </c>
      <c r="K376" s="21">
        <v>30</v>
      </c>
      <c r="L376" s="21" t="s">
        <v>730</v>
      </c>
      <c r="M376" s="21" t="s">
        <v>730</v>
      </c>
      <c r="N376" s="21" t="s">
        <v>748</v>
      </c>
      <c r="O376" s="21" t="s">
        <v>754</v>
      </c>
      <c r="P376" s="21" t="s">
        <v>17</v>
      </c>
      <c r="Q376" s="21" t="s">
        <v>17</v>
      </c>
      <c r="R376" s="21" t="s">
        <v>17</v>
      </c>
      <c r="S376" s="21" t="s">
        <v>17</v>
      </c>
      <c r="T376" s="21" t="s">
        <v>17</v>
      </c>
      <c r="U376" s="21" t="s">
        <v>17</v>
      </c>
      <c r="V376" s="21" t="s">
        <v>17</v>
      </c>
      <c r="W376" s="21" t="s">
        <v>17</v>
      </c>
      <c r="X376" s="21" t="s">
        <v>17</v>
      </c>
      <c r="Y376" s="21" t="s">
        <v>17</v>
      </c>
      <c r="Z376" s="21" t="s">
        <v>1851</v>
      </c>
      <c r="AA376" s="21" t="s">
        <v>687</v>
      </c>
      <c r="AB376" s="21" t="s">
        <v>774</v>
      </c>
      <c r="AC376" s="21" t="s">
        <v>1852</v>
      </c>
      <c r="AD376" s="21" t="s">
        <v>1853</v>
      </c>
    </row>
    <row r="377" spans="1:30">
      <c r="A377" s="21">
        <v>210826</v>
      </c>
      <c r="B377" s="21" t="s">
        <v>726</v>
      </c>
      <c r="C377" s="21" t="s">
        <v>27</v>
      </c>
      <c r="D377" s="21" t="s">
        <v>727</v>
      </c>
      <c r="E377" s="21" t="s">
        <v>727</v>
      </c>
      <c r="F377" s="21" t="s">
        <v>727</v>
      </c>
      <c r="G377" s="21" t="s">
        <v>727</v>
      </c>
      <c r="H377" s="21" t="s">
        <v>17</v>
      </c>
      <c r="I377" s="21" t="s">
        <v>17</v>
      </c>
      <c r="J377" s="21" t="s">
        <v>17</v>
      </c>
      <c r="K377" s="21">
        <v>40</v>
      </c>
      <c r="L377" s="21" t="s">
        <v>730</v>
      </c>
      <c r="M377" s="21" t="s">
        <v>758</v>
      </c>
      <c r="N377" s="21" t="s">
        <v>748</v>
      </c>
      <c r="O377" s="21" t="s">
        <v>748</v>
      </c>
      <c r="P377" s="21" t="s">
        <v>17</v>
      </c>
      <c r="Q377" s="21" t="s">
        <v>17</v>
      </c>
      <c r="R377" s="21" t="s">
        <v>17</v>
      </c>
      <c r="S377" s="21" t="s">
        <v>17</v>
      </c>
      <c r="T377" s="21" t="s">
        <v>17</v>
      </c>
      <c r="U377" s="21" t="s">
        <v>17</v>
      </c>
      <c r="V377" s="21" t="s">
        <v>17</v>
      </c>
      <c r="W377" s="21" t="s">
        <v>17</v>
      </c>
      <c r="X377" s="21" t="s">
        <v>17</v>
      </c>
      <c r="Y377" s="21" t="s">
        <v>17</v>
      </c>
      <c r="Z377" s="21" t="s">
        <v>1854</v>
      </c>
      <c r="AA377" s="21" t="s">
        <v>689</v>
      </c>
      <c r="AB377" s="21" t="s">
        <v>1855</v>
      </c>
      <c r="AC377" s="21" t="s">
        <v>1856</v>
      </c>
      <c r="AD377" s="21" t="s">
        <v>1857</v>
      </c>
    </row>
    <row r="378" spans="1:30">
      <c r="A378" s="21">
        <v>210825</v>
      </c>
      <c r="B378" s="21" t="s">
        <v>726</v>
      </c>
      <c r="C378" s="21" t="s">
        <v>27</v>
      </c>
      <c r="D378" s="21" t="s">
        <v>727</v>
      </c>
      <c r="E378" s="21" t="s">
        <v>747</v>
      </c>
      <c r="F378" s="21" t="s">
        <v>727</v>
      </c>
      <c r="G378" s="21" t="s">
        <v>747</v>
      </c>
      <c r="H378" s="21" t="s">
        <v>17</v>
      </c>
      <c r="I378" s="21" t="s">
        <v>17</v>
      </c>
      <c r="J378" s="21" t="s">
        <v>17</v>
      </c>
      <c r="K378" s="21">
        <v>30</v>
      </c>
      <c r="L378" s="21" t="s">
        <v>730</v>
      </c>
      <c r="M378" s="21" t="s">
        <v>730</v>
      </c>
      <c r="N378" s="21" t="s">
        <v>748</v>
      </c>
      <c r="O378" s="21" t="s">
        <v>754</v>
      </c>
      <c r="P378" s="21" t="s">
        <v>17</v>
      </c>
      <c r="Q378" s="21" t="s">
        <v>17</v>
      </c>
      <c r="R378" s="21" t="s">
        <v>17</v>
      </c>
      <c r="S378" s="21" t="s">
        <v>17</v>
      </c>
      <c r="T378" s="21" t="s">
        <v>17</v>
      </c>
      <c r="U378" s="21" t="s">
        <v>17</v>
      </c>
      <c r="V378" s="21" t="s">
        <v>17</v>
      </c>
      <c r="W378" s="21" t="s">
        <v>17</v>
      </c>
      <c r="X378" s="21" t="s">
        <v>17</v>
      </c>
      <c r="Y378" s="21" t="s">
        <v>17</v>
      </c>
      <c r="Z378" s="21" t="s">
        <v>1858</v>
      </c>
      <c r="AA378" s="21" t="s">
        <v>691</v>
      </c>
      <c r="AB378" s="21" t="s">
        <v>1137</v>
      </c>
      <c r="AC378" s="21" t="s">
        <v>1859</v>
      </c>
      <c r="AD378" s="21" t="s">
        <v>1860</v>
      </c>
    </row>
    <row r="379" spans="1:30">
      <c r="A379" s="21">
        <v>210823</v>
      </c>
      <c r="B379" s="21" t="s">
        <v>726</v>
      </c>
      <c r="C379" s="21" t="s">
        <v>27</v>
      </c>
      <c r="D379" s="21" t="s">
        <v>727</v>
      </c>
      <c r="E379" s="21" t="s">
        <v>727</v>
      </c>
      <c r="F379" s="21" t="s">
        <v>727</v>
      </c>
      <c r="G379" s="21" t="s">
        <v>747</v>
      </c>
      <c r="H379" s="21" t="s">
        <v>17</v>
      </c>
      <c r="I379" s="21" t="s">
        <v>17</v>
      </c>
      <c r="J379" s="21" t="s">
        <v>17</v>
      </c>
      <c r="K379" s="21">
        <v>35</v>
      </c>
      <c r="L379" s="21" t="s">
        <v>730</v>
      </c>
      <c r="M379" s="21" t="s">
        <v>758</v>
      </c>
      <c r="N379" s="21" t="s">
        <v>748</v>
      </c>
      <c r="O379" s="21" t="s">
        <v>754</v>
      </c>
      <c r="P379" s="21" t="s">
        <v>17</v>
      </c>
      <c r="Q379" s="21" t="s">
        <v>17</v>
      </c>
      <c r="R379" s="21" t="s">
        <v>17</v>
      </c>
      <c r="S379" s="21" t="s">
        <v>17</v>
      </c>
      <c r="T379" s="21" t="s">
        <v>17</v>
      </c>
      <c r="U379" s="21" t="s">
        <v>17</v>
      </c>
      <c r="V379" s="21" t="s">
        <v>17</v>
      </c>
      <c r="W379" s="21" t="s">
        <v>17</v>
      </c>
      <c r="X379" s="21" t="s">
        <v>17</v>
      </c>
      <c r="Y379" s="21" t="s">
        <v>17</v>
      </c>
      <c r="Z379" s="21" t="s">
        <v>1861</v>
      </c>
      <c r="AA379" s="21" t="s">
        <v>693</v>
      </c>
      <c r="AB379" s="21" t="s">
        <v>740</v>
      </c>
      <c r="AC379" s="21" t="s">
        <v>1862</v>
      </c>
      <c r="AD379" s="21" t="s">
        <v>1863</v>
      </c>
    </row>
    <row r="380" spans="1:3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row r="991" spans="1:30">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c r="AA991" s="21"/>
      <c r="AB991" s="21"/>
      <c r="AC991" s="21"/>
      <c r="AD991" s="21"/>
    </row>
    <row r="992" spans="1:30">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c r="AA992" s="21"/>
      <c r="AB992" s="21"/>
      <c r="AC992" s="21"/>
      <c r="AD992" s="21"/>
    </row>
    <row r="993" spans="1:30">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c r="AA993" s="21"/>
      <c r="AB993" s="21"/>
      <c r="AC993" s="21"/>
      <c r="AD993" s="21"/>
    </row>
    <row r="994" spans="1:30">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c r="AA994" s="21"/>
      <c r="AB994" s="21"/>
      <c r="AC994" s="21"/>
      <c r="AD994" s="21"/>
    </row>
    <row r="995" spans="1:30">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c r="AA995" s="21"/>
      <c r="AB995" s="21"/>
      <c r="AC995" s="21"/>
      <c r="AD995" s="21"/>
    </row>
    <row r="996" spans="1:30">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c r="AA996" s="21"/>
      <c r="AB996" s="21"/>
      <c r="AC996" s="21"/>
      <c r="AD996" s="21"/>
    </row>
    <row r="997" spans="1:30">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c r="AA997" s="21"/>
      <c r="AB997" s="21"/>
      <c r="AC997" s="21"/>
      <c r="AD997" s="21"/>
    </row>
    <row r="998" spans="1:30">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c r="AA998" s="21"/>
      <c r="AB998" s="21"/>
      <c r="AC998" s="21"/>
      <c r="AD998" s="21"/>
    </row>
    <row r="999" spans="1:30">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c r="AA999" s="21"/>
      <c r="AB999" s="21"/>
      <c r="AC999" s="21"/>
      <c r="AD999" s="21"/>
    </row>
    <row r="1000" spans="1:3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c r="AA1000" s="21"/>
      <c r="AB1000" s="21"/>
      <c r="AC1000" s="21"/>
      <c r="AD1000" s="21"/>
    </row>
    <row r="1001" spans="1:30">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c r="AA1001" s="21"/>
      <c r="AB1001" s="21"/>
      <c r="AC1001" s="21"/>
      <c r="AD1001" s="21"/>
    </row>
    <row r="1002" spans="1:30">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c r="AA1002" s="21"/>
      <c r="AB1002" s="21"/>
      <c r="AC1002" s="21"/>
      <c r="AD1002" s="21"/>
    </row>
    <row r="1003" spans="1:30">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c r="AA1003" s="21"/>
      <c r="AB1003" s="21"/>
      <c r="AC1003" s="21"/>
      <c r="AD1003" s="21"/>
    </row>
    <row r="1004" spans="1:30">
      <c r="A1004" s="21"/>
      <c r="B1004" s="21"/>
      <c r="C1004" s="21"/>
      <c r="D1004" s="21"/>
      <c r="E1004" s="21"/>
      <c r="F1004" s="21"/>
      <c r="G1004" s="21"/>
      <c r="H1004" s="21"/>
      <c r="I1004" s="21"/>
      <c r="J1004" s="21"/>
      <c r="K1004" s="21"/>
      <c r="L1004" s="21"/>
      <c r="M1004" s="21"/>
      <c r="N1004" s="21"/>
      <c r="O1004" s="21"/>
      <c r="P1004" s="21"/>
      <c r="Q1004" s="21"/>
      <c r="R1004" s="21"/>
      <c r="S1004" s="21"/>
      <c r="T1004" s="21"/>
      <c r="U1004" s="21"/>
      <c r="V1004" s="21"/>
      <c r="W1004" s="21"/>
      <c r="X1004" s="21"/>
      <c r="Y1004" s="21"/>
      <c r="Z1004" s="21"/>
      <c r="AA1004" s="21"/>
      <c r="AB1004" s="21"/>
      <c r="AC1004" s="21"/>
      <c r="AD1004" s="21"/>
    </row>
    <row r="1005" spans="1:30">
      <c r="A1005" s="21"/>
      <c r="B1005" s="21"/>
      <c r="C1005" s="21"/>
      <c r="D1005" s="21"/>
      <c r="E1005" s="21"/>
      <c r="F1005" s="21"/>
      <c r="G1005" s="21"/>
      <c r="H1005" s="21"/>
      <c r="I1005" s="21"/>
      <c r="J1005" s="21"/>
      <c r="K1005" s="21"/>
      <c r="L1005" s="21"/>
      <c r="M1005" s="21"/>
      <c r="N1005" s="21"/>
      <c r="O1005" s="21"/>
      <c r="P1005" s="21"/>
      <c r="Q1005" s="21"/>
      <c r="R1005" s="21"/>
      <c r="S1005" s="21"/>
      <c r="T1005" s="21"/>
      <c r="U1005" s="21"/>
      <c r="V1005" s="21"/>
      <c r="W1005" s="21"/>
      <c r="X1005" s="21"/>
      <c r="Y1005" s="21"/>
      <c r="Z1005" s="21"/>
      <c r="AA1005" s="21"/>
      <c r="AB1005" s="21"/>
      <c r="AC1005" s="21"/>
      <c r="AD1005" s="21"/>
    </row>
    <row r="1006" spans="1:30">
      <c r="A1006" s="21"/>
      <c r="B1006" s="21"/>
      <c r="C1006" s="21"/>
      <c r="D1006" s="21"/>
      <c r="E1006" s="21"/>
      <c r="F1006" s="21"/>
      <c r="G1006" s="21"/>
      <c r="H1006" s="21"/>
      <c r="I1006" s="21"/>
      <c r="J1006" s="21"/>
      <c r="K1006" s="21"/>
      <c r="L1006" s="21"/>
      <c r="M1006" s="21"/>
      <c r="N1006" s="21"/>
      <c r="O1006" s="21"/>
      <c r="P1006" s="21"/>
      <c r="Q1006" s="21"/>
      <c r="R1006" s="21"/>
      <c r="S1006" s="21"/>
      <c r="T1006" s="21"/>
      <c r="U1006" s="21"/>
      <c r="V1006" s="21"/>
      <c r="W1006" s="21"/>
      <c r="X1006" s="21"/>
      <c r="Y1006" s="21"/>
      <c r="Z1006" s="21"/>
      <c r="AA1006" s="21"/>
      <c r="AB1006" s="21"/>
      <c r="AC1006" s="21"/>
      <c r="AD1006" s="21"/>
    </row>
    <row r="1007" spans="1:30">
      <c r="A1007" s="21"/>
      <c r="B1007" s="21"/>
      <c r="C1007" s="21"/>
      <c r="D1007" s="21"/>
      <c r="E1007" s="21"/>
      <c r="F1007" s="21"/>
      <c r="G1007" s="21"/>
      <c r="H1007" s="21"/>
      <c r="I1007" s="21"/>
      <c r="J1007" s="21"/>
      <c r="K1007" s="21"/>
      <c r="L1007" s="21"/>
      <c r="M1007" s="21"/>
      <c r="N1007" s="21"/>
      <c r="O1007" s="21"/>
      <c r="P1007" s="21"/>
      <c r="Q1007" s="21"/>
      <c r="R1007" s="21"/>
      <c r="S1007" s="21"/>
      <c r="T1007" s="21"/>
      <c r="U1007" s="21"/>
      <c r="V1007" s="21"/>
      <c r="W1007" s="21"/>
      <c r="X1007" s="21"/>
      <c r="Y1007" s="21"/>
      <c r="Z1007" s="21"/>
      <c r="AA1007" s="21"/>
      <c r="AB1007" s="21"/>
      <c r="AC1007" s="21"/>
      <c r="AD1007" s="21"/>
    </row>
    <row r="1008" spans="1:30">
      <c r="A1008" s="21"/>
      <c r="B1008" s="21"/>
      <c r="C1008" s="21"/>
      <c r="D1008" s="21"/>
      <c r="E1008" s="21"/>
      <c r="F1008" s="21"/>
      <c r="G1008" s="21"/>
      <c r="H1008" s="21"/>
      <c r="I1008" s="21"/>
      <c r="J1008" s="21"/>
      <c r="K1008" s="21"/>
      <c r="L1008" s="21"/>
      <c r="M1008" s="21"/>
      <c r="N1008" s="21"/>
      <c r="O1008" s="21"/>
      <c r="P1008" s="21"/>
      <c r="Q1008" s="21"/>
      <c r="R1008" s="21"/>
      <c r="S1008" s="21"/>
      <c r="T1008" s="21"/>
      <c r="U1008" s="21"/>
      <c r="V1008" s="21"/>
      <c r="W1008" s="21"/>
      <c r="X1008" s="21"/>
      <c r="Y1008" s="21"/>
      <c r="Z1008" s="21"/>
      <c r="AA1008" s="21"/>
      <c r="AB1008" s="21"/>
      <c r="AC1008" s="21"/>
      <c r="AD1008" s="21"/>
    </row>
    <row r="1009" spans="1:30">
      <c r="A1009" s="21"/>
      <c r="B1009" s="21"/>
      <c r="C1009" s="21"/>
      <c r="D1009" s="21"/>
      <c r="E1009" s="21"/>
      <c r="F1009" s="21"/>
      <c r="G1009" s="21"/>
      <c r="H1009" s="21"/>
      <c r="I1009" s="21"/>
      <c r="J1009" s="21"/>
      <c r="K1009" s="21"/>
      <c r="L1009" s="21"/>
      <c r="M1009" s="21"/>
      <c r="N1009" s="21"/>
      <c r="O1009" s="21"/>
      <c r="P1009" s="21"/>
      <c r="Q1009" s="21"/>
      <c r="R1009" s="21"/>
      <c r="S1009" s="21"/>
      <c r="T1009" s="21"/>
      <c r="U1009" s="21"/>
      <c r="V1009" s="21"/>
      <c r="W1009" s="21"/>
      <c r="X1009" s="21"/>
      <c r="Y1009" s="21"/>
      <c r="Z1009" s="21"/>
      <c r="AA1009" s="21"/>
      <c r="AB1009" s="21"/>
      <c r="AC1009" s="21"/>
      <c r="AD1009" s="21"/>
    </row>
    <row r="1010" spans="1:30">
      <c r="A1010" s="21"/>
      <c r="B1010" s="21"/>
      <c r="C1010" s="21"/>
      <c r="D1010" s="21"/>
      <c r="E1010" s="21"/>
      <c r="F1010" s="21"/>
      <c r="G1010" s="21"/>
      <c r="H1010" s="21"/>
      <c r="I1010" s="21"/>
      <c r="J1010" s="21"/>
      <c r="K1010" s="21"/>
      <c r="L1010" s="21"/>
      <c r="M1010" s="21"/>
      <c r="N1010" s="21"/>
      <c r="O1010" s="21"/>
      <c r="P1010" s="21"/>
      <c r="Q1010" s="21"/>
      <c r="R1010" s="21"/>
      <c r="S1010" s="21"/>
      <c r="T1010" s="21"/>
      <c r="U1010" s="21"/>
      <c r="V1010" s="21"/>
      <c r="W1010" s="21"/>
      <c r="X1010" s="21"/>
      <c r="Y1010" s="21"/>
      <c r="Z1010" s="21"/>
      <c r="AA1010" s="21"/>
      <c r="AB1010" s="21"/>
      <c r="AC1010" s="21"/>
      <c r="AD1010" s="21"/>
    </row>
    <row r="1011" spans="1:30">
      <c r="A1011" s="21"/>
      <c r="B1011" s="21"/>
      <c r="C1011" s="21"/>
      <c r="D1011" s="21"/>
      <c r="E1011" s="21"/>
      <c r="F1011" s="21"/>
      <c r="G1011" s="21"/>
      <c r="H1011" s="21"/>
      <c r="I1011" s="21"/>
      <c r="J1011" s="21"/>
      <c r="K1011" s="21"/>
      <c r="L1011" s="21"/>
      <c r="M1011" s="21"/>
      <c r="N1011" s="21"/>
      <c r="O1011" s="21"/>
      <c r="P1011" s="21"/>
      <c r="Q1011" s="21"/>
      <c r="R1011" s="21"/>
      <c r="S1011" s="21"/>
      <c r="T1011" s="21"/>
      <c r="U1011" s="21"/>
      <c r="V1011" s="21"/>
      <c r="W1011" s="21"/>
      <c r="X1011" s="21"/>
      <c r="Y1011" s="21"/>
      <c r="Z1011" s="21"/>
      <c r="AA1011" s="21"/>
      <c r="AB1011" s="21"/>
      <c r="AC1011" s="21"/>
      <c r="AD1011" s="21"/>
    </row>
    <row r="1012" spans="1:30">
      <c r="A1012" s="21"/>
      <c r="B1012" s="21"/>
      <c r="C1012" s="21"/>
      <c r="D1012" s="21"/>
      <c r="E1012" s="21"/>
      <c r="F1012" s="21"/>
      <c r="G1012" s="21"/>
      <c r="H1012" s="21"/>
      <c r="I1012" s="21"/>
      <c r="J1012" s="21"/>
      <c r="K1012" s="21"/>
      <c r="L1012" s="21"/>
      <c r="M1012" s="21"/>
      <c r="N1012" s="21"/>
      <c r="O1012" s="21"/>
      <c r="P1012" s="21"/>
      <c r="Q1012" s="21"/>
      <c r="R1012" s="21"/>
      <c r="S1012" s="21"/>
      <c r="T1012" s="21"/>
      <c r="U1012" s="21"/>
      <c r="V1012" s="21"/>
      <c r="W1012" s="21"/>
      <c r="X1012" s="21"/>
      <c r="Y1012" s="21"/>
      <c r="Z1012" s="21"/>
      <c r="AA1012" s="21"/>
      <c r="AB1012" s="21"/>
      <c r="AC1012" s="21"/>
      <c r="AD1012" s="21"/>
    </row>
    <row r="1013" spans="1:30">
      <c r="A1013" s="21"/>
      <c r="B1013" s="21"/>
      <c r="C1013" s="21"/>
      <c r="D1013" s="21"/>
      <c r="E1013" s="21"/>
      <c r="F1013" s="21"/>
      <c r="G1013" s="21"/>
      <c r="H1013" s="21"/>
      <c r="I1013" s="21"/>
      <c r="J1013" s="21"/>
      <c r="K1013" s="21"/>
      <c r="L1013" s="21"/>
      <c r="M1013" s="21"/>
      <c r="N1013" s="21"/>
      <c r="O1013" s="21"/>
      <c r="P1013" s="21"/>
      <c r="Q1013" s="21"/>
      <c r="R1013" s="21"/>
      <c r="S1013" s="21"/>
      <c r="T1013" s="21"/>
      <c r="U1013" s="21"/>
      <c r="V1013" s="21"/>
      <c r="W1013" s="21"/>
      <c r="X1013" s="21"/>
      <c r="Y1013" s="21"/>
      <c r="Z1013" s="21"/>
      <c r="AA1013" s="21"/>
      <c r="AB1013" s="21"/>
      <c r="AC1013" s="21"/>
      <c r="AD1013" s="21"/>
    </row>
    <row r="1014" spans="1:30">
      <c r="A1014" s="21"/>
      <c r="B1014" s="21"/>
      <c r="C1014" s="21"/>
      <c r="D1014" s="21"/>
      <c r="E1014" s="21"/>
      <c r="F1014" s="21"/>
      <c r="G1014" s="21"/>
      <c r="H1014" s="21"/>
      <c r="I1014" s="21"/>
      <c r="J1014" s="21"/>
      <c r="K1014" s="21"/>
      <c r="L1014" s="21"/>
      <c r="M1014" s="21"/>
      <c r="N1014" s="21"/>
      <c r="O1014" s="21"/>
      <c r="P1014" s="21"/>
      <c r="Q1014" s="21"/>
      <c r="R1014" s="21"/>
      <c r="S1014" s="21"/>
      <c r="T1014" s="21"/>
      <c r="U1014" s="21"/>
      <c r="V1014" s="21"/>
      <c r="W1014" s="21"/>
      <c r="X1014" s="21"/>
      <c r="Y1014" s="21"/>
      <c r="Z1014" s="21"/>
      <c r="AA1014" s="21"/>
      <c r="AB1014" s="21"/>
      <c r="AC1014" s="21"/>
      <c r="AD1014" s="21"/>
    </row>
    <row r="1015" spans="1:30">
      <c r="A1015" s="21"/>
      <c r="B1015" s="21"/>
      <c r="C1015" s="21"/>
      <c r="D1015" s="21"/>
      <c r="E1015" s="21"/>
      <c r="F1015" s="21"/>
      <c r="G1015" s="21"/>
      <c r="H1015" s="21"/>
      <c r="I1015" s="21"/>
      <c r="J1015" s="21"/>
      <c r="K1015" s="21"/>
      <c r="L1015" s="21"/>
      <c r="M1015" s="21"/>
      <c r="N1015" s="21"/>
      <c r="O1015" s="21"/>
      <c r="P1015" s="21"/>
      <c r="Q1015" s="21"/>
      <c r="R1015" s="21"/>
      <c r="S1015" s="21"/>
      <c r="T1015" s="21"/>
      <c r="U1015" s="21"/>
      <c r="V1015" s="21"/>
      <c r="W1015" s="21"/>
      <c r="X1015" s="21"/>
      <c r="Y1015" s="21"/>
      <c r="Z1015" s="21"/>
      <c r="AA1015" s="21"/>
      <c r="AB1015" s="21"/>
      <c r="AC1015" s="21"/>
      <c r="AD1015" s="21"/>
    </row>
    <row r="1016" spans="1:30">
      <c r="A1016" s="21"/>
      <c r="B1016" s="21"/>
      <c r="C1016" s="21"/>
      <c r="D1016" s="21"/>
      <c r="E1016" s="21"/>
      <c r="F1016" s="21"/>
      <c r="G1016" s="21"/>
      <c r="H1016" s="21"/>
      <c r="I1016" s="21"/>
      <c r="J1016" s="21"/>
      <c r="K1016" s="21"/>
      <c r="L1016" s="21"/>
      <c r="M1016" s="21"/>
      <c r="N1016" s="21"/>
      <c r="O1016" s="21"/>
      <c r="P1016" s="21"/>
      <c r="Q1016" s="21"/>
      <c r="R1016" s="21"/>
      <c r="S1016" s="21"/>
      <c r="T1016" s="21"/>
      <c r="U1016" s="21"/>
      <c r="V1016" s="21"/>
      <c r="W1016" s="21"/>
      <c r="X1016" s="21"/>
      <c r="Y1016" s="21"/>
      <c r="Z1016" s="21"/>
      <c r="AA1016" s="21"/>
      <c r="AB1016" s="21"/>
      <c r="AC1016" s="21"/>
      <c r="AD1016" s="21"/>
    </row>
    <row r="1017" spans="1:30">
      <c r="A1017" s="21"/>
      <c r="B1017" s="21"/>
      <c r="C1017" s="21"/>
      <c r="D1017" s="21"/>
      <c r="E1017" s="21"/>
      <c r="F1017" s="21"/>
      <c r="G1017" s="21"/>
      <c r="H1017" s="21"/>
      <c r="I1017" s="21"/>
      <c r="J1017" s="21"/>
      <c r="K1017" s="21"/>
      <c r="L1017" s="21"/>
      <c r="M1017" s="21"/>
      <c r="N1017" s="21"/>
      <c r="O1017" s="21"/>
      <c r="P1017" s="21"/>
      <c r="Q1017" s="21"/>
      <c r="R1017" s="21"/>
      <c r="S1017" s="21"/>
      <c r="T1017" s="21"/>
      <c r="U1017" s="21"/>
      <c r="V1017" s="21"/>
      <c r="W1017" s="21"/>
      <c r="X1017" s="21"/>
      <c r="Y1017" s="21"/>
      <c r="Z1017" s="21"/>
      <c r="AA1017" s="21"/>
      <c r="AB1017" s="21"/>
      <c r="AC1017" s="21"/>
      <c r="AD1017" s="21"/>
    </row>
    <row r="1018" spans="1:30">
      <c r="A1018" s="21"/>
      <c r="B1018" s="21"/>
      <c r="C1018" s="21"/>
      <c r="D1018" s="21"/>
      <c r="E1018" s="21"/>
      <c r="F1018" s="21"/>
      <c r="G1018" s="21"/>
      <c r="H1018" s="21"/>
      <c r="I1018" s="21"/>
      <c r="J1018" s="21"/>
      <c r="K1018" s="21"/>
      <c r="L1018" s="21"/>
      <c r="M1018" s="21"/>
      <c r="N1018" s="21"/>
      <c r="O1018" s="21"/>
      <c r="P1018" s="21"/>
      <c r="Q1018" s="21"/>
      <c r="R1018" s="21"/>
      <c r="S1018" s="21"/>
      <c r="T1018" s="21"/>
      <c r="U1018" s="21"/>
      <c r="V1018" s="21"/>
      <c r="W1018" s="21"/>
      <c r="X1018" s="21"/>
      <c r="Y1018" s="21"/>
      <c r="Z1018" s="21"/>
      <c r="AA1018" s="21"/>
      <c r="AB1018" s="21"/>
      <c r="AC1018" s="21"/>
      <c r="AD1018" s="21"/>
    </row>
    <row r="1019" spans="1:30">
      <c r="A1019" s="21"/>
      <c r="B1019" s="21"/>
      <c r="C1019" s="21"/>
      <c r="D1019" s="21"/>
      <c r="E1019" s="21"/>
      <c r="F1019" s="21"/>
      <c r="G1019" s="21"/>
      <c r="H1019" s="21"/>
      <c r="I1019" s="21"/>
      <c r="J1019" s="21"/>
      <c r="K1019" s="21"/>
      <c r="L1019" s="21"/>
      <c r="M1019" s="21"/>
      <c r="N1019" s="21"/>
      <c r="O1019" s="21"/>
      <c r="P1019" s="21"/>
      <c r="Q1019" s="21"/>
      <c r="R1019" s="21"/>
      <c r="S1019" s="21"/>
      <c r="T1019" s="21"/>
      <c r="U1019" s="21"/>
      <c r="V1019" s="21"/>
      <c r="W1019" s="21"/>
      <c r="X1019" s="21"/>
      <c r="Y1019" s="21"/>
      <c r="Z1019" s="21"/>
      <c r="AA1019" s="21"/>
      <c r="AB1019" s="21"/>
      <c r="AC1019" s="21"/>
      <c r="AD1019" s="21"/>
    </row>
    <row r="1020" spans="1:30">
      <c r="A1020" s="21"/>
      <c r="B1020" s="21"/>
      <c r="C1020" s="21"/>
      <c r="D1020" s="21"/>
      <c r="E1020" s="21"/>
      <c r="F1020" s="21"/>
      <c r="G1020" s="21"/>
      <c r="H1020" s="21"/>
      <c r="I1020" s="21"/>
      <c r="J1020" s="21"/>
      <c r="K1020" s="21"/>
      <c r="L1020" s="21"/>
      <c r="M1020" s="21"/>
      <c r="N1020" s="21"/>
      <c r="O1020" s="21"/>
      <c r="P1020" s="21"/>
      <c r="Q1020" s="21"/>
      <c r="R1020" s="21"/>
      <c r="S1020" s="21"/>
      <c r="T1020" s="21"/>
      <c r="U1020" s="21"/>
      <c r="V1020" s="21"/>
      <c r="W1020" s="21"/>
      <c r="X1020" s="21"/>
      <c r="Y1020" s="21"/>
      <c r="Z1020" s="21"/>
      <c r="AA1020" s="21"/>
      <c r="AB1020" s="21"/>
      <c r="AC1020" s="21"/>
      <c r="AD1020" s="21"/>
    </row>
    <row r="1021" spans="1:30">
      <c r="A1021" s="21"/>
      <c r="B1021" s="21"/>
      <c r="C1021" s="21"/>
      <c r="D1021" s="21"/>
      <c r="E1021" s="21"/>
      <c r="F1021" s="21"/>
      <c r="G1021" s="21"/>
      <c r="H1021" s="21"/>
      <c r="I1021" s="21"/>
      <c r="J1021" s="21"/>
      <c r="K1021" s="21"/>
      <c r="L1021" s="21"/>
      <c r="M1021" s="21"/>
      <c r="N1021" s="21"/>
      <c r="O1021" s="21"/>
      <c r="P1021" s="21"/>
      <c r="Q1021" s="21"/>
      <c r="R1021" s="21"/>
      <c r="S1021" s="21"/>
      <c r="T1021" s="21"/>
      <c r="U1021" s="21"/>
      <c r="V1021" s="21"/>
      <c r="W1021" s="21"/>
      <c r="X1021" s="21"/>
      <c r="Y1021" s="21"/>
      <c r="Z1021" s="21"/>
      <c r="AA1021" s="21"/>
      <c r="AB1021" s="21"/>
      <c r="AC1021" s="21"/>
      <c r="AD1021" s="21"/>
    </row>
    <row r="1022" spans="1:30">
      <c r="A1022" s="21"/>
      <c r="B1022" s="21"/>
      <c r="C1022" s="21"/>
      <c r="D1022" s="21"/>
      <c r="E1022" s="21"/>
      <c r="F1022" s="21"/>
      <c r="G1022" s="21"/>
      <c r="H1022" s="21"/>
      <c r="I1022" s="21"/>
      <c r="J1022" s="21"/>
      <c r="K1022" s="21"/>
      <c r="L1022" s="21"/>
      <c r="M1022" s="21"/>
      <c r="N1022" s="21"/>
      <c r="O1022" s="21"/>
      <c r="P1022" s="21"/>
      <c r="Q1022" s="21"/>
      <c r="R1022" s="21"/>
      <c r="S1022" s="21"/>
      <c r="T1022" s="21"/>
      <c r="U1022" s="21"/>
      <c r="V1022" s="21"/>
      <c r="W1022" s="21"/>
      <c r="X1022" s="21"/>
      <c r="Y1022" s="21"/>
      <c r="Z1022" s="21"/>
      <c r="AA1022" s="21"/>
      <c r="AB1022" s="21"/>
      <c r="AC1022" s="21"/>
      <c r="AD1022" s="21"/>
    </row>
    <row r="1023" spans="1:30">
      <c r="A1023" s="21"/>
      <c r="B1023" s="21"/>
      <c r="C1023" s="21"/>
      <c r="D1023" s="21"/>
      <c r="E1023" s="21"/>
      <c r="F1023" s="21"/>
      <c r="G1023" s="21"/>
      <c r="H1023" s="21"/>
      <c r="I1023" s="21"/>
      <c r="J1023" s="21"/>
      <c r="K1023" s="21"/>
      <c r="L1023" s="21"/>
      <c r="M1023" s="21"/>
      <c r="N1023" s="21"/>
      <c r="O1023" s="21"/>
      <c r="P1023" s="21"/>
      <c r="Q1023" s="21"/>
      <c r="R1023" s="21"/>
      <c r="S1023" s="21"/>
      <c r="T1023" s="21"/>
      <c r="U1023" s="21"/>
      <c r="V1023" s="21"/>
      <c r="W1023" s="21"/>
      <c r="X1023" s="21"/>
      <c r="Y1023" s="21"/>
      <c r="Z1023" s="21"/>
      <c r="AA1023" s="21"/>
      <c r="AB1023" s="21"/>
      <c r="AC1023" s="21"/>
      <c r="AD1023" s="21"/>
    </row>
    <row r="1024" spans="1:30">
      <c r="A1024" s="21"/>
      <c r="B1024" s="21"/>
      <c r="C1024" s="21"/>
      <c r="D1024" s="21"/>
      <c r="E1024" s="21"/>
      <c r="F1024" s="21"/>
      <c r="G1024" s="21"/>
      <c r="H1024" s="21"/>
      <c r="I1024" s="21"/>
      <c r="J1024" s="21"/>
      <c r="K1024" s="21"/>
      <c r="L1024" s="21"/>
      <c r="M1024" s="21"/>
      <c r="N1024" s="21"/>
      <c r="O1024" s="21"/>
      <c r="P1024" s="21"/>
      <c r="Q1024" s="21"/>
      <c r="R1024" s="21"/>
      <c r="S1024" s="21"/>
      <c r="T1024" s="21"/>
      <c r="U1024" s="21"/>
      <c r="V1024" s="21"/>
      <c r="W1024" s="21"/>
      <c r="X1024" s="21"/>
      <c r="Y1024" s="21"/>
      <c r="Z1024" s="21"/>
      <c r="AA1024" s="21"/>
      <c r="AB1024" s="21"/>
      <c r="AC1024" s="21"/>
      <c r="AD1024" s="21"/>
    </row>
    <row r="1025" spans="1:30">
      <c r="A1025" s="21"/>
      <c r="B1025" s="21"/>
      <c r="C1025" s="21"/>
      <c r="D1025" s="21"/>
      <c r="E1025" s="21"/>
      <c r="F1025" s="21"/>
      <c r="G1025" s="21"/>
      <c r="H1025" s="21"/>
      <c r="I1025" s="21"/>
      <c r="J1025" s="21"/>
      <c r="K1025" s="21"/>
      <c r="L1025" s="21"/>
      <c r="M1025" s="21"/>
      <c r="N1025" s="21"/>
      <c r="O1025" s="21"/>
      <c r="P1025" s="21"/>
      <c r="Q1025" s="21"/>
      <c r="R1025" s="21"/>
      <c r="S1025" s="21"/>
      <c r="T1025" s="21"/>
      <c r="U1025" s="21"/>
      <c r="V1025" s="21"/>
      <c r="W1025" s="21"/>
      <c r="X1025" s="21"/>
      <c r="Y1025" s="21"/>
      <c r="Z1025" s="21"/>
      <c r="AA1025" s="21"/>
      <c r="AB1025" s="21"/>
      <c r="AC1025" s="21"/>
      <c r="AD1025" s="21"/>
    </row>
    <row r="1026" spans="1:30">
      <c r="A1026" s="21"/>
      <c r="B1026" s="21"/>
      <c r="C1026" s="21"/>
      <c r="D1026" s="21"/>
      <c r="E1026" s="21"/>
      <c r="F1026" s="21"/>
      <c r="G1026" s="21"/>
      <c r="H1026" s="21"/>
      <c r="I1026" s="21"/>
      <c r="J1026" s="21"/>
      <c r="K1026" s="21"/>
      <c r="L1026" s="21"/>
      <c r="M1026" s="21"/>
      <c r="N1026" s="21"/>
      <c r="O1026" s="21"/>
      <c r="P1026" s="21"/>
      <c r="Q1026" s="21"/>
      <c r="R1026" s="21"/>
      <c r="S1026" s="21"/>
      <c r="T1026" s="21"/>
      <c r="U1026" s="21"/>
      <c r="V1026" s="21"/>
      <c r="W1026" s="21"/>
      <c r="X1026" s="21"/>
      <c r="Y1026" s="21"/>
      <c r="Z1026" s="21"/>
      <c r="AA1026" s="21"/>
      <c r="AB1026" s="21"/>
      <c r="AC1026" s="21"/>
      <c r="AD1026" s="21"/>
    </row>
    <row r="1027" spans="1:30">
      <c r="A1027" s="21"/>
      <c r="B1027" s="21"/>
      <c r="C1027" s="21"/>
      <c r="D1027" s="21"/>
      <c r="E1027" s="21"/>
      <c r="F1027" s="21"/>
      <c r="G1027" s="21"/>
      <c r="H1027" s="21"/>
      <c r="I1027" s="21"/>
      <c r="J1027" s="21"/>
      <c r="K1027" s="21"/>
      <c r="L1027" s="21"/>
      <c r="M1027" s="21"/>
      <c r="N1027" s="21"/>
      <c r="O1027" s="21"/>
      <c r="P1027" s="21"/>
      <c r="Q1027" s="21"/>
      <c r="R1027" s="21"/>
      <c r="S1027" s="21"/>
      <c r="T1027" s="21"/>
      <c r="U1027" s="21"/>
      <c r="V1027" s="21"/>
      <c r="W1027" s="21"/>
      <c r="X1027" s="21"/>
      <c r="Y1027" s="21"/>
      <c r="Z1027" s="21"/>
      <c r="AA1027" s="21"/>
      <c r="AB1027" s="21"/>
      <c r="AC1027" s="21"/>
      <c r="AD1027" s="21"/>
    </row>
    <row r="1028" spans="1:30">
      <c r="A1028" s="21"/>
      <c r="B1028" s="21"/>
      <c r="C1028" s="21"/>
      <c r="D1028" s="21"/>
      <c r="E1028" s="21"/>
      <c r="F1028" s="21"/>
      <c r="G1028" s="21"/>
      <c r="H1028" s="21"/>
      <c r="I1028" s="21"/>
      <c r="J1028" s="21"/>
      <c r="K1028" s="21"/>
      <c r="L1028" s="21"/>
      <c r="M1028" s="21"/>
      <c r="N1028" s="21"/>
      <c r="O1028" s="21"/>
      <c r="P1028" s="21"/>
      <c r="Q1028" s="21"/>
      <c r="R1028" s="21"/>
      <c r="S1028" s="21"/>
      <c r="T1028" s="21"/>
      <c r="U1028" s="21"/>
      <c r="V1028" s="21"/>
      <c r="W1028" s="21"/>
      <c r="X1028" s="21"/>
      <c r="Y1028" s="21"/>
      <c r="Z1028" s="21"/>
      <c r="AA1028" s="21"/>
      <c r="AB1028" s="21"/>
      <c r="AC1028" s="21"/>
      <c r="AD1028" s="21"/>
    </row>
    <row r="1029" spans="1:30">
      <c r="A1029" s="21"/>
      <c r="B1029" s="21"/>
      <c r="C1029" s="21"/>
      <c r="D1029" s="21"/>
      <c r="E1029" s="21"/>
      <c r="F1029" s="21"/>
      <c r="G1029" s="21"/>
      <c r="H1029" s="21"/>
      <c r="I1029" s="21"/>
      <c r="J1029" s="21"/>
      <c r="K1029" s="21"/>
      <c r="L1029" s="21"/>
      <c r="M1029" s="21"/>
      <c r="N1029" s="21"/>
      <c r="O1029" s="21"/>
      <c r="P1029" s="21"/>
      <c r="Q1029" s="21"/>
      <c r="R1029" s="21"/>
      <c r="S1029" s="21"/>
      <c r="T1029" s="21"/>
      <c r="U1029" s="21"/>
      <c r="V1029" s="21"/>
      <c r="W1029" s="21"/>
      <c r="X1029" s="21"/>
      <c r="Y1029" s="21"/>
      <c r="Z1029" s="21"/>
      <c r="AA1029" s="21"/>
      <c r="AB1029" s="21"/>
      <c r="AC1029" s="21"/>
      <c r="AD1029" s="21"/>
    </row>
    <row r="1030" spans="1:30">
      <c r="A1030" s="21"/>
      <c r="B1030" s="21"/>
      <c r="C1030" s="21"/>
      <c r="D1030" s="21"/>
      <c r="E1030" s="21"/>
      <c r="F1030" s="21"/>
      <c r="G1030" s="21"/>
      <c r="H1030" s="21"/>
      <c r="I1030" s="21"/>
      <c r="J1030" s="21"/>
      <c r="K1030" s="21"/>
      <c r="L1030" s="21"/>
      <c r="M1030" s="21"/>
      <c r="N1030" s="21"/>
      <c r="O1030" s="21"/>
      <c r="P1030" s="21"/>
      <c r="Q1030" s="21"/>
      <c r="R1030" s="21"/>
      <c r="S1030" s="21"/>
      <c r="T1030" s="21"/>
      <c r="U1030" s="21"/>
      <c r="V1030" s="21"/>
      <c r="W1030" s="21"/>
      <c r="X1030" s="21"/>
      <c r="Y1030" s="21"/>
      <c r="Z1030" s="21"/>
      <c r="AA1030" s="21"/>
      <c r="AB1030" s="21"/>
      <c r="AC1030" s="21"/>
      <c r="AD1030" s="21"/>
    </row>
    <row r="1031" spans="1:30">
      <c r="A1031" s="21"/>
      <c r="B1031" s="21"/>
      <c r="C1031" s="21"/>
      <c r="D1031" s="21"/>
      <c r="E1031" s="21"/>
      <c r="F1031" s="21"/>
      <c r="G1031" s="21"/>
      <c r="H1031" s="21"/>
      <c r="I1031" s="21"/>
      <c r="J1031" s="21"/>
      <c r="K1031" s="21"/>
      <c r="L1031" s="21"/>
      <c r="M1031" s="21"/>
      <c r="N1031" s="21"/>
      <c r="O1031" s="21"/>
      <c r="P1031" s="21"/>
      <c r="Q1031" s="21"/>
      <c r="R1031" s="21"/>
      <c r="S1031" s="21"/>
      <c r="T1031" s="21"/>
      <c r="U1031" s="21"/>
      <c r="V1031" s="21"/>
      <c r="W1031" s="21"/>
      <c r="X1031" s="21"/>
      <c r="Y1031" s="21"/>
      <c r="Z1031" s="21"/>
      <c r="AA1031" s="21"/>
      <c r="AB1031" s="21"/>
      <c r="AC1031" s="21"/>
      <c r="AD1031" s="21"/>
    </row>
    <row r="1032" spans="1:30">
      <c r="A1032" s="21"/>
      <c r="B1032" s="21"/>
      <c r="C1032" s="21"/>
      <c r="D1032" s="21"/>
      <c r="E1032" s="21"/>
      <c r="F1032" s="21"/>
      <c r="G1032" s="21"/>
      <c r="H1032" s="21"/>
      <c r="I1032" s="21"/>
      <c r="J1032" s="21"/>
      <c r="K1032" s="21"/>
      <c r="L1032" s="21"/>
      <c r="M1032" s="21"/>
      <c r="N1032" s="21"/>
      <c r="O1032" s="21"/>
      <c r="P1032" s="21"/>
      <c r="Q1032" s="21"/>
      <c r="R1032" s="21"/>
      <c r="S1032" s="21"/>
      <c r="T1032" s="21"/>
      <c r="U1032" s="21"/>
      <c r="V1032" s="21"/>
      <c r="W1032" s="21"/>
      <c r="X1032" s="21"/>
      <c r="Y1032" s="21"/>
      <c r="Z1032" s="21"/>
      <c r="AA1032" s="21"/>
      <c r="AB1032" s="21"/>
      <c r="AC1032" s="21"/>
      <c r="AD1032" s="21"/>
    </row>
    <row r="1033" spans="1:30">
      <c r="A1033" s="21"/>
      <c r="B1033" s="21"/>
      <c r="C1033" s="21"/>
      <c r="D1033" s="21"/>
      <c r="E1033" s="21"/>
      <c r="F1033" s="21"/>
      <c r="G1033" s="21"/>
      <c r="H1033" s="21"/>
      <c r="I1033" s="21"/>
      <c r="J1033" s="21"/>
      <c r="K1033" s="21"/>
      <c r="L1033" s="21"/>
      <c r="M1033" s="21"/>
      <c r="N1033" s="21"/>
      <c r="O1033" s="21"/>
      <c r="P1033" s="21"/>
      <c r="Q1033" s="21"/>
      <c r="R1033" s="21"/>
      <c r="S1033" s="21"/>
      <c r="T1033" s="21"/>
      <c r="U1033" s="21"/>
      <c r="V1033" s="21"/>
      <c r="W1033" s="21"/>
      <c r="X1033" s="21"/>
      <c r="Y1033" s="21"/>
      <c r="Z1033" s="21"/>
      <c r="AA1033" s="21"/>
      <c r="AB1033" s="21"/>
      <c r="AC1033" s="21"/>
      <c r="AD1033" s="21"/>
    </row>
    <row r="1034" spans="1:30">
      <c r="A1034" s="21"/>
      <c r="B1034" s="21"/>
      <c r="C1034" s="21"/>
      <c r="D1034" s="21"/>
      <c r="E1034" s="21"/>
      <c r="F1034" s="21"/>
      <c r="G1034" s="21"/>
      <c r="H1034" s="21"/>
      <c r="I1034" s="21"/>
      <c r="J1034" s="21"/>
      <c r="K1034" s="21"/>
      <c r="L1034" s="21"/>
      <c r="M1034" s="21"/>
      <c r="N1034" s="21"/>
      <c r="O1034" s="21"/>
      <c r="P1034" s="21"/>
      <c r="Q1034" s="21"/>
      <c r="R1034" s="21"/>
      <c r="S1034" s="21"/>
      <c r="T1034" s="21"/>
      <c r="U1034" s="21"/>
      <c r="V1034" s="21"/>
      <c r="W1034" s="21"/>
      <c r="X1034" s="21"/>
      <c r="Y1034" s="21"/>
      <c r="Z1034" s="21"/>
      <c r="AA1034" s="21"/>
      <c r="AB1034" s="21"/>
      <c r="AC1034" s="21"/>
      <c r="AD1034" s="21"/>
    </row>
    <row r="1035" spans="1:30">
      <c r="A1035" s="21"/>
      <c r="B1035" s="21"/>
      <c r="C1035" s="21"/>
      <c r="D1035" s="21"/>
      <c r="E1035" s="21"/>
      <c r="F1035" s="21"/>
      <c r="G1035" s="21"/>
      <c r="H1035" s="21"/>
      <c r="I1035" s="21"/>
      <c r="J1035" s="21"/>
      <c r="K1035" s="21"/>
      <c r="L1035" s="21"/>
      <c r="M1035" s="21"/>
      <c r="N1035" s="21"/>
      <c r="O1035" s="21"/>
      <c r="P1035" s="21"/>
      <c r="Q1035" s="21"/>
      <c r="R1035" s="21"/>
      <c r="S1035" s="21"/>
      <c r="T1035" s="21"/>
      <c r="U1035" s="21"/>
      <c r="V1035" s="21"/>
      <c r="W1035" s="21"/>
      <c r="X1035" s="21"/>
      <c r="Y1035" s="21"/>
      <c r="Z1035" s="21"/>
      <c r="AA1035" s="21"/>
      <c r="AB1035" s="21"/>
      <c r="AC1035" s="21"/>
      <c r="AD1035" s="21"/>
    </row>
    <row r="1036" spans="1:30">
      <c r="A1036" s="21"/>
      <c r="B1036" s="21"/>
      <c r="C1036" s="21"/>
      <c r="D1036" s="21"/>
      <c r="E1036" s="21"/>
      <c r="F1036" s="21"/>
      <c r="G1036" s="21"/>
      <c r="H1036" s="21"/>
      <c r="I1036" s="21"/>
      <c r="J1036" s="21"/>
      <c r="K1036" s="21"/>
      <c r="L1036" s="21"/>
      <c r="M1036" s="21"/>
      <c r="N1036" s="21"/>
      <c r="O1036" s="21"/>
      <c r="P1036" s="21"/>
      <c r="Q1036" s="21"/>
      <c r="R1036" s="21"/>
      <c r="S1036" s="21"/>
      <c r="T1036" s="21"/>
      <c r="U1036" s="21"/>
      <c r="V1036" s="21"/>
      <c r="W1036" s="21"/>
      <c r="X1036" s="21"/>
      <c r="Y1036" s="21"/>
      <c r="Z1036" s="21"/>
      <c r="AA1036" s="21"/>
      <c r="AB1036" s="21"/>
      <c r="AC1036" s="21"/>
      <c r="AD1036" s="21"/>
    </row>
    <row r="1037" spans="1:30">
      <c r="A1037" s="21"/>
      <c r="B1037" s="21"/>
      <c r="C1037" s="21"/>
      <c r="D1037" s="21"/>
      <c r="E1037" s="21"/>
      <c r="F1037" s="21"/>
      <c r="G1037" s="21"/>
      <c r="H1037" s="21"/>
      <c r="I1037" s="21"/>
      <c r="J1037" s="21"/>
      <c r="K1037" s="21"/>
      <c r="L1037" s="21"/>
      <c r="M1037" s="21"/>
      <c r="N1037" s="21"/>
      <c r="O1037" s="21"/>
      <c r="P1037" s="21"/>
      <c r="Q1037" s="21"/>
      <c r="R1037" s="21"/>
      <c r="S1037" s="21"/>
      <c r="T1037" s="21"/>
      <c r="U1037" s="21"/>
      <c r="V1037" s="21"/>
      <c r="W1037" s="21"/>
      <c r="X1037" s="21"/>
      <c r="Y1037" s="21"/>
      <c r="Z1037" s="21"/>
      <c r="AA1037" s="21"/>
      <c r="AB1037" s="21"/>
      <c r="AC1037" s="21"/>
      <c r="AD1037" s="21"/>
    </row>
    <row r="1038" spans="1:30">
      <c r="A1038" s="21"/>
      <c r="B1038" s="21"/>
      <c r="C1038" s="21"/>
      <c r="D1038" s="21"/>
      <c r="E1038" s="21"/>
      <c r="F1038" s="21"/>
      <c r="G1038" s="21"/>
      <c r="H1038" s="21"/>
      <c r="I1038" s="21"/>
      <c r="J1038" s="21"/>
      <c r="K1038" s="21"/>
      <c r="L1038" s="21"/>
      <c r="M1038" s="21"/>
      <c r="N1038" s="21"/>
      <c r="O1038" s="21"/>
      <c r="P1038" s="21"/>
      <c r="Q1038" s="21"/>
      <c r="R1038" s="21"/>
      <c r="S1038" s="21"/>
      <c r="T1038" s="21"/>
      <c r="U1038" s="21"/>
      <c r="V1038" s="21"/>
      <c r="W1038" s="21"/>
      <c r="X1038" s="21"/>
      <c r="Y1038" s="21"/>
      <c r="Z1038" s="21"/>
      <c r="AA1038" s="21"/>
      <c r="AB1038" s="21"/>
      <c r="AC1038" s="21"/>
      <c r="AD1038" s="21"/>
    </row>
    <row r="1039" spans="1:30">
      <c r="A1039" s="21"/>
      <c r="B1039" s="21"/>
      <c r="C1039" s="21"/>
      <c r="D1039" s="21"/>
      <c r="E1039" s="21"/>
      <c r="F1039" s="21"/>
      <c r="G1039" s="21"/>
      <c r="H1039" s="21"/>
      <c r="I1039" s="21"/>
      <c r="J1039" s="21"/>
      <c r="K1039" s="21"/>
      <c r="L1039" s="21"/>
      <c r="M1039" s="21"/>
      <c r="N1039" s="21"/>
      <c r="O1039" s="21"/>
      <c r="P1039" s="21"/>
      <c r="Q1039" s="21"/>
      <c r="R1039" s="21"/>
      <c r="S1039" s="21"/>
      <c r="T1039" s="21"/>
      <c r="U1039" s="21"/>
      <c r="V1039" s="21"/>
      <c r="W1039" s="21"/>
      <c r="X1039" s="21"/>
      <c r="Y1039" s="21"/>
      <c r="Z1039" s="21"/>
      <c r="AA1039" s="21"/>
      <c r="AB1039" s="21"/>
      <c r="AC1039" s="21"/>
      <c r="AD1039" s="21"/>
    </row>
    <row r="1040" spans="1:30">
      <c r="A1040" s="21"/>
      <c r="B1040" s="21"/>
      <c r="C1040" s="21"/>
      <c r="D1040" s="21"/>
      <c r="E1040" s="21"/>
      <c r="F1040" s="21"/>
      <c r="G1040" s="21"/>
      <c r="H1040" s="21"/>
      <c r="I1040" s="21"/>
      <c r="J1040" s="21"/>
      <c r="K1040" s="21"/>
      <c r="L1040" s="21"/>
      <c r="M1040" s="21"/>
      <c r="N1040" s="21"/>
      <c r="O1040" s="21"/>
      <c r="P1040" s="21"/>
      <c r="Q1040" s="21"/>
      <c r="R1040" s="21"/>
      <c r="S1040" s="21"/>
      <c r="T1040" s="21"/>
      <c r="U1040" s="21"/>
      <c r="V1040" s="21"/>
      <c r="W1040" s="21"/>
      <c r="X1040" s="21"/>
      <c r="Y1040" s="21"/>
      <c r="Z1040" s="21"/>
      <c r="AA1040" s="21"/>
      <c r="AB1040" s="21"/>
      <c r="AC1040" s="21"/>
      <c r="AD1040" s="21"/>
    </row>
    <row r="1041" spans="1:30">
      <c r="A1041" s="21"/>
      <c r="B1041" s="21"/>
      <c r="C1041" s="21"/>
      <c r="D1041" s="21"/>
      <c r="E1041" s="21"/>
      <c r="F1041" s="21"/>
      <c r="G1041" s="21"/>
      <c r="H1041" s="21"/>
      <c r="I1041" s="21"/>
      <c r="J1041" s="21"/>
      <c r="K1041" s="21"/>
      <c r="L1041" s="21"/>
      <c r="M1041" s="21"/>
      <c r="N1041" s="21"/>
      <c r="O1041" s="21"/>
      <c r="P1041" s="21"/>
      <c r="Q1041" s="21"/>
      <c r="R1041" s="21"/>
      <c r="S1041" s="21"/>
      <c r="T1041" s="21"/>
      <c r="U1041" s="21"/>
      <c r="V1041" s="21"/>
      <c r="W1041" s="21"/>
      <c r="X1041" s="21"/>
      <c r="Y1041" s="21"/>
      <c r="Z1041" s="21"/>
      <c r="AA1041" s="21"/>
      <c r="AB1041" s="21"/>
      <c r="AC1041" s="21"/>
      <c r="AD1041" s="21"/>
    </row>
    <row r="1042" spans="1:30">
      <c r="A1042" s="21"/>
      <c r="B1042" s="21"/>
      <c r="C1042" s="21"/>
      <c r="D1042" s="21"/>
      <c r="E1042" s="21"/>
      <c r="F1042" s="21"/>
      <c r="G1042" s="21"/>
      <c r="H1042" s="21"/>
      <c r="I1042" s="21"/>
      <c r="J1042" s="21"/>
      <c r="K1042" s="21"/>
      <c r="L1042" s="21"/>
      <c r="M1042" s="21"/>
      <c r="N1042" s="21"/>
      <c r="O1042" s="21"/>
      <c r="P1042" s="21"/>
      <c r="Q1042" s="21"/>
      <c r="R1042" s="21"/>
      <c r="S1042" s="21"/>
      <c r="T1042" s="21"/>
      <c r="U1042" s="21"/>
      <c r="V1042" s="21"/>
      <c r="W1042" s="21"/>
      <c r="X1042" s="21"/>
      <c r="Y1042" s="21"/>
      <c r="Z1042" s="21"/>
      <c r="AA1042" s="21"/>
      <c r="AB1042" s="21"/>
      <c r="AC1042" s="21"/>
      <c r="AD1042" s="21"/>
    </row>
    <row r="1043" spans="1:30">
      <c r="A1043" s="21"/>
      <c r="B1043" s="21"/>
      <c r="C1043" s="21"/>
      <c r="D1043" s="21"/>
      <c r="E1043" s="21"/>
      <c r="F1043" s="21"/>
      <c r="G1043" s="21"/>
      <c r="H1043" s="21"/>
      <c r="I1043" s="21"/>
      <c r="J1043" s="21"/>
      <c r="K1043" s="21"/>
      <c r="L1043" s="21"/>
      <c r="M1043" s="21"/>
      <c r="N1043" s="21"/>
      <c r="O1043" s="21"/>
      <c r="P1043" s="21"/>
      <c r="Q1043" s="21"/>
      <c r="R1043" s="21"/>
      <c r="S1043" s="21"/>
      <c r="T1043" s="21"/>
      <c r="U1043" s="21"/>
      <c r="V1043" s="21"/>
      <c r="W1043" s="21"/>
      <c r="X1043" s="21"/>
      <c r="Y1043" s="21"/>
      <c r="Z1043" s="21"/>
      <c r="AA1043" s="21"/>
      <c r="AB1043" s="21"/>
      <c r="AC1043" s="21"/>
      <c r="AD1043" s="21"/>
    </row>
    <row r="1044" spans="1:30">
      <c r="A1044" s="21"/>
      <c r="B1044" s="21"/>
      <c r="C1044" s="21"/>
      <c r="D1044" s="21"/>
      <c r="E1044" s="21"/>
      <c r="F1044" s="21"/>
      <c r="G1044" s="21"/>
      <c r="H1044" s="21"/>
      <c r="I1044" s="21"/>
      <c r="J1044" s="21"/>
      <c r="K1044" s="21"/>
      <c r="L1044" s="21"/>
      <c r="M1044" s="21"/>
      <c r="N1044" s="21"/>
      <c r="O1044" s="21"/>
      <c r="P1044" s="21"/>
      <c r="Q1044" s="21"/>
      <c r="R1044" s="21"/>
      <c r="S1044" s="21"/>
      <c r="T1044" s="21"/>
      <c r="U1044" s="21"/>
      <c r="V1044" s="21"/>
      <c r="W1044" s="21"/>
      <c r="X1044" s="21"/>
      <c r="Y1044" s="21"/>
      <c r="Z1044" s="21"/>
      <c r="AA1044" s="21"/>
      <c r="AB1044" s="21"/>
      <c r="AC1044" s="21"/>
      <c r="AD1044" s="21"/>
    </row>
    <row r="1045" spans="1:30">
      <c r="A1045" s="21"/>
      <c r="B1045" s="21"/>
      <c r="C1045" s="21"/>
      <c r="D1045" s="21"/>
      <c r="E1045" s="21"/>
      <c r="F1045" s="21"/>
      <c r="G1045" s="21"/>
      <c r="H1045" s="21"/>
      <c r="I1045" s="21"/>
      <c r="J1045" s="21"/>
      <c r="K1045" s="21"/>
      <c r="L1045" s="21"/>
      <c r="M1045" s="21"/>
      <c r="N1045" s="21"/>
      <c r="O1045" s="21"/>
      <c r="P1045" s="21"/>
      <c r="Q1045" s="21"/>
      <c r="R1045" s="21"/>
      <c r="S1045" s="21"/>
      <c r="T1045" s="21"/>
      <c r="U1045" s="21"/>
      <c r="V1045" s="21"/>
      <c r="W1045" s="21"/>
      <c r="X1045" s="21"/>
      <c r="Y1045" s="21"/>
      <c r="Z1045" s="21"/>
      <c r="AA1045" s="21"/>
      <c r="AB1045" s="21"/>
      <c r="AC1045" s="21"/>
      <c r="AD1045" s="21"/>
    </row>
    <row r="1046" spans="1:30">
      <c r="A1046" s="21"/>
      <c r="B1046" s="21"/>
      <c r="C1046" s="21"/>
      <c r="D1046" s="21"/>
      <c r="E1046" s="21"/>
      <c r="F1046" s="21"/>
      <c r="G1046" s="21"/>
      <c r="H1046" s="21"/>
      <c r="I1046" s="21"/>
      <c r="J1046" s="21"/>
      <c r="K1046" s="21"/>
      <c r="L1046" s="21"/>
      <c r="M1046" s="21"/>
      <c r="N1046" s="21"/>
      <c r="O1046" s="21"/>
      <c r="P1046" s="21"/>
      <c r="Q1046" s="21"/>
      <c r="R1046" s="21"/>
      <c r="S1046" s="21"/>
      <c r="T1046" s="21"/>
      <c r="U1046" s="21"/>
      <c r="V1046" s="21"/>
      <c r="W1046" s="21"/>
      <c r="X1046" s="21"/>
      <c r="Y1046" s="21"/>
      <c r="Z1046" s="21"/>
      <c r="AA1046" s="21"/>
      <c r="AB1046" s="21"/>
      <c r="AC1046" s="21"/>
      <c r="AD1046" s="21"/>
    </row>
    <row r="1047" spans="1:30">
      <c r="A1047" s="21"/>
      <c r="B1047" s="21"/>
      <c r="C1047" s="21"/>
      <c r="D1047" s="21"/>
      <c r="E1047" s="21"/>
      <c r="F1047" s="21"/>
      <c r="G1047" s="21"/>
      <c r="H1047" s="21"/>
      <c r="I1047" s="21"/>
      <c r="J1047" s="21"/>
      <c r="K1047" s="21"/>
      <c r="L1047" s="21"/>
      <c r="M1047" s="21"/>
      <c r="N1047" s="21"/>
      <c r="O1047" s="21"/>
      <c r="P1047" s="21"/>
      <c r="Q1047" s="21"/>
      <c r="R1047" s="21"/>
      <c r="S1047" s="21"/>
      <c r="T1047" s="21"/>
      <c r="U1047" s="21"/>
      <c r="V1047" s="21"/>
      <c r="W1047" s="21"/>
      <c r="X1047" s="21"/>
      <c r="Y1047" s="21"/>
      <c r="Z1047" s="21"/>
      <c r="AA1047" s="21"/>
      <c r="AB1047" s="21"/>
      <c r="AC1047" s="21"/>
      <c r="AD1047" s="21"/>
    </row>
    <row r="1048" spans="1:30">
      <c r="A1048" s="21"/>
      <c r="B1048" s="21"/>
      <c r="C1048" s="21"/>
      <c r="D1048" s="21"/>
      <c r="E1048" s="21"/>
      <c r="F1048" s="21"/>
      <c r="G1048" s="21"/>
      <c r="H1048" s="21"/>
      <c r="I1048" s="21"/>
      <c r="J1048" s="21"/>
      <c r="K1048" s="21"/>
      <c r="L1048" s="21"/>
      <c r="M1048" s="21"/>
      <c r="N1048" s="21"/>
      <c r="O1048" s="21"/>
      <c r="P1048" s="21"/>
      <c r="Q1048" s="21"/>
      <c r="R1048" s="21"/>
      <c r="S1048" s="21"/>
      <c r="T1048" s="21"/>
      <c r="U1048" s="21"/>
      <c r="V1048" s="21"/>
      <c r="W1048" s="21"/>
      <c r="X1048" s="21"/>
      <c r="Y1048" s="21"/>
      <c r="Z1048" s="21"/>
      <c r="AA1048" s="21"/>
      <c r="AB1048" s="21"/>
      <c r="AC1048" s="21"/>
      <c r="AD1048" s="21"/>
    </row>
    <row r="1049" spans="1:30">
      <c r="A1049" s="21"/>
      <c r="B1049" s="21"/>
      <c r="C1049" s="21"/>
      <c r="D1049" s="21"/>
      <c r="E1049" s="21"/>
      <c r="F1049" s="21"/>
      <c r="G1049" s="21"/>
      <c r="H1049" s="21"/>
      <c r="I1049" s="21"/>
      <c r="J1049" s="21"/>
      <c r="K1049" s="21"/>
      <c r="L1049" s="21"/>
      <c r="M1049" s="21"/>
      <c r="N1049" s="21"/>
      <c r="O1049" s="21"/>
      <c r="P1049" s="21"/>
      <c r="Q1049" s="21"/>
      <c r="R1049" s="21"/>
      <c r="S1049" s="21"/>
      <c r="T1049" s="21"/>
      <c r="U1049" s="21"/>
      <c r="V1049" s="21"/>
      <c r="W1049" s="21"/>
      <c r="X1049" s="21"/>
      <c r="Y1049" s="21"/>
      <c r="Z1049" s="21"/>
      <c r="AA1049" s="21"/>
      <c r="AB1049" s="21"/>
      <c r="AC1049" s="21"/>
      <c r="AD1049" s="21"/>
    </row>
    <row r="1050" spans="1:30">
      <c r="A1050" s="21"/>
      <c r="B1050" s="21"/>
      <c r="C1050" s="21"/>
      <c r="D1050" s="21"/>
      <c r="E1050" s="21"/>
      <c r="F1050" s="21"/>
      <c r="G1050" s="21"/>
      <c r="H1050" s="21"/>
      <c r="I1050" s="21"/>
      <c r="J1050" s="21"/>
      <c r="K1050" s="21"/>
      <c r="L1050" s="21"/>
      <c r="M1050" s="21"/>
      <c r="N1050" s="21"/>
      <c r="O1050" s="21"/>
      <c r="P1050" s="21"/>
      <c r="Q1050" s="21"/>
      <c r="R1050" s="21"/>
      <c r="S1050" s="21"/>
      <c r="T1050" s="21"/>
      <c r="U1050" s="21"/>
      <c r="V1050" s="21"/>
      <c r="W1050" s="21"/>
      <c r="X1050" s="21"/>
      <c r="Y1050" s="21"/>
      <c r="Z1050" s="21"/>
      <c r="AA1050" s="21"/>
      <c r="AB1050" s="21"/>
      <c r="AC1050" s="21"/>
      <c r="AD1050" s="21"/>
    </row>
    <row r="1051" spans="1:30">
      <c r="A1051" s="21"/>
      <c r="B1051" s="21"/>
      <c r="C1051" s="21"/>
      <c r="D1051" s="21"/>
      <c r="E1051" s="21"/>
      <c r="F1051" s="21"/>
      <c r="G1051" s="21"/>
      <c r="H1051" s="21"/>
      <c r="I1051" s="21"/>
      <c r="J1051" s="21"/>
      <c r="K1051" s="21"/>
      <c r="L1051" s="21"/>
      <c r="M1051" s="21"/>
      <c r="N1051" s="21"/>
      <c r="O1051" s="21"/>
      <c r="P1051" s="21"/>
      <c r="Q1051" s="21"/>
      <c r="R1051" s="21"/>
      <c r="S1051" s="21"/>
      <c r="T1051" s="21"/>
      <c r="U1051" s="21"/>
      <c r="V1051" s="21"/>
      <c r="W1051" s="21"/>
      <c r="X1051" s="21"/>
      <c r="Y1051" s="21"/>
      <c r="Z1051" s="21"/>
      <c r="AA1051" s="21"/>
      <c r="AB1051" s="21"/>
      <c r="AC1051" s="21"/>
      <c r="AD1051" s="21"/>
    </row>
    <row r="1052" spans="1:30">
      <c r="A1052" s="21"/>
      <c r="B1052" s="21"/>
      <c r="C1052" s="21"/>
      <c r="D1052" s="21"/>
      <c r="E1052" s="21"/>
      <c r="F1052" s="21"/>
      <c r="G1052" s="21"/>
      <c r="H1052" s="21"/>
      <c r="I1052" s="21"/>
      <c r="J1052" s="21"/>
      <c r="K1052" s="21"/>
      <c r="L1052" s="21"/>
      <c r="M1052" s="21"/>
      <c r="N1052" s="21"/>
      <c r="O1052" s="21"/>
      <c r="P1052" s="21"/>
      <c r="Q1052" s="21"/>
      <c r="R1052" s="21"/>
      <c r="S1052" s="21"/>
      <c r="T1052" s="21"/>
      <c r="U1052" s="21"/>
      <c r="V1052" s="21"/>
      <c r="W1052" s="21"/>
      <c r="X1052" s="21"/>
      <c r="Y1052" s="21"/>
      <c r="Z1052" s="21"/>
      <c r="AA1052" s="21"/>
      <c r="AB1052" s="21"/>
      <c r="AC1052" s="21"/>
      <c r="AD1052" s="21"/>
    </row>
    <row r="1053" spans="1:30">
      <c r="A1053" s="21"/>
      <c r="B1053" s="21"/>
      <c r="C1053" s="21"/>
      <c r="D1053" s="21"/>
      <c r="E1053" s="21"/>
      <c r="F1053" s="21"/>
      <c r="G1053" s="21"/>
      <c r="H1053" s="21"/>
      <c r="I1053" s="21"/>
      <c r="J1053" s="21"/>
      <c r="K1053" s="21"/>
      <c r="L1053" s="21"/>
      <c r="M1053" s="21"/>
      <c r="N1053" s="21"/>
      <c r="O1053" s="21"/>
      <c r="P1053" s="21"/>
      <c r="Q1053" s="21"/>
      <c r="R1053" s="21"/>
      <c r="S1053" s="21"/>
      <c r="T1053" s="21"/>
      <c r="U1053" s="21"/>
      <c r="V1053" s="21"/>
      <c r="W1053" s="21"/>
      <c r="X1053" s="21"/>
      <c r="Y1053" s="21"/>
      <c r="Z1053" s="21"/>
      <c r="AA1053" s="21"/>
      <c r="AB1053" s="21"/>
      <c r="AC1053" s="21"/>
      <c r="AD1053" s="21"/>
    </row>
    <row r="1054" spans="1:30">
      <c r="A1054" s="21"/>
      <c r="B1054" s="21"/>
      <c r="C1054" s="21"/>
      <c r="D1054" s="21"/>
      <c r="E1054" s="21"/>
      <c r="F1054" s="21"/>
      <c r="G1054" s="21"/>
      <c r="H1054" s="21"/>
      <c r="I1054" s="21"/>
      <c r="J1054" s="21"/>
      <c r="K1054" s="21"/>
      <c r="L1054" s="21"/>
      <c r="M1054" s="21"/>
      <c r="N1054" s="21"/>
      <c r="O1054" s="21"/>
      <c r="P1054" s="21"/>
      <c r="Q1054" s="21"/>
      <c r="R1054" s="21"/>
      <c r="S1054" s="21"/>
      <c r="T1054" s="21"/>
      <c r="U1054" s="21"/>
      <c r="V1054" s="21"/>
      <c r="W1054" s="21"/>
      <c r="X1054" s="21"/>
      <c r="Y1054" s="21"/>
      <c r="Z1054" s="21"/>
      <c r="AA1054" s="21"/>
      <c r="AB1054" s="21"/>
      <c r="AC1054" s="21"/>
      <c r="AD1054" s="21"/>
    </row>
    <row r="1055" spans="1:30">
      <c r="A1055" s="21"/>
      <c r="B1055" s="21"/>
      <c r="C1055" s="21"/>
      <c r="D1055" s="21"/>
      <c r="E1055" s="21"/>
      <c r="F1055" s="21"/>
      <c r="G1055" s="21"/>
      <c r="H1055" s="21"/>
      <c r="I1055" s="21"/>
      <c r="J1055" s="21"/>
      <c r="K1055" s="21"/>
      <c r="L1055" s="21"/>
      <c r="M1055" s="21"/>
      <c r="N1055" s="21"/>
      <c r="O1055" s="21"/>
      <c r="P1055" s="21"/>
      <c r="Q1055" s="21"/>
      <c r="R1055" s="21"/>
      <c r="S1055" s="21"/>
      <c r="T1055" s="21"/>
      <c r="U1055" s="21"/>
      <c r="V1055" s="21"/>
      <c r="W1055" s="21"/>
      <c r="X1055" s="21"/>
      <c r="Y1055" s="21"/>
      <c r="Z1055" s="21"/>
      <c r="AA1055" s="21"/>
      <c r="AB1055" s="21"/>
      <c r="AC1055" s="21"/>
      <c r="AD1055" s="21"/>
    </row>
    <row r="1056" spans="1:30">
      <c r="A1056" s="21"/>
      <c r="B1056" s="21"/>
      <c r="C1056" s="21"/>
      <c r="D1056" s="21"/>
      <c r="E1056" s="21"/>
      <c r="F1056" s="21"/>
      <c r="G1056" s="21"/>
      <c r="H1056" s="21"/>
      <c r="I1056" s="21"/>
      <c r="J1056" s="21"/>
      <c r="K1056" s="21"/>
      <c r="L1056" s="21"/>
      <c r="M1056" s="21"/>
      <c r="N1056" s="21"/>
      <c r="O1056" s="21"/>
      <c r="P1056" s="21"/>
      <c r="Q1056" s="21"/>
      <c r="R1056" s="21"/>
      <c r="S1056" s="21"/>
      <c r="T1056" s="21"/>
      <c r="U1056" s="21"/>
      <c r="V1056" s="21"/>
      <c r="W1056" s="21"/>
      <c r="X1056" s="21"/>
      <c r="Y1056" s="21"/>
      <c r="Z1056" s="21"/>
      <c r="AA1056" s="21"/>
      <c r="AB1056" s="21"/>
      <c r="AC1056" s="21"/>
      <c r="AD1056" s="21"/>
    </row>
    <row r="1057" spans="1:30">
      <c r="A1057" s="21"/>
      <c r="B1057" s="21"/>
      <c r="C1057" s="21"/>
      <c r="D1057" s="21"/>
      <c r="E1057" s="21"/>
      <c r="F1057" s="21"/>
      <c r="G1057" s="21"/>
      <c r="H1057" s="21"/>
      <c r="I1057" s="21"/>
      <c r="J1057" s="21"/>
      <c r="K1057" s="21"/>
      <c r="L1057" s="21"/>
      <c r="M1057" s="21"/>
      <c r="N1057" s="21"/>
      <c r="O1057" s="21"/>
      <c r="P1057" s="21"/>
      <c r="Q1057" s="21"/>
      <c r="R1057" s="21"/>
      <c r="S1057" s="21"/>
      <c r="T1057" s="21"/>
      <c r="U1057" s="21"/>
      <c r="V1057" s="21"/>
      <c r="W1057" s="21"/>
      <c r="X1057" s="21"/>
      <c r="Y1057" s="21"/>
      <c r="Z1057" s="21"/>
      <c r="AA1057" s="21"/>
      <c r="AB1057" s="21"/>
      <c r="AC1057" s="21"/>
      <c r="AD1057" s="21"/>
    </row>
    <row r="1058" spans="1:30">
      <c r="A1058" s="21"/>
      <c r="B1058" s="21"/>
      <c r="C1058" s="21"/>
      <c r="D1058" s="21"/>
      <c r="E1058" s="21"/>
      <c r="F1058" s="21"/>
      <c r="G1058" s="21"/>
      <c r="H1058" s="21"/>
      <c r="I1058" s="21"/>
      <c r="J1058" s="21"/>
      <c r="K1058" s="21"/>
      <c r="L1058" s="21"/>
      <c r="M1058" s="21"/>
      <c r="N1058" s="21"/>
      <c r="O1058" s="21"/>
      <c r="P1058" s="21"/>
      <c r="Q1058" s="21"/>
      <c r="R1058" s="21"/>
      <c r="S1058" s="21"/>
      <c r="T1058" s="21"/>
      <c r="U1058" s="21"/>
      <c r="V1058" s="21"/>
      <c r="W1058" s="21"/>
      <c r="X1058" s="21"/>
      <c r="Y1058" s="21"/>
      <c r="Z1058" s="21"/>
      <c r="AA1058" s="21"/>
      <c r="AB1058" s="21"/>
      <c r="AC1058" s="21"/>
      <c r="AD1058" s="21"/>
    </row>
    <row r="1059" spans="1:30">
      <c r="A1059" s="21"/>
      <c r="B1059" s="21"/>
      <c r="C1059" s="21"/>
      <c r="D1059" s="21"/>
      <c r="E1059" s="21"/>
      <c r="F1059" s="21"/>
      <c r="G1059" s="21"/>
      <c r="H1059" s="21"/>
      <c r="I1059" s="21"/>
      <c r="J1059" s="21"/>
      <c r="K1059" s="21"/>
      <c r="L1059" s="21"/>
      <c r="M1059" s="21"/>
      <c r="N1059" s="21"/>
      <c r="O1059" s="21"/>
      <c r="P1059" s="21"/>
      <c r="Q1059" s="21"/>
      <c r="R1059" s="21"/>
      <c r="S1059" s="21"/>
      <c r="T1059" s="21"/>
      <c r="U1059" s="21"/>
      <c r="V1059" s="21"/>
      <c r="W1059" s="21"/>
      <c r="X1059" s="21"/>
      <c r="Y1059" s="21"/>
      <c r="Z1059" s="21"/>
      <c r="AA1059" s="21"/>
      <c r="AB1059" s="21"/>
      <c r="AC1059" s="21"/>
      <c r="AD1059" s="21"/>
    </row>
    <row r="1060" spans="1:30">
      <c r="A1060" s="21"/>
      <c r="B1060" s="21"/>
      <c r="C1060" s="21"/>
      <c r="D1060" s="21"/>
      <c r="E1060" s="21"/>
      <c r="F1060" s="21"/>
      <c r="G1060" s="21"/>
      <c r="H1060" s="21"/>
      <c r="I1060" s="21"/>
      <c r="J1060" s="21"/>
      <c r="K1060" s="21"/>
      <c r="L1060" s="21"/>
      <c r="M1060" s="21"/>
      <c r="N1060" s="21"/>
      <c r="O1060" s="21"/>
      <c r="P1060" s="21"/>
      <c r="Q1060" s="21"/>
      <c r="R1060" s="21"/>
      <c r="S1060" s="21"/>
      <c r="T1060" s="21"/>
      <c r="U1060" s="21"/>
      <c r="V1060" s="21"/>
      <c r="W1060" s="21"/>
      <c r="X1060" s="21"/>
      <c r="Y1060" s="21"/>
      <c r="Z1060" s="21"/>
      <c r="AA1060" s="21"/>
      <c r="AB1060" s="21"/>
      <c r="AC1060" s="21"/>
      <c r="AD1060" s="21"/>
    </row>
    <row r="1061" spans="1:30">
      <c r="A1061" s="21"/>
      <c r="B1061" s="21"/>
      <c r="C1061" s="21"/>
      <c r="D1061" s="21"/>
      <c r="E1061" s="21"/>
      <c r="F1061" s="21"/>
      <c r="G1061" s="21"/>
      <c r="H1061" s="21"/>
      <c r="I1061" s="21"/>
      <c r="J1061" s="21"/>
      <c r="K1061" s="21"/>
      <c r="L1061" s="21"/>
      <c r="M1061" s="21"/>
      <c r="N1061" s="21"/>
      <c r="O1061" s="21"/>
      <c r="P1061" s="21"/>
      <c r="Q1061" s="21"/>
      <c r="R1061" s="21"/>
      <c r="S1061" s="21"/>
      <c r="T1061" s="21"/>
      <c r="U1061" s="21"/>
      <c r="V1061" s="21"/>
      <c r="W1061" s="21"/>
      <c r="X1061" s="21"/>
      <c r="Y1061" s="21"/>
      <c r="Z1061" s="21"/>
      <c r="AA1061" s="21"/>
      <c r="AB1061" s="21"/>
      <c r="AC1061" s="21"/>
      <c r="AD1061" s="21"/>
    </row>
    <row r="1062" spans="1:30">
      <c r="A1062" s="21"/>
      <c r="B1062" s="21"/>
      <c r="C1062" s="21"/>
      <c r="D1062" s="21"/>
      <c r="E1062" s="21"/>
      <c r="F1062" s="21"/>
      <c r="G1062" s="21"/>
      <c r="H1062" s="21"/>
      <c r="I1062" s="21"/>
      <c r="J1062" s="21"/>
      <c r="K1062" s="21"/>
      <c r="L1062" s="21"/>
      <c r="M1062" s="21"/>
      <c r="N1062" s="21"/>
      <c r="O1062" s="21"/>
      <c r="P1062" s="21"/>
      <c r="Q1062" s="21"/>
      <c r="R1062" s="21"/>
      <c r="S1062" s="21"/>
      <c r="T1062" s="21"/>
      <c r="U1062" s="21"/>
      <c r="V1062" s="21"/>
      <c r="W1062" s="21"/>
      <c r="X1062" s="21"/>
      <c r="Y1062" s="21"/>
      <c r="Z1062" s="21"/>
      <c r="AA1062" s="21"/>
      <c r="AB1062" s="21"/>
      <c r="AC1062" s="21"/>
      <c r="AD1062" s="21"/>
    </row>
    <row r="1063" spans="1:30">
      <c r="A1063" s="21"/>
      <c r="B1063" s="21"/>
      <c r="C1063" s="21"/>
      <c r="D1063" s="21"/>
      <c r="E1063" s="21"/>
      <c r="F1063" s="21"/>
      <c r="G1063" s="21"/>
      <c r="H1063" s="21"/>
      <c r="I1063" s="21"/>
      <c r="J1063" s="21"/>
      <c r="K1063" s="21"/>
      <c r="L1063" s="21"/>
      <c r="M1063" s="21"/>
      <c r="N1063" s="21"/>
      <c r="O1063" s="21"/>
      <c r="P1063" s="21"/>
      <c r="Q1063" s="21"/>
      <c r="R1063" s="21"/>
      <c r="S1063" s="21"/>
      <c r="T1063" s="21"/>
      <c r="U1063" s="21"/>
      <c r="V1063" s="21"/>
      <c r="W1063" s="21"/>
      <c r="X1063" s="21"/>
      <c r="Y1063" s="21"/>
      <c r="Z1063" s="21"/>
      <c r="AA1063" s="21"/>
      <c r="AB1063" s="21"/>
      <c r="AC1063" s="21"/>
      <c r="AD1063" s="21"/>
    </row>
    <row r="1064" spans="1:30">
      <c r="A1064" s="21"/>
      <c r="B1064" s="21"/>
      <c r="C1064" s="21"/>
      <c r="D1064" s="21"/>
      <c r="E1064" s="21"/>
      <c r="F1064" s="21"/>
      <c r="G1064" s="21"/>
      <c r="H1064" s="21"/>
      <c r="I1064" s="21"/>
      <c r="J1064" s="21"/>
      <c r="K1064" s="21"/>
      <c r="L1064" s="21"/>
      <c r="M1064" s="21"/>
      <c r="N1064" s="21"/>
      <c r="O1064" s="21"/>
      <c r="P1064" s="21"/>
      <c r="Q1064" s="21"/>
      <c r="R1064" s="21"/>
      <c r="S1064" s="21"/>
      <c r="T1064" s="21"/>
      <c r="U1064" s="21"/>
      <c r="V1064" s="21"/>
      <c r="W1064" s="21"/>
      <c r="X1064" s="21"/>
      <c r="Y1064" s="21"/>
      <c r="Z1064" s="21"/>
      <c r="AA1064" s="21"/>
      <c r="AB1064" s="21"/>
      <c r="AC1064" s="21"/>
      <c r="AD1064" s="21"/>
    </row>
    <row r="1065" spans="1:30">
      <c r="A1065" s="21"/>
      <c r="B1065" s="21"/>
      <c r="C1065" s="21"/>
      <c r="D1065" s="21"/>
      <c r="E1065" s="21"/>
      <c r="F1065" s="21"/>
      <c r="G1065" s="21"/>
      <c r="H1065" s="21"/>
      <c r="I1065" s="21"/>
      <c r="J1065" s="21"/>
      <c r="K1065" s="21"/>
      <c r="L1065" s="21"/>
      <c r="M1065" s="21"/>
      <c r="N1065" s="21"/>
      <c r="O1065" s="21"/>
      <c r="P1065" s="21"/>
      <c r="Q1065" s="21"/>
      <c r="R1065" s="21"/>
      <c r="S1065" s="21"/>
      <c r="T1065" s="21"/>
      <c r="U1065" s="21"/>
      <c r="V1065" s="21"/>
      <c r="W1065" s="21"/>
      <c r="X1065" s="21"/>
      <c r="Y1065" s="21"/>
      <c r="Z1065" s="21"/>
      <c r="AA1065" s="21"/>
      <c r="AB1065" s="21"/>
      <c r="AC1065" s="21"/>
      <c r="AD1065" s="21"/>
    </row>
    <row r="1066" spans="1:30">
      <c r="A1066" s="21"/>
      <c r="B1066" s="21"/>
      <c r="C1066" s="21"/>
      <c r="D1066" s="21"/>
      <c r="E1066" s="21"/>
      <c r="F1066" s="21"/>
      <c r="G1066" s="21"/>
      <c r="H1066" s="21"/>
      <c r="I1066" s="21"/>
      <c r="J1066" s="21"/>
      <c r="K1066" s="21"/>
      <c r="L1066" s="21"/>
      <c r="M1066" s="21"/>
      <c r="N1066" s="21"/>
      <c r="O1066" s="21"/>
      <c r="P1066" s="21"/>
      <c r="Q1066" s="21"/>
      <c r="R1066" s="21"/>
      <c r="S1066" s="21"/>
      <c r="T1066" s="21"/>
      <c r="U1066" s="21"/>
      <c r="V1066" s="21"/>
      <c r="W1066" s="21"/>
      <c r="X1066" s="21"/>
      <c r="Y1066" s="21"/>
      <c r="Z1066" s="21"/>
      <c r="AA1066" s="21"/>
      <c r="AB1066" s="21"/>
      <c r="AC1066" s="21"/>
      <c r="AD1066" s="21"/>
    </row>
    <row r="1067" spans="1:30">
      <c r="A1067" s="21"/>
      <c r="B1067" s="21"/>
      <c r="C1067" s="21"/>
      <c r="D1067" s="21"/>
      <c r="E1067" s="21"/>
      <c r="F1067" s="21"/>
      <c r="G1067" s="21"/>
      <c r="H1067" s="21"/>
      <c r="I1067" s="21"/>
      <c r="J1067" s="21"/>
      <c r="K1067" s="21"/>
      <c r="L1067" s="21"/>
      <c r="M1067" s="21"/>
      <c r="N1067" s="21"/>
      <c r="O1067" s="21"/>
      <c r="P1067" s="21"/>
      <c r="Q1067" s="21"/>
      <c r="R1067" s="21"/>
      <c r="S1067" s="21"/>
      <c r="T1067" s="21"/>
      <c r="U1067" s="21"/>
      <c r="V1067" s="21"/>
      <c r="W1067" s="21"/>
      <c r="X1067" s="21"/>
      <c r="Y1067" s="21"/>
      <c r="Z1067" s="21"/>
      <c r="AA1067" s="21"/>
      <c r="AB1067" s="21"/>
      <c r="AC1067" s="21"/>
      <c r="AD1067" s="21"/>
    </row>
    <row r="1068" spans="1:30">
      <c r="A1068" s="21"/>
      <c r="B1068" s="21"/>
      <c r="C1068" s="21"/>
      <c r="D1068" s="21"/>
      <c r="E1068" s="21"/>
      <c r="F1068" s="21"/>
      <c r="G1068" s="21"/>
      <c r="H1068" s="21"/>
      <c r="I1068" s="21"/>
      <c r="J1068" s="21"/>
      <c r="K1068" s="21"/>
      <c r="L1068" s="21"/>
      <c r="M1068" s="21"/>
      <c r="N1068" s="21"/>
      <c r="O1068" s="21"/>
      <c r="P1068" s="21"/>
      <c r="Q1068" s="21"/>
      <c r="R1068" s="21"/>
      <c r="S1068" s="21"/>
      <c r="T1068" s="21"/>
      <c r="U1068" s="21"/>
      <c r="V1068" s="21"/>
      <c r="W1068" s="21"/>
      <c r="X1068" s="21"/>
      <c r="Y1068" s="21"/>
      <c r="Z1068" s="21"/>
      <c r="AA1068" s="21"/>
      <c r="AB1068" s="21"/>
      <c r="AC1068" s="21"/>
      <c r="AD1068" s="21"/>
    </row>
    <row r="1069" spans="1:30">
      <c r="A1069" s="21"/>
      <c r="B1069" s="21"/>
      <c r="C1069" s="21"/>
      <c r="D1069" s="21"/>
      <c r="E1069" s="21"/>
      <c r="F1069" s="21"/>
      <c r="G1069" s="21"/>
      <c r="H1069" s="21"/>
      <c r="I1069" s="21"/>
      <c r="J1069" s="21"/>
      <c r="K1069" s="21"/>
      <c r="L1069" s="21"/>
      <c r="M1069" s="21"/>
      <c r="N1069" s="21"/>
      <c r="O1069" s="21"/>
      <c r="P1069" s="21"/>
      <c r="Q1069" s="21"/>
      <c r="R1069" s="21"/>
      <c r="S1069" s="21"/>
      <c r="T1069" s="21"/>
      <c r="U1069" s="21"/>
      <c r="V1069" s="21"/>
      <c r="W1069" s="21"/>
      <c r="X1069" s="21"/>
      <c r="Y1069" s="21"/>
      <c r="Z1069" s="21"/>
      <c r="AA1069" s="21"/>
      <c r="AB1069" s="21"/>
      <c r="AC1069" s="21"/>
      <c r="AD1069" s="21"/>
    </row>
    <row r="1070" spans="1:30">
      <c r="A1070" s="21"/>
      <c r="B1070" s="21"/>
      <c r="C1070" s="21"/>
      <c r="D1070" s="21"/>
      <c r="E1070" s="21"/>
      <c r="F1070" s="21"/>
      <c r="G1070" s="21"/>
      <c r="H1070" s="21"/>
      <c r="I1070" s="21"/>
      <c r="J1070" s="21"/>
      <c r="K1070" s="21"/>
      <c r="L1070" s="21"/>
      <c r="M1070" s="21"/>
      <c r="N1070" s="21"/>
      <c r="O1070" s="21"/>
      <c r="P1070" s="21"/>
      <c r="Q1070" s="21"/>
      <c r="R1070" s="21"/>
      <c r="S1070" s="21"/>
      <c r="T1070" s="21"/>
      <c r="U1070" s="21"/>
      <c r="V1070" s="21"/>
      <c r="W1070" s="21"/>
      <c r="X1070" s="21"/>
      <c r="Y1070" s="21"/>
      <c r="Z1070" s="21"/>
      <c r="AA1070" s="21"/>
      <c r="AB1070" s="21"/>
      <c r="AC1070" s="21"/>
      <c r="AD1070" s="21"/>
    </row>
    <row r="1071" spans="1:30">
      <c r="A1071" s="21"/>
      <c r="B1071" s="21"/>
      <c r="C1071" s="21"/>
      <c r="D1071" s="21"/>
      <c r="E1071" s="21"/>
      <c r="F1071" s="21"/>
      <c r="G1071" s="21"/>
      <c r="H1071" s="21"/>
      <c r="I1071" s="21"/>
      <c r="J1071" s="21"/>
      <c r="K1071" s="21"/>
      <c r="L1071" s="21"/>
      <c r="M1071" s="21"/>
      <c r="N1071" s="21"/>
      <c r="O1071" s="21"/>
      <c r="P1071" s="21"/>
      <c r="Q1071" s="21"/>
      <c r="R1071" s="21"/>
      <c r="S1071" s="21"/>
      <c r="T1071" s="21"/>
      <c r="U1071" s="21"/>
      <c r="V1071" s="21"/>
      <c r="W1071" s="21"/>
      <c r="X1071" s="21"/>
      <c r="Y1071" s="21"/>
      <c r="Z1071" s="21"/>
      <c r="AA1071" s="21"/>
      <c r="AB1071" s="21"/>
      <c r="AC1071" s="21"/>
      <c r="AD1071" s="21"/>
    </row>
    <row r="1072" spans="1:30">
      <c r="A1072" s="21"/>
      <c r="B1072" s="21"/>
      <c r="C1072" s="21"/>
      <c r="D1072" s="21"/>
      <c r="E1072" s="21"/>
      <c r="F1072" s="21"/>
      <c r="G1072" s="21"/>
      <c r="H1072" s="21"/>
      <c r="I1072" s="21"/>
      <c r="J1072" s="21"/>
      <c r="K1072" s="21"/>
      <c r="L1072" s="21"/>
      <c r="M1072" s="21"/>
      <c r="N1072" s="21"/>
      <c r="O1072" s="21"/>
      <c r="P1072" s="21"/>
      <c r="Q1072" s="21"/>
      <c r="R1072" s="21"/>
      <c r="S1072" s="21"/>
      <c r="T1072" s="21"/>
      <c r="U1072" s="21"/>
      <c r="V1072" s="21"/>
      <c r="W1072" s="21"/>
      <c r="X1072" s="21"/>
      <c r="Y1072" s="21"/>
      <c r="Z1072" s="21"/>
      <c r="AA1072" s="21"/>
      <c r="AB1072" s="21"/>
      <c r="AC1072" s="21"/>
      <c r="AD1072" s="21"/>
    </row>
    <row r="1073" spans="1:30">
      <c r="A1073" s="21"/>
      <c r="B1073" s="21"/>
      <c r="C1073" s="21"/>
      <c r="D1073" s="21"/>
      <c r="E1073" s="21"/>
      <c r="F1073" s="21"/>
      <c r="G1073" s="21"/>
      <c r="H1073" s="21"/>
      <c r="I1073" s="21"/>
      <c r="J1073" s="21"/>
      <c r="K1073" s="21"/>
      <c r="L1073" s="21"/>
      <c r="M1073" s="21"/>
      <c r="N1073" s="21"/>
      <c r="O1073" s="21"/>
      <c r="P1073" s="21"/>
      <c r="Q1073" s="21"/>
      <c r="R1073" s="21"/>
      <c r="S1073" s="21"/>
      <c r="T1073" s="21"/>
      <c r="U1073" s="21"/>
      <c r="V1073" s="21"/>
      <c r="W1073" s="21"/>
      <c r="X1073" s="21"/>
      <c r="Y1073" s="21"/>
      <c r="Z1073" s="21"/>
      <c r="AA1073" s="21"/>
      <c r="AB1073" s="21"/>
      <c r="AC1073" s="21"/>
      <c r="AD1073" s="21"/>
    </row>
    <row r="1074" spans="1:30">
      <c r="A1074" s="21"/>
      <c r="B1074" s="21"/>
      <c r="C1074" s="21"/>
      <c r="D1074" s="21"/>
      <c r="E1074" s="21"/>
      <c r="F1074" s="21"/>
      <c r="G1074" s="21"/>
      <c r="H1074" s="21"/>
      <c r="I1074" s="21"/>
      <c r="J1074" s="21"/>
      <c r="K1074" s="21"/>
      <c r="L1074" s="21"/>
      <c r="M1074" s="21"/>
      <c r="N1074" s="21"/>
      <c r="O1074" s="21"/>
      <c r="P1074" s="21"/>
      <c r="Q1074" s="21"/>
      <c r="R1074" s="21"/>
      <c r="S1074" s="21"/>
      <c r="T1074" s="21"/>
      <c r="U1074" s="21"/>
      <c r="V1074" s="21"/>
      <c r="W1074" s="21"/>
      <c r="X1074" s="21"/>
      <c r="Y1074" s="21"/>
      <c r="Z1074" s="21"/>
      <c r="AA1074" s="21"/>
      <c r="AB1074" s="21"/>
      <c r="AC1074" s="21"/>
      <c r="AD1074" s="21"/>
    </row>
    <row r="1075" spans="1:30">
      <c r="A1075" s="21"/>
      <c r="B1075" s="21"/>
      <c r="C1075" s="21"/>
      <c r="D1075" s="21"/>
      <c r="E1075" s="21"/>
      <c r="F1075" s="21"/>
      <c r="G1075" s="21"/>
      <c r="H1075" s="21"/>
      <c r="I1075" s="21"/>
      <c r="J1075" s="21"/>
      <c r="K1075" s="21"/>
      <c r="L1075" s="21"/>
      <c r="M1075" s="21"/>
      <c r="N1075" s="21"/>
      <c r="O1075" s="21"/>
      <c r="P1075" s="21"/>
      <c r="Q1075" s="21"/>
      <c r="R1075" s="21"/>
      <c r="S1075" s="21"/>
      <c r="T1075" s="21"/>
      <c r="U1075" s="21"/>
      <c r="V1075" s="21"/>
      <c r="W1075" s="21"/>
      <c r="X1075" s="21"/>
      <c r="Y1075" s="21"/>
      <c r="Z1075" s="21"/>
      <c r="AA1075" s="21"/>
      <c r="AB1075" s="21"/>
      <c r="AC1075" s="21"/>
      <c r="AD1075" s="21"/>
    </row>
    <row r="1076" spans="1:30">
      <c r="A1076" s="21"/>
      <c r="B1076" s="21"/>
      <c r="C1076" s="21"/>
      <c r="D1076" s="21"/>
      <c r="E1076" s="21"/>
      <c r="F1076" s="21"/>
      <c r="G1076" s="21"/>
      <c r="H1076" s="21"/>
      <c r="I1076" s="21"/>
      <c r="J1076" s="21"/>
      <c r="K1076" s="21"/>
      <c r="L1076" s="21"/>
      <c r="M1076" s="21"/>
      <c r="N1076" s="21"/>
      <c r="O1076" s="21"/>
      <c r="P1076" s="21"/>
      <c r="Q1076" s="21"/>
      <c r="R1076" s="21"/>
      <c r="S1076" s="21"/>
      <c r="T1076" s="21"/>
      <c r="U1076" s="21"/>
      <c r="V1076" s="21"/>
      <c r="W1076" s="21"/>
      <c r="X1076" s="21"/>
      <c r="Y1076" s="21"/>
      <c r="Z1076" s="21"/>
      <c r="AA1076" s="21"/>
      <c r="AB1076" s="21"/>
      <c r="AC1076" s="21"/>
      <c r="AD1076" s="21"/>
    </row>
    <row r="1077" spans="1:30">
      <c r="A1077" s="21"/>
      <c r="B1077" s="21"/>
      <c r="C1077" s="21"/>
      <c r="D1077" s="21"/>
      <c r="E1077" s="21"/>
      <c r="F1077" s="21"/>
      <c r="G1077" s="21"/>
      <c r="H1077" s="21"/>
      <c r="I1077" s="21"/>
      <c r="J1077" s="21"/>
      <c r="K1077" s="21"/>
      <c r="L1077" s="21"/>
      <c r="M1077" s="21"/>
      <c r="N1077" s="21"/>
      <c r="O1077" s="21"/>
      <c r="P1077" s="21"/>
      <c r="Q1077" s="21"/>
      <c r="R1077" s="21"/>
      <c r="S1077" s="21"/>
      <c r="T1077" s="21"/>
      <c r="U1077" s="21"/>
      <c r="V1077" s="21"/>
      <c r="W1077" s="21"/>
      <c r="X1077" s="21"/>
      <c r="Y1077" s="21"/>
      <c r="Z1077" s="21"/>
      <c r="AA1077" s="21"/>
      <c r="AB1077" s="21"/>
      <c r="AC1077" s="21"/>
      <c r="AD1077" s="21"/>
    </row>
    <row r="1078" spans="1:30">
      <c r="A1078" s="21"/>
      <c r="B1078" s="21"/>
      <c r="C1078" s="21"/>
      <c r="D1078" s="21"/>
      <c r="E1078" s="21"/>
      <c r="F1078" s="21"/>
      <c r="G1078" s="21"/>
      <c r="H1078" s="21"/>
      <c r="I1078" s="21"/>
      <c r="J1078" s="21"/>
      <c r="K1078" s="21"/>
      <c r="L1078" s="21"/>
      <c r="M1078" s="21"/>
      <c r="N1078" s="21"/>
      <c r="O1078" s="21"/>
      <c r="P1078" s="21"/>
      <c r="Q1078" s="21"/>
      <c r="R1078" s="21"/>
      <c r="S1078" s="21"/>
      <c r="T1078" s="21"/>
      <c r="U1078" s="21"/>
      <c r="V1078" s="21"/>
      <c r="W1078" s="21"/>
      <c r="X1078" s="21"/>
      <c r="Y1078" s="21"/>
      <c r="Z1078" s="21"/>
      <c r="AA1078" s="21"/>
      <c r="AB1078" s="21"/>
      <c r="AC1078" s="21"/>
      <c r="AD1078" s="21"/>
    </row>
    <row r="1079" spans="1:30">
      <c r="A1079" s="21"/>
      <c r="B1079" s="21"/>
      <c r="C1079" s="21"/>
      <c r="D1079" s="21"/>
      <c r="E1079" s="21"/>
      <c r="F1079" s="21"/>
      <c r="G1079" s="21"/>
      <c r="H1079" s="21"/>
      <c r="I1079" s="21"/>
      <c r="J1079" s="21"/>
      <c r="K1079" s="21"/>
      <c r="L1079" s="21"/>
      <c r="M1079" s="21"/>
      <c r="N1079" s="21"/>
      <c r="O1079" s="21"/>
      <c r="P1079" s="21"/>
      <c r="Q1079" s="21"/>
      <c r="R1079" s="21"/>
      <c r="S1079" s="21"/>
      <c r="T1079" s="21"/>
      <c r="U1079" s="21"/>
      <c r="V1079" s="21"/>
      <c r="W1079" s="21"/>
      <c r="X1079" s="21"/>
      <c r="Y1079" s="21"/>
      <c r="Z1079" s="21"/>
      <c r="AA1079" s="21"/>
      <c r="AB1079" s="21"/>
      <c r="AC1079" s="21"/>
      <c r="AD1079" s="21"/>
    </row>
    <row r="1080" spans="1:30">
      <c r="A1080" s="21"/>
      <c r="B1080" s="21"/>
      <c r="C1080" s="21"/>
      <c r="D1080" s="21"/>
      <c r="E1080" s="21"/>
      <c r="F1080" s="21"/>
      <c r="G1080" s="21"/>
      <c r="H1080" s="21"/>
      <c r="I1080" s="21"/>
      <c r="J1080" s="21"/>
      <c r="K1080" s="21"/>
      <c r="L1080" s="21"/>
      <c r="M1080" s="21"/>
      <c r="N1080" s="21"/>
      <c r="O1080" s="21"/>
      <c r="P1080" s="21"/>
      <c r="Q1080" s="21"/>
      <c r="R1080" s="21"/>
      <c r="S1080" s="21"/>
      <c r="T1080" s="21"/>
      <c r="U1080" s="21"/>
      <c r="V1080" s="21"/>
      <c r="W1080" s="21"/>
      <c r="X1080" s="21"/>
      <c r="Y1080" s="21"/>
      <c r="Z1080" s="21"/>
      <c r="AA1080" s="21"/>
      <c r="AB1080" s="21"/>
      <c r="AC1080" s="21"/>
      <c r="AD1080" s="21"/>
    </row>
    <row r="1081" spans="1:30">
      <c r="A1081" s="21"/>
      <c r="B1081" s="21"/>
      <c r="C1081" s="21"/>
      <c r="D1081" s="21"/>
      <c r="E1081" s="21"/>
      <c r="F1081" s="21"/>
      <c r="G1081" s="21"/>
      <c r="H1081" s="21"/>
      <c r="I1081" s="21"/>
      <c r="J1081" s="21"/>
      <c r="K1081" s="21"/>
      <c r="L1081" s="21"/>
      <c r="M1081" s="21"/>
      <c r="N1081" s="21"/>
      <c r="O1081" s="21"/>
      <c r="P1081" s="21"/>
      <c r="Q1081" s="21"/>
      <c r="R1081" s="21"/>
      <c r="S1081" s="21"/>
      <c r="T1081" s="21"/>
      <c r="U1081" s="21"/>
      <c r="V1081" s="21"/>
      <c r="W1081" s="21"/>
      <c r="X1081" s="21"/>
      <c r="Y1081" s="21"/>
      <c r="Z1081" s="21"/>
      <c r="AA1081" s="21"/>
      <c r="AB1081" s="21"/>
      <c r="AC1081" s="21"/>
      <c r="AD1081" s="21"/>
    </row>
    <row r="1082" spans="1:30">
      <c r="A1082" s="21"/>
      <c r="B1082" s="21"/>
      <c r="C1082" s="21"/>
      <c r="D1082" s="21"/>
      <c r="E1082" s="21"/>
      <c r="F1082" s="21"/>
      <c r="G1082" s="21"/>
      <c r="H1082" s="21"/>
      <c r="I1082" s="21"/>
      <c r="J1082" s="21"/>
      <c r="K1082" s="21"/>
      <c r="L1082" s="21"/>
      <c r="M1082" s="21"/>
      <c r="N1082" s="21"/>
      <c r="O1082" s="21"/>
      <c r="P1082" s="21"/>
      <c r="Q1082" s="21"/>
      <c r="R1082" s="21"/>
      <c r="S1082" s="21"/>
      <c r="T1082" s="21"/>
      <c r="U1082" s="21"/>
      <c r="V1082" s="21"/>
      <c r="W1082" s="21"/>
      <c r="X1082" s="21"/>
      <c r="Y1082" s="21"/>
      <c r="Z1082" s="21"/>
      <c r="AA1082" s="21"/>
      <c r="AB1082" s="21"/>
      <c r="AC1082" s="21"/>
      <c r="AD1082" s="21"/>
    </row>
    <row r="1083" spans="1:30">
      <c r="A1083" s="21"/>
      <c r="B1083" s="21"/>
      <c r="C1083" s="21"/>
      <c r="D1083" s="21"/>
      <c r="E1083" s="21"/>
      <c r="F1083" s="21"/>
      <c r="G1083" s="21"/>
      <c r="H1083" s="21"/>
      <c r="I1083" s="21"/>
      <c r="J1083" s="21"/>
      <c r="K1083" s="21"/>
      <c r="L1083" s="21"/>
      <c r="M1083" s="21"/>
      <c r="N1083" s="21"/>
      <c r="O1083" s="21"/>
      <c r="P1083" s="21"/>
      <c r="Q1083" s="21"/>
      <c r="R1083" s="21"/>
      <c r="S1083" s="21"/>
      <c r="T1083" s="21"/>
      <c r="U1083" s="21"/>
      <c r="V1083" s="21"/>
      <c r="W1083" s="21"/>
      <c r="X1083" s="21"/>
      <c r="Y1083" s="21"/>
      <c r="Z1083" s="21"/>
      <c r="AA1083" s="21"/>
      <c r="AB1083" s="21"/>
      <c r="AC1083" s="21"/>
      <c r="AD1083" s="21"/>
    </row>
    <row r="1084" spans="1:30">
      <c r="A1084" s="21"/>
      <c r="B1084" s="21"/>
      <c r="C1084" s="21"/>
      <c r="D1084" s="21"/>
      <c r="E1084" s="21"/>
      <c r="F1084" s="21"/>
      <c r="G1084" s="21"/>
      <c r="H1084" s="21"/>
      <c r="I1084" s="21"/>
      <c r="J1084" s="21"/>
      <c r="K1084" s="21"/>
      <c r="L1084" s="21"/>
      <c r="M1084" s="21"/>
      <c r="N1084" s="21"/>
      <c r="O1084" s="21"/>
      <c r="P1084" s="21"/>
      <c r="Q1084" s="21"/>
      <c r="R1084" s="21"/>
      <c r="S1084" s="21"/>
      <c r="T1084" s="21"/>
      <c r="U1084" s="21"/>
      <c r="V1084" s="21"/>
      <c r="W1084" s="21"/>
      <c r="X1084" s="21"/>
      <c r="Y1084" s="21"/>
      <c r="Z1084" s="21"/>
      <c r="AA1084" s="21"/>
      <c r="AB1084" s="21"/>
      <c r="AC1084" s="21"/>
      <c r="AD1084" s="21"/>
    </row>
    <row r="1085" spans="1:30">
      <c r="A1085" s="21"/>
      <c r="B1085" s="21"/>
      <c r="C1085" s="21"/>
      <c r="D1085" s="21"/>
      <c r="E1085" s="21"/>
      <c r="F1085" s="21"/>
      <c r="G1085" s="21"/>
      <c r="H1085" s="21"/>
      <c r="I1085" s="21"/>
      <c r="J1085" s="21"/>
      <c r="K1085" s="21"/>
      <c r="L1085" s="21"/>
      <c r="M1085" s="21"/>
      <c r="N1085" s="21"/>
      <c r="O1085" s="21"/>
      <c r="P1085" s="21"/>
      <c r="Q1085" s="21"/>
      <c r="R1085" s="21"/>
      <c r="S1085" s="21"/>
      <c r="T1085" s="21"/>
      <c r="U1085" s="21"/>
      <c r="V1085" s="21"/>
      <c r="W1085" s="21"/>
      <c r="X1085" s="21"/>
      <c r="Y1085" s="21"/>
      <c r="Z1085" s="21"/>
      <c r="AA1085" s="21"/>
      <c r="AB1085" s="21"/>
      <c r="AC1085" s="21"/>
      <c r="AD1085" s="21"/>
    </row>
    <row r="1086" spans="1:30">
      <c r="A1086" s="21"/>
      <c r="B1086" s="21"/>
      <c r="C1086" s="21"/>
      <c r="D1086" s="21"/>
      <c r="E1086" s="21"/>
      <c r="F1086" s="21"/>
      <c r="G1086" s="21"/>
      <c r="H1086" s="21"/>
      <c r="I1086" s="21"/>
      <c r="J1086" s="21"/>
      <c r="K1086" s="21"/>
      <c r="L1086" s="21"/>
      <c r="M1086" s="21"/>
      <c r="N1086" s="21"/>
      <c r="O1086" s="21"/>
      <c r="P1086" s="21"/>
      <c r="Q1086" s="21"/>
      <c r="R1086" s="21"/>
      <c r="S1086" s="21"/>
      <c r="T1086" s="21"/>
      <c r="U1086" s="21"/>
      <c r="V1086" s="21"/>
      <c r="W1086" s="21"/>
      <c r="X1086" s="21"/>
      <c r="Y1086" s="21"/>
      <c r="Z1086" s="21"/>
      <c r="AA1086" s="21"/>
      <c r="AB1086" s="21"/>
      <c r="AC1086" s="21"/>
      <c r="AD1086" s="21"/>
    </row>
    <row r="1087" spans="1:30">
      <c r="A1087" s="21"/>
      <c r="B1087" s="21"/>
      <c r="C1087" s="21"/>
      <c r="D1087" s="21"/>
      <c r="E1087" s="21"/>
      <c r="F1087" s="21"/>
      <c r="G1087" s="21"/>
      <c r="H1087" s="21"/>
      <c r="I1087" s="21"/>
      <c r="J1087" s="21"/>
      <c r="K1087" s="21"/>
      <c r="L1087" s="21"/>
      <c r="M1087" s="21"/>
      <c r="N1087" s="21"/>
      <c r="O1087" s="21"/>
      <c r="P1087" s="21"/>
      <c r="Q1087" s="21"/>
      <c r="R1087" s="21"/>
      <c r="S1087" s="21"/>
      <c r="T1087" s="21"/>
      <c r="U1087" s="21"/>
      <c r="V1087" s="21"/>
      <c r="W1087" s="21"/>
      <c r="X1087" s="21"/>
      <c r="Y1087" s="21"/>
      <c r="Z1087" s="21"/>
      <c r="AA1087" s="21"/>
      <c r="AB1087" s="21"/>
      <c r="AC1087" s="21"/>
      <c r="AD1087" s="21"/>
    </row>
    <row r="1088" spans="1:30">
      <c r="A1088" s="21"/>
      <c r="B1088" s="21"/>
      <c r="C1088" s="21"/>
      <c r="D1088" s="21"/>
      <c r="E1088" s="21"/>
      <c r="F1088" s="21"/>
      <c r="G1088" s="21"/>
      <c r="H1088" s="21"/>
      <c r="I1088" s="21"/>
      <c r="J1088" s="21"/>
      <c r="K1088" s="21"/>
      <c r="L1088" s="21"/>
      <c r="M1088" s="21"/>
      <c r="N1088" s="21"/>
      <c r="O1088" s="21"/>
      <c r="P1088" s="21"/>
      <c r="Q1088" s="21"/>
      <c r="R1088" s="21"/>
      <c r="S1088" s="21"/>
      <c r="T1088" s="21"/>
      <c r="U1088" s="21"/>
      <c r="V1088" s="21"/>
      <c r="W1088" s="21"/>
      <c r="X1088" s="21"/>
      <c r="Y1088" s="21"/>
      <c r="Z1088" s="21"/>
      <c r="AA1088" s="21"/>
      <c r="AB1088" s="21"/>
      <c r="AC1088" s="21"/>
      <c r="AD1088" s="21"/>
    </row>
    <row r="1089" spans="1:30">
      <c r="A1089" s="21"/>
      <c r="B1089" s="21"/>
      <c r="C1089" s="21"/>
      <c r="D1089" s="21"/>
      <c r="E1089" s="21"/>
      <c r="F1089" s="21"/>
      <c r="G1089" s="21"/>
      <c r="H1089" s="21"/>
      <c r="I1089" s="21"/>
      <c r="J1089" s="21"/>
      <c r="K1089" s="21"/>
      <c r="L1089" s="21"/>
      <c r="M1089" s="21"/>
      <c r="N1089" s="21"/>
      <c r="O1089" s="21"/>
      <c r="P1089" s="21"/>
      <c r="Q1089" s="21"/>
      <c r="R1089" s="21"/>
      <c r="S1089" s="21"/>
      <c r="T1089" s="21"/>
      <c r="U1089" s="21"/>
      <c r="V1089" s="21"/>
      <c r="W1089" s="21"/>
      <c r="X1089" s="21"/>
      <c r="Y1089" s="21"/>
      <c r="Z1089" s="21"/>
      <c r="AA1089" s="21"/>
      <c r="AB1089" s="21"/>
      <c r="AC1089" s="21"/>
      <c r="AD1089" s="21"/>
    </row>
    <row r="1090" spans="1:30">
      <c r="A1090" s="21"/>
      <c r="B1090" s="21"/>
      <c r="C1090" s="21"/>
      <c r="D1090" s="21"/>
      <c r="E1090" s="21"/>
      <c r="F1090" s="21"/>
      <c r="G1090" s="21"/>
      <c r="H1090" s="21"/>
      <c r="I1090" s="21"/>
      <c r="J1090" s="21"/>
      <c r="K1090" s="21"/>
      <c r="L1090" s="21"/>
      <c r="M1090" s="21"/>
      <c r="N1090" s="21"/>
      <c r="O1090" s="21"/>
      <c r="P1090" s="21"/>
      <c r="Q1090" s="21"/>
      <c r="R1090" s="21"/>
      <c r="S1090" s="21"/>
      <c r="T1090" s="21"/>
      <c r="U1090" s="21"/>
      <c r="V1090" s="21"/>
      <c r="W1090" s="21"/>
      <c r="X1090" s="21"/>
      <c r="Y1090" s="21"/>
      <c r="Z1090" s="21"/>
      <c r="AA1090" s="21"/>
      <c r="AB1090" s="21"/>
      <c r="AC1090" s="21"/>
      <c r="AD1090" s="21"/>
    </row>
    <row r="1091" spans="1:30">
      <c r="A1091" s="21"/>
      <c r="B1091" s="21"/>
      <c r="C1091" s="21"/>
      <c r="D1091" s="21"/>
      <c r="E1091" s="21"/>
      <c r="F1091" s="21"/>
      <c r="G1091" s="21"/>
      <c r="H1091" s="21"/>
      <c r="I1091" s="21"/>
      <c r="J1091" s="21"/>
      <c r="K1091" s="21"/>
      <c r="L1091" s="21"/>
      <c r="M1091" s="21"/>
      <c r="N1091" s="21"/>
      <c r="O1091" s="21"/>
      <c r="P1091" s="21"/>
      <c r="Q1091" s="21"/>
      <c r="R1091" s="21"/>
      <c r="S1091" s="21"/>
      <c r="T1091" s="21"/>
      <c r="U1091" s="21"/>
      <c r="V1091" s="21"/>
      <c r="W1091" s="21"/>
      <c r="X1091" s="21"/>
      <c r="Y1091" s="21"/>
      <c r="Z1091" s="21"/>
      <c r="AA1091" s="21"/>
      <c r="AB1091" s="21"/>
      <c r="AC1091" s="21"/>
      <c r="AD1091" s="21"/>
    </row>
    <row r="1092" spans="1:30">
      <c r="A1092" s="21"/>
      <c r="B1092" s="21"/>
      <c r="C1092" s="21"/>
      <c r="D1092" s="21"/>
      <c r="E1092" s="21"/>
      <c r="F1092" s="21"/>
      <c r="G1092" s="21"/>
      <c r="H1092" s="21"/>
      <c r="I1092" s="21"/>
      <c r="J1092" s="21"/>
      <c r="K1092" s="21"/>
      <c r="L1092" s="21"/>
      <c r="M1092" s="21"/>
      <c r="N1092" s="21"/>
      <c r="O1092" s="21"/>
      <c r="P1092" s="21"/>
      <c r="Q1092" s="21"/>
      <c r="R1092" s="21"/>
      <c r="S1092" s="21"/>
      <c r="T1092" s="21"/>
      <c r="U1092" s="21"/>
      <c r="V1092" s="21"/>
      <c r="W1092" s="21"/>
      <c r="X1092" s="21"/>
      <c r="Y1092" s="21"/>
      <c r="Z1092" s="21"/>
      <c r="AA1092" s="21"/>
      <c r="AB1092" s="21"/>
      <c r="AC1092" s="21"/>
      <c r="AD1092" s="21"/>
    </row>
    <row r="1093" spans="1:30">
      <c r="A1093" s="21"/>
      <c r="B1093" s="21"/>
      <c r="C1093" s="21"/>
      <c r="D1093" s="21"/>
      <c r="E1093" s="21"/>
      <c r="F1093" s="21"/>
      <c r="G1093" s="21"/>
      <c r="H1093" s="21"/>
      <c r="I1093" s="21"/>
      <c r="J1093" s="21"/>
      <c r="K1093" s="21"/>
      <c r="L1093" s="21"/>
      <c r="M1093" s="21"/>
      <c r="N1093" s="21"/>
      <c r="O1093" s="21"/>
      <c r="P1093" s="21"/>
      <c r="Q1093" s="21"/>
      <c r="R1093" s="21"/>
      <c r="S1093" s="21"/>
      <c r="T1093" s="21"/>
      <c r="U1093" s="21"/>
      <c r="V1093" s="21"/>
      <c r="W1093" s="21"/>
      <c r="X1093" s="21"/>
      <c r="Y1093" s="21"/>
      <c r="Z1093" s="21"/>
      <c r="AA1093" s="21"/>
      <c r="AB1093" s="21"/>
      <c r="AC1093" s="21"/>
      <c r="AD1093" s="21"/>
    </row>
    <row r="1094" spans="1:30">
      <c r="A1094" s="21"/>
      <c r="B1094" s="21"/>
      <c r="C1094" s="21"/>
      <c r="D1094" s="21"/>
      <c r="E1094" s="21"/>
      <c r="F1094" s="21"/>
      <c r="G1094" s="21"/>
      <c r="H1094" s="21"/>
      <c r="I1094" s="21"/>
      <c r="J1094" s="21"/>
      <c r="K1094" s="21"/>
      <c r="L1094" s="21"/>
      <c r="M1094" s="21"/>
      <c r="N1094" s="21"/>
      <c r="O1094" s="21"/>
      <c r="P1094" s="21"/>
      <c r="Q1094" s="21"/>
      <c r="R1094" s="21"/>
      <c r="S1094" s="21"/>
      <c r="T1094" s="21"/>
      <c r="U1094" s="21"/>
      <c r="V1094" s="21"/>
      <c r="W1094" s="21"/>
      <c r="X1094" s="21"/>
      <c r="Y1094" s="21"/>
      <c r="Z1094" s="21"/>
      <c r="AA1094" s="21"/>
      <c r="AB1094" s="21"/>
      <c r="AC1094" s="21"/>
      <c r="AD1094" s="21"/>
    </row>
    <row r="1095" spans="1:30">
      <c r="A1095" s="21"/>
      <c r="B1095" s="21"/>
      <c r="C1095" s="21"/>
      <c r="D1095" s="21"/>
      <c r="E1095" s="21"/>
      <c r="F1095" s="21"/>
      <c r="G1095" s="21"/>
      <c r="H1095" s="21"/>
      <c r="I1095" s="21"/>
      <c r="J1095" s="21"/>
      <c r="K1095" s="21"/>
      <c r="L1095" s="21"/>
      <c r="M1095" s="21"/>
      <c r="N1095" s="21"/>
      <c r="O1095" s="21"/>
      <c r="P1095" s="21"/>
      <c r="Q1095" s="21"/>
      <c r="R1095" s="21"/>
      <c r="S1095" s="21"/>
      <c r="T1095" s="21"/>
      <c r="U1095" s="21"/>
      <c r="V1095" s="21"/>
      <c r="W1095" s="21"/>
      <c r="X1095" s="21"/>
      <c r="Y1095" s="21"/>
      <c r="Z1095" s="21"/>
      <c r="AA1095" s="21"/>
      <c r="AB1095" s="21"/>
      <c r="AC1095" s="21"/>
      <c r="AD1095" s="21"/>
    </row>
    <row r="1096" spans="1:30">
      <c r="A1096" s="21"/>
      <c r="B1096" s="21"/>
      <c r="C1096" s="21"/>
      <c r="D1096" s="21"/>
      <c r="E1096" s="21"/>
      <c r="F1096" s="21"/>
      <c r="G1096" s="21"/>
      <c r="H1096" s="21"/>
      <c r="I1096" s="21"/>
      <c r="J1096" s="21"/>
      <c r="K1096" s="21"/>
      <c r="L1096" s="21"/>
      <c r="M1096" s="21"/>
      <c r="N1096" s="21"/>
      <c r="O1096" s="21"/>
      <c r="P1096" s="21"/>
      <c r="Q1096" s="21"/>
      <c r="R1096" s="21"/>
      <c r="S1096" s="21"/>
      <c r="T1096" s="21"/>
      <c r="U1096" s="21"/>
      <c r="V1096" s="21"/>
      <c r="W1096" s="21"/>
      <c r="X1096" s="21"/>
      <c r="Y1096" s="21"/>
      <c r="Z1096" s="21"/>
      <c r="AA1096" s="21"/>
      <c r="AB1096" s="21"/>
      <c r="AC1096" s="21"/>
      <c r="AD1096" s="21"/>
    </row>
    <row r="1097" spans="1:30">
      <c r="A1097" s="21"/>
      <c r="B1097" s="21"/>
      <c r="C1097" s="21"/>
      <c r="D1097" s="21"/>
      <c r="E1097" s="21"/>
      <c r="F1097" s="21"/>
      <c r="G1097" s="21"/>
      <c r="H1097" s="21"/>
      <c r="I1097" s="21"/>
      <c r="J1097" s="21"/>
      <c r="K1097" s="21"/>
      <c r="L1097" s="21"/>
      <c r="M1097" s="21"/>
      <c r="N1097" s="21"/>
      <c r="O1097" s="21"/>
      <c r="P1097" s="21"/>
      <c r="Q1097" s="21"/>
      <c r="R1097" s="21"/>
      <c r="S1097" s="21"/>
      <c r="T1097" s="21"/>
      <c r="U1097" s="21"/>
      <c r="V1097" s="21"/>
      <c r="W1097" s="21"/>
      <c r="X1097" s="21"/>
      <c r="Y1097" s="21"/>
      <c r="Z1097" s="21"/>
      <c r="AA1097" s="21"/>
      <c r="AB1097" s="21"/>
      <c r="AC1097" s="21"/>
      <c r="AD1097" s="21"/>
    </row>
    <row r="1098" spans="1:30">
      <c r="A1098" s="21"/>
      <c r="B1098" s="21"/>
      <c r="C1098" s="21"/>
      <c r="D1098" s="21"/>
      <c r="E1098" s="21"/>
      <c r="F1098" s="21"/>
      <c r="G1098" s="21"/>
      <c r="H1098" s="21"/>
      <c r="I1098" s="21"/>
      <c r="J1098" s="21"/>
      <c r="K1098" s="21"/>
      <c r="L1098" s="21"/>
      <c r="M1098" s="21"/>
      <c r="N1098" s="21"/>
      <c r="O1098" s="21"/>
      <c r="P1098" s="21"/>
      <c r="Q1098" s="21"/>
      <c r="R1098" s="21"/>
      <c r="S1098" s="21"/>
      <c r="T1098" s="21"/>
      <c r="U1098" s="21"/>
      <c r="V1098" s="21"/>
      <c r="W1098" s="21"/>
      <c r="X1098" s="21"/>
      <c r="Y1098" s="21"/>
      <c r="Z1098" s="21"/>
      <c r="AA1098" s="21"/>
      <c r="AB1098" s="21"/>
      <c r="AC1098" s="21"/>
      <c r="AD1098" s="21"/>
    </row>
    <row r="1099" spans="1:30">
      <c r="A1099" s="21"/>
      <c r="B1099" s="21"/>
      <c r="C1099" s="21"/>
      <c r="D1099" s="21"/>
      <c r="E1099" s="21"/>
      <c r="F1099" s="21"/>
      <c r="G1099" s="21"/>
      <c r="H1099" s="21"/>
      <c r="I1099" s="21"/>
      <c r="J1099" s="21"/>
      <c r="K1099" s="21"/>
      <c r="L1099" s="21"/>
      <c r="M1099" s="21"/>
      <c r="N1099" s="21"/>
      <c r="O1099" s="21"/>
      <c r="P1099" s="21"/>
      <c r="Q1099" s="21"/>
      <c r="R1099" s="21"/>
      <c r="S1099" s="21"/>
      <c r="T1099" s="21"/>
      <c r="U1099" s="21"/>
      <c r="V1099" s="21"/>
      <c r="W1099" s="21"/>
      <c r="X1099" s="21"/>
      <c r="Y1099" s="21"/>
      <c r="Z1099" s="21"/>
      <c r="AA1099" s="21"/>
      <c r="AB1099" s="21"/>
      <c r="AC1099" s="21"/>
      <c r="AD1099" s="21"/>
    </row>
    <row r="1100" spans="1:30">
      <c r="A1100" s="21"/>
      <c r="B1100" s="21"/>
      <c r="C1100" s="21"/>
      <c r="D1100" s="21"/>
      <c r="E1100" s="21"/>
      <c r="F1100" s="21"/>
      <c r="G1100" s="21"/>
      <c r="H1100" s="21"/>
      <c r="I1100" s="21"/>
      <c r="J1100" s="21"/>
      <c r="K1100" s="21"/>
      <c r="L1100" s="21"/>
      <c r="M1100" s="21"/>
      <c r="N1100" s="21"/>
      <c r="O1100" s="21"/>
      <c r="P1100" s="21"/>
      <c r="Q1100" s="21"/>
      <c r="R1100" s="21"/>
      <c r="S1100" s="21"/>
      <c r="T1100" s="21"/>
      <c r="U1100" s="21"/>
      <c r="V1100" s="21"/>
      <c r="W1100" s="21"/>
      <c r="X1100" s="21"/>
      <c r="Y1100" s="21"/>
      <c r="Z1100" s="21"/>
      <c r="AA1100" s="21"/>
      <c r="AB1100" s="21"/>
      <c r="AC1100" s="21"/>
      <c r="AD1100" s="21"/>
    </row>
    <row r="1101" spans="1:30">
      <c r="A1101" s="21"/>
      <c r="B1101" s="21"/>
      <c r="C1101" s="21"/>
      <c r="D1101" s="21"/>
      <c r="E1101" s="21"/>
      <c r="F1101" s="21"/>
      <c r="G1101" s="21"/>
      <c r="H1101" s="21"/>
      <c r="I1101" s="21"/>
      <c r="J1101" s="21"/>
      <c r="K1101" s="21"/>
      <c r="L1101" s="21"/>
      <c r="M1101" s="21"/>
      <c r="N1101" s="21"/>
      <c r="O1101" s="21"/>
      <c r="P1101" s="21"/>
      <c r="Q1101" s="21"/>
      <c r="R1101" s="21"/>
      <c r="S1101" s="21"/>
      <c r="T1101" s="21"/>
      <c r="U1101" s="21"/>
      <c r="V1101" s="21"/>
      <c r="W1101" s="21"/>
      <c r="X1101" s="21"/>
      <c r="Y1101" s="21"/>
      <c r="Z1101" s="21"/>
      <c r="AA1101" s="21"/>
      <c r="AB1101" s="21"/>
      <c r="AC1101" s="21"/>
      <c r="AD1101" s="21"/>
    </row>
    <row r="1102" spans="1:30">
      <c r="A1102" s="21"/>
      <c r="B1102" s="21"/>
      <c r="C1102" s="21"/>
      <c r="D1102" s="21"/>
      <c r="E1102" s="21"/>
      <c r="F1102" s="21"/>
      <c r="G1102" s="21"/>
      <c r="H1102" s="21"/>
      <c r="I1102" s="21"/>
      <c r="J1102" s="21"/>
      <c r="K1102" s="21"/>
      <c r="L1102" s="21"/>
      <c r="M1102" s="21"/>
      <c r="N1102" s="21"/>
      <c r="O1102" s="21"/>
      <c r="P1102" s="21"/>
      <c r="Q1102" s="21"/>
      <c r="R1102" s="21"/>
      <c r="S1102" s="21"/>
      <c r="T1102" s="21"/>
      <c r="U1102" s="21"/>
      <c r="V1102" s="21"/>
      <c r="W1102" s="21"/>
      <c r="X1102" s="21"/>
      <c r="Y1102" s="21"/>
      <c r="Z1102" s="21"/>
      <c r="AA1102" s="21"/>
      <c r="AB1102" s="21"/>
      <c r="AC1102" s="21"/>
      <c r="AD1102" s="21"/>
    </row>
    <row r="1103" spans="1:30">
      <c r="A1103" s="21"/>
      <c r="B1103" s="21"/>
      <c r="C1103" s="21"/>
      <c r="D1103" s="21"/>
      <c r="E1103" s="21"/>
      <c r="F1103" s="21"/>
      <c r="G1103" s="21"/>
      <c r="H1103" s="21"/>
      <c r="I1103" s="21"/>
      <c r="J1103" s="21"/>
      <c r="K1103" s="21"/>
      <c r="L1103" s="21"/>
      <c r="M1103" s="21"/>
      <c r="N1103" s="21"/>
      <c r="O1103" s="21"/>
      <c r="P1103" s="21"/>
      <c r="Q1103" s="21"/>
      <c r="R1103" s="21"/>
      <c r="S1103" s="21"/>
      <c r="T1103" s="21"/>
      <c r="U1103" s="21"/>
      <c r="V1103" s="21"/>
      <c r="W1103" s="21"/>
      <c r="X1103" s="21"/>
      <c r="Y1103" s="21"/>
      <c r="Z1103" s="21"/>
      <c r="AA1103" s="21"/>
      <c r="AB1103" s="21"/>
      <c r="AC1103" s="21"/>
      <c r="AD1103" s="21"/>
    </row>
    <row r="1104" spans="1:30">
      <c r="A1104" s="21"/>
      <c r="B1104" s="21"/>
      <c r="C1104" s="21"/>
      <c r="D1104" s="21"/>
      <c r="E1104" s="21"/>
      <c r="F1104" s="21"/>
      <c r="G1104" s="21"/>
      <c r="H1104" s="21"/>
      <c r="I1104" s="21"/>
      <c r="J1104" s="21"/>
      <c r="K1104" s="21"/>
      <c r="L1104" s="21"/>
      <c r="M1104" s="21"/>
      <c r="N1104" s="21"/>
      <c r="O1104" s="21"/>
      <c r="P1104" s="21"/>
      <c r="Q1104" s="21"/>
      <c r="R1104" s="21"/>
      <c r="S1104" s="21"/>
      <c r="T1104" s="21"/>
      <c r="U1104" s="21"/>
      <c r="V1104" s="21"/>
      <c r="W1104" s="21"/>
      <c r="X1104" s="21"/>
      <c r="Y1104" s="21"/>
      <c r="Z1104" s="21"/>
      <c r="AA1104" s="21"/>
      <c r="AB1104" s="21"/>
      <c r="AC1104" s="21"/>
      <c r="AD1104" s="21"/>
    </row>
    <row r="1105" spans="1:30">
      <c r="A1105" s="21"/>
      <c r="B1105" s="21"/>
      <c r="C1105" s="21"/>
      <c r="D1105" s="21"/>
      <c r="E1105" s="21"/>
      <c r="F1105" s="21"/>
      <c r="G1105" s="21"/>
      <c r="H1105" s="21"/>
      <c r="I1105" s="21"/>
      <c r="J1105" s="21"/>
      <c r="K1105" s="21"/>
      <c r="L1105" s="21"/>
      <c r="M1105" s="21"/>
      <c r="N1105" s="21"/>
      <c r="O1105" s="21"/>
      <c r="P1105" s="21"/>
      <c r="Q1105" s="21"/>
      <c r="R1105" s="21"/>
      <c r="S1105" s="21"/>
      <c r="T1105" s="21"/>
      <c r="U1105" s="21"/>
      <c r="V1105" s="21"/>
      <c r="W1105" s="21"/>
      <c r="X1105" s="21"/>
      <c r="Y1105" s="21"/>
      <c r="Z1105" s="21"/>
      <c r="AA1105" s="21"/>
      <c r="AB1105" s="21"/>
      <c r="AC1105" s="21"/>
      <c r="AD1105" s="21"/>
    </row>
    <row r="1106" spans="1:30">
      <c r="A1106" s="21"/>
      <c r="B1106" s="21"/>
      <c r="C1106" s="21"/>
      <c r="D1106" s="21"/>
      <c r="E1106" s="21"/>
      <c r="F1106" s="21"/>
      <c r="G1106" s="21"/>
      <c r="H1106" s="21"/>
      <c r="I1106" s="21"/>
      <c r="J1106" s="21"/>
      <c r="K1106" s="21"/>
      <c r="L1106" s="21"/>
      <c r="M1106" s="21"/>
      <c r="N1106" s="21"/>
      <c r="O1106" s="21"/>
      <c r="P1106" s="21"/>
      <c r="Q1106" s="21"/>
      <c r="R1106" s="21"/>
      <c r="S1106" s="21"/>
      <c r="T1106" s="21"/>
      <c r="U1106" s="21"/>
      <c r="V1106" s="21"/>
      <c r="W1106" s="21"/>
      <c r="X1106" s="21"/>
      <c r="Y1106" s="21"/>
      <c r="Z1106" s="21"/>
      <c r="AA1106" s="21"/>
      <c r="AB1106" s="21"/>
      <c r="AC1106" s="21"/>
      <c r="AD1106" s="21"/>
    </row>
    <row r="1107" spans="1:30">
      <c r="A1107" s="21"/>
      <c r="B1107" s="21"/>
      <c r="C1107" s="21"/>
      <c r="D1107" s="21"/>
      <c r="E1107" s="21"/>
      <c r="F1107" s="21"/>
      <c r="G1107" s="21"/>
      <c r="H1107" s="21"/>
      <c r="I1107" s="21"/>
      <c r="J1107" s="21"/>
      <c r="K1107" s="21"/>
      <c r="L1107" s="21"/>
      <c r="M1107" s="21"/>
      <c r="N1107" s="21"/>
      <c r="O1107" s="21"/>
      <c r="P1107" s="21"/>
      <c r="Q1107" s="21"/>
      <c r="R1107" s="21"/>
      <c r="S1107" s="21"/>
      <c r="T1107" s="21"/>
      <c r="U1107" s="21"/>
      <c r="V1107" s="21"/>
      <c r="W1107" s="21"/>
      <c r="X1107" s="21"/>
      <c r="Y1107" s="21"/>
      <c r="Z1107" s="21"/>
      <c r="AA1107" s="21"/>
      <c r="AB1107" s="21"/>
      <c r="AC1107" s="21"/>
      <c r="AD1107" s="21"/>
    </row>
    <row r="1108" spans="1:30">
      <c r="A1108" s="21"/>
      <c r="B1108" s="21"/>
      <c r="C1108" s="21"/>
      <c r="D1108" s="21"/>
      <c r="E1108" s="21"/>
      <c r="F1108" s="21"/>
      <c r="G1108" s="21"/>
      <c r="H1108" s="21"/>
      <c r="I1108" s="21"/>
      <c r="J1108" s="21"/>
      <c r="K1108" s="21"/>
      <c r="L1108" s="21"/>
      <c r="M1108" s="21"/>
      <c r="N1108" s="21"/>
      <c r="O1108" s="21"/>
      <c r="P1108" s="21"/>
      <c r="Q1108" s="21"/>
      <c r="R1108" s="21"/>
      <c r="S1108" s="21"/>
      <c r="T1108" s="21"/>
      <c r="U1108" s="21"/>
      <c r="V1108" s="21"/>
      <c r="W1108" s="21"/>
      <c r="X1108" s="21"/>
      <c r="Y1108" s="21"/>
      <c r="Z1108" s="21"/>
      <c r="AA1108" s="21"/>
      <c r="AB1108" s="21"/>
      <c r="AC1108" s="21"/>
      <c r="AD1108" s="21"/>
    </row>
    <row r="1109" spans="1:30">
      <c r="A1109" s="21"/>
      <c r="B1109" s="21"/>
      <c r="C1109" s="21"/>
      <c r="D1109" s="21"/>
      <c r="E1109" s="21"/>
      <c r="F1109" s="21"/>
      <c r="G1109" s="21"/>
      <c r="H1109" s="21"/>
      <c r="I1109" s="21"/>
      <c r="J1109" s="21"/>
      <c r="K1109" s="21"/>
      <c r="L1109" s="21"/>
      <c r="M1109" s="21"/>
      <c r="N1109" s="21"/>
      <c r="O1109" s="21"/>
      <c r="P1109" s="21"/>
      <c r="Q1109" s="21"/>
      <c r="R1109" s="21"/>
      <c r="S1109" s="21"/>
      <c r="T1109" s="21"/>
      <c r="U1109" s="21"/>
      <c r="V1109" s="21"/>
      <c r="W1109" s="21"/>
      <c r="X1109" s="21"/>
      <c r="Y1109" s="21"/>
      <c r="Z1109" s="21"/>
      <c r="AA1109" s="21"/>
      <c r="AB1109" s="21"/>
      <c r="AC1109" s="21"/>
      <c r="AD1109" s="21"/>
    </row>
    <row r="1110" spans="1:30">
      <c r="A1110" s="21"/>
      <c r="B1110" s="21"/>
      <c r="C1110" s="21"/>
      <c r="D1110" s="21"/>
      <c r="E1110" s="21"/>
      <c r="F1110" s="21"/>
      <c r="G1110" s="21"/>
      <c r="H1110" s="21"/>
      <c r="I1110" s="21"/>
      <c r="J1110" s="21"/>
      <c r="K1110" s="21"/>
      <c r="L1110" s="21"/>
      <c r="M1110" s="21"/>
      <c r="N1110" s="21"/>
      <c r="O1110" s="21"/>
      <c r="P1110" s="21"/>
      <c r="Q1110" s="21"/>
      <c r="R1110" s="21"/>
      <c r="S1110" s="21"/>
      <c r="T1110" s="21"/>
      <c r="U1110" s="21"/>
      <c r="V1110" s="21"/>
      <c r="W1110" s="21"/>
      <c r="X1110" s="21"/>
      <c r="Y1110" s="21"/>
      <c r="Z1110" s="21"/>
      <c r="AA1110" s="21"/>
      <c r="AB1110" s="21"/>
      <c r="AC1110" s="21"/>
      <c r="AD1110" s="21"/>
    </row>
    <row r="1111" spans="1:30">
      <c r="A1111" s="21"/>
      <c r="B1111" s="21"/>
      <c r="C1111" s="21"/>
      <c r="D1111" s="21"/>
      <c r="E1111" s="21"/>
      <c r="F1111" s="21"/>
      <c r="G1111" s="21"/>
      <c r="H1111" s="21"/>
      <c r="I1111" s="21"/>
      <c r="J1111" s="21"/>
      <c r="K1111" s="21"/>
      <c r="L1111" s="21"/>
      <c r="M1111" s="21"/>
      <c r="N1111" s="21"/>
      <c r="O1111" s="21"/>
      <c r="P1111" s="21"/>
      <c r="Q1111" s="21"/>
      <c r="R1111" s="21"/>
      <c r="S1111" s="21"/>
      <c r="T1111" s="21"/>
      <c r="U1111" s="21"/>
      <c r="V1111" s="21"/>
      <c r="W1111" s="21"/>
      <c r="X1111" s="21"/>
      <c r="Y1111" s="21"/>
      <c r="Z1111" s="21"/>
      <c r="AA1111" s="21"/>
      <c r="AB1111" s="21"/>
      <c r="AC1111" s="21"/>
      <c r="AD1111" s="21"/>
    </row>
    <row r="1112" spans="1:30">
      <c r="A1112" s="21"/>
      <c r="B1112" s="21"/>
      <c r="C1112" s="21"/>
      <c r="D1112" s="21"/>
      <c r="E1112" s="21"/>
      <c r="F1112" s="21"/>
      <c r="G1112" s="21"/>
      <c r="H1112" s="21"/>
      <c r="I1112" s="21"/>
      <c r="J1112" s="21"/>
      <c r="K1112" s="21"/>
      <c r="L1112" s="21"/>
      <c r="M1112" s="21"/>
      <c r="N1112" s="21"/>
      <c r="O1112" s="21"/>
      <c r="P1112" s="21"/>
      <c r="Q1112" s="21"/>
      <c r="R1112" s="21"/>
      <c r="S1112" s="21"/>
      <c r="T1112" s="21"/>
      <c r="U1112" s="21"/>
      <c r="V1112" s="21"/>
      <c r="W1112" s="21"/>
      <c r="X1112" s="21"/>
      <c r="Y1112" s="21"/>
      <c r="Z1112" s="21"/>
      <c r="AA1112" s="21"/>
      <c r="AB1112" s="21"/>
      <c r="AC1112" s="21"/>
      <c r="AD1112" s="21"/>
    </row>
    <row r="1113" spans="1:30">
      <c r="A1113" s="21"/>
      <c r="B1113" s="21"/>
      <c r="C1113" s="21"/>
      <c r="D1113" s="21"/>
      <c r="E1113" s="21"/>
      <c r="F1113" s="21"/>
      <c r="G1113" s="21"/>
      <c r="H1113" s="21"/>
      <c r="I1113" s="21"/>
      <c r="J1113" s="21"/>
      <c r="K1113" s="21"/>
      <c r="L1113" s="21"/>
      <c r="M1113" s="21"/>
      <c r="N1113" s="21"/>
      <c r="O1113" s="21"/>
      <c r="P1113" s="21"/>
      <c r="Q1113" s="21"/>
      <c r="R1113" s="21"/>
      <c r="S1113" s="21"/>
      <c r="T1113" s="21"/>
      <c r="U1113" s="21"/>
      <c r="V1113" s="21"/>
      <c r="W1113" s="21"/>
      <c r="X1113" s="21"/>
      <c r="Y1113" s="21"/>
      <c r="Z1113" s="21"/>
      <c r="AA1113" s="21"/>
      <c r="AB1113" s="21"/>
      <c r="AC1113" s="21"/>
      <c r="AD1113" s="21"/>
    </row>
    <row r="1114" spans="1:30">
      <c r="A1114" s="21"/>
      <c r="B1114" s="21"/>
      <c r="C1114" s="21"/>
      <c r="D1114" s="21"/>
      <c r="E1114" s="21"/>
      <c r="F1114" s="21"/>
      <c r="G1114" s="21"/>
      <c r="H1114" s="21"/>
      <c r="I1114" s="21"/>
      <c r="J1114" s="21"/>
      <c r="K1114" s="21"/>
      <c r="L1114" s="21"/>
      <c r="M1114" s="21"/>
      <c r="N1114" s="21"/>
      <c r="O1114" s="21"/>
      <c r="P1114" s="21"/>
      <c r="Q1114" s="21"/>
      <c r="R1114" s="21"/>
      <c r="S1114" s="21"/>
      <c r="T1114" s="21"/>
      <c r="U1114" s="21"/>
      <c r="V1114" s="21"/>
      <c r="W1114" s="21"/>
      <c r="X1114" s="21"/>
      <c r="Y1114" s="21"/>
      <c r="Z1114" s="21"/>
      <c r="AA1114" s="21"/>
      <c r="AB1114" s="21"/>
      <c r="AC1114" s="21"/>
      <c r="AD1114" s="21"/>
    </row>
    <row r="1115" spans="1:30">
      <c r="A1115" s="21"/>
      <c r="B1115" s="21"/>
      <c r="C1115" s="21"/>
      <c r="D1115" s="21"/>
      <c r="E1115" s="21"/>
      <c r="F1115" s="21"/>
      <c r="G1115" s="21"/>
      <c r="H1115" s="21"/>
      <c r="I1115" s="21"/>
      <c r="J1115" s="21"/>
      <c r="K1115" s="21"/>
      <c r="L1115" s="21"/>
      <c r="M1115" s="21"/>
      <c r="N1115" s="21"/>
      <c r="O1115" s="21"/>
      <c r="P1115" s="21"/>
      <c r="Q1115" s="21"/>
      <c r="R1115" s="21"/>
      <c r="S1115" s="21"/>
      <c r="T1115" s="21"/>
      <c r="U1115" s="21"/>
      <c r="V1115" s="21"/>
      <c r="W1115" s="21"/>
      <c r="X1115" s="21"/>
      <c r="Y1115" s="21"/>
      <c r="Z1115" s="21"/>
      <c r="AA1115" s="21"/>
      <c r="AB1115" s="21"/>
      <c r="AC1115" s="21"/>
      <c r="AD1115" s="21"/>
    </row>
    <row r="1116" spans="1:30">
      <c r="A1116" s="21"/>
      <c r="B1116" s="21"/>
      <c r="C1116" s="21"/>
      <c r="D1116" s="21"/>
      <c r="E1116" s="21"/>
      <c r="F1116" s="21"/>
      <c r="G1116" s="21"/>
      <c r="H1116" s="21"/>
      <c r="I1116" s="21"/>
      <c r="J1116" s="21"/>
      <c r="K1116" s="21"/>
      <c r="L1116" s="21"/>
      <c r="M1116" s="21"/>
      <c r="N1116" s="21"/>
      <c r="O1116" s="21"/>
      <c r="P1116" s="21"/>
      <c r="Q1116" s="21"/>
      <c r="R1116" s="21"/>
      <c r="S1116" s="21"/>
      <c r="T1116" s="21"/>
      <c r="U1116" s="21"/>
      <c r="V1116" s="21"/>
      <c r="W1116" s="21"/>
      <c r="X1116" s="21"/>
      <c r="Y1116" s="21"/>
      <c r="Z1116" s="21"/>
      <c r="AA1116" s="21"/>
      <c r="AB1116" s="21"/>
      <c r="AC1116" s="21"/>
      <c r="AD1116" s="21"/>
    </row>
    <row r="1117" spans="1:30">
      <c r="A1117" s="21"/>
      <c r="B1117" s="21"/>
      <c r="C1117" s="21"/>
      <c r="D1117" s="21"/>
      <c r="E1117" s="21"/>
      <c r="F1117" s="21"/>
      <c r="G1117" s="21"/>
      <c r="H1117" s="21"/>
      <c r="I1117" s="21"/>
      <c r="J1117" s="21"/>
      <c r="K1117" s="21"/>
      <c r="L1117" s="21"/>
      <c r="M1117" s="21"/>
      <c r="N1117" s="21"/>
      <c r="O1117" s="21"/>
      <c r="P1117" s="21"/>
      <c r="Q1117" s="21"/>
      <c r="R1117" s="21"/>
      <c r="S1117" s="21"/>
      <c r="T1117" s="21"/>
      <c r="U1117" s="21"/>
      <c r="V1117" s="21"/>
      <c r="W1117" s="21"/>
      <c r="X1117" s="21"/>
      <c r="Y1117" s="21"/>
      <c r="Z1117" s="21"/>
      <c r="AA1117" s="21"/>
      <c r="AB1117" s="21"/>
      <c r="AC1117" s="21"/>
      <c r="AD1117" s="21"/>
    </row>
    <row r="1118" spans="1:30">
      <c r="A1118" s="21"/>
      <c r="B1118" s="21"/>
      <c r="C1118" s="21"/>
      <c r="D1118" s="21"/>
      <c r="E1118" s="21"/>
      <c r="F1118" s="21"/>
      <c r="G1118" s="21"/>
      <c r="H1118" s="21"/>
      <c r="I1118" s="21"/>
      <c r="J1118" s="21"/>
      <c r="K1118" s="21"/>
      <c r="L1118" s="21"/>
      <c r="M1118" s="21"/>
      <c r="N1118" s="21"/>
      <c r="O1118" s="21"/>
      <c r="P1118" s="21"/>
      <c r="Q1118" s="21"/>
      <c r="R1118" s="21"/>
      <c r="S1118" s="21"/>
      <c r="T1118" s="21"/>
      <c r="U1118" s="21"/>
      <c r="V1118" s="21"/>
      <c r="W1118" s="21"/>
      <c r="X1118" s="21"/>
      <c r="Y1118" s="21"/>
      <c r="Z1118" s="21"/>
      <c r="AA1118" s="21"/>
      <c r="AB1118" s="21"/>
      <c r="AC1118" s="21"/>
      <c r="AD1118" s="21"/>
    </row>
    <row r="1119" spans="1:30">
      <c r="A1119" s="21"/>
      <c r="B1119" s="21"/>
      <c r="C1119" s="21"/>
      <c r="D1119" s="21"/>
      <c r="E1119" s="21"/>
      <c r="F1119" s="21"/>
      <c r="G1119" s="21"/>
      <c r="H1119" s="21"/>
      <c r="I1119" s="21"/>
      <c r="J1119" s="21"/>
      <c r="K1119" s="21"/>
      <c r="L1119" s="21"/>
      <c r="M1119" s="21"/>
      <c r="N1119" s="21"/>
      <c r="O1119" s="21"/>
      <c r="P1119" s="21"/>
      <c r="Q1119" s="21"/>
      <c r="R1119" s="21"/>
      <c r="S1119" s="21"/>
      <c r="T1119" s="21"/>
      <c r="U1119" s="21"/>
      <c r="V1119" s="21"/>
      <c r="W1119" s="21"/>
      <c r="X1119" s="21"/>
      <c r="Y1119" s="21"/>
      <c r="Z1119" s="21"/>
      <c r="AA1119" s="21"/>
      <c r="AB1119" s="21"/>
      <c r="AC1119" s="21"/>
      <c r="AD1119" s="21"/>
    </row>
    <row r="1120" spans="1:30">
      <c r="A1120" s="21"/>
      <c r="B1120" s="21"/>
      <c r="C1120" s="21"/>
      <c r="D1120" s="21"/>
      <c r="E1120" s="21"/>
      <c r="F1120" s="21"/>
      <c r="G1120" s="21"/>
      <c r="H1120" s="21"/>
      <c r="I1120" s="21"/>
      <c r="J1120" s="21"/>
      <c r="K1120" s="21"/>
      <c r="L1120" s="21"/>
      <c r="M1120" s="21"/>
      <c r="N1120" s="21"/>
      <c r="O1120" s="21"/>
      <c r="P1120" s="21"/>
      <c r="Q1120" s="21"/>
      <c r="R1120" s="21"/>
      <c r="S1120" s="21"/>
      <c r="T1120" s="21"/>
      <c r="U1120" s="21"/>
      <c r="V1120" s="21"/>
      <c r="W1120" s="21"/>
      <c r="X1120" s="21"/>
      <c r="Y1120" s="21"/>
      <c r="Z1120" s="21"/>
      <c r="AA1120" s="21"/>
      <c r="AB1120" s="21"/>
      <c r="AC1120" s="21"/>
      <c r="AD1120" s="21"/>
    </row>
    <row r="1121" spans="1:30">
      <c r="A1121" s="21"/>
      <c r="B1121" s="21"/>
      <c r="C1121" s="21"/>
      <c r="D1121" s="21"/>
      <c r="E1121" s="21"/>
      <c r="F1121" s="21"/>
      <c r="G1121" s="21"/>
      <c r="H1121" s="21"/>
      <c r="I1121" s="21"/>
      <c r="J1121" s="21"/>
      <c r="K1121" s="21"/>
      <c r="L1121" s="21"/>
      <c r="M1121" s="21"/>
      <c r="N1121" s="21"/>
      <c r="O1121" s="21"/>
      <c r="P1121" s="21"/>
      <c r="Q1121" s="21"/>
      <c r="R1121" s="21"/>
      <c r="S1121" s="21"/>
      <c r="T1121" s="21"/>
      <c r="U1121" s="21"/>
      <c r="V1121" s="21"/>
      <c r="W1121" s="21"/>
      <c r="X1121" s="21"/>
      <c r="Y1121" s="21"/>
      <c r="Z1121" s="21"/>
      <c r="AA1121" s="21"/>
      <c r="AB1121" s="21"/>
      <c r="AC1121" s="21"/>
      <c r="AD1121" s="21"/>
    </row>
    <row r="1122" spans="1:30">
      <c r="A1122" s="21"/>
      <c r="B1122" s="21"/>
      <c r="C1122" s="21"/>
      <c r="D1122" s="21"/>
      <c r="E1122" s="21"/>
      <c r="F1122" s="21"/>
      <c r="G1122" s="21"/>
      <c r="H1122" s="21"/>
      <c r="I1122" s="21"/>
      <c r="J1122" s="21"/>
      <c r="K1122" s="21"/>
      <c r="L1122" s="21"/>
      <c r="M1122" s="21"/>
      <c r="N1122" s="21"/>
      <c r="O1122" s="21"/>
      <c r="P1122" s="21"/>
      <c r="Q1122" s="21"/>
      <c r="R1122" s="21"/>
      <c r="S1122" s="21"/>
      <c r="T1122" s="21"/>
      <c r="U1122" s="21"/>
      <c r="V1122" s="21"/>
      <c r="W1122" s="21"/>
      <c r="X1122" s="21"/>
      <c r="Y1122" s="21"/>
      <c r="Z1122" s="21"/>
      <c r="AA1122" s="21"/>
      <c r="AB1122" s="21"/>
      <c r="AC1122" s="21"/>
      <c r="AD1122" s="21"/>
    </row>
    <row r="1123" spans="1:30">
      <c r="A1123" s="21"/>
      <c r="B1123" s="21"/>
      <c r="C1123" s="21"/>
      <c r="D1123" s="21"/>
      <c r="E1123" s="21"/>
      <c r="F1123" s="21"/>
      <c r="G1123" s="21"/>
      <c r="H1123" s="21"/>
      <c r="I1123" s="21"/>
      <c r="J1123" s="21"/>
      <c r="K1123" s="21"/>
      <c r="L1123" s="21"/>
      <c r="M1123" s="21"/>
      <c r="N1123" s="21"/>
      <c r="O1123" s="21"/>
      <c r="P1123" s="21"/>
      <c r="Q1123" s="21"/>
      <c r="R1123" s="21"/>
      <c r="S1123" s="21"/>
      <c r="T1123" s="21"/>
      <c r="U1123" s="21"/>
      <c r="V1123" s="21"/>
      <c r="W1123" s="21"/>
      <c r="X1123" s="21"/>
      <c r="Y1123" s="21"/>
      <c r="Z1123" s="21"/>
      <c r="AA1123" s="21"/>
      <c r="AB1123" s="21"/>
      <c r="AC1123" s="21"/>
      <c r="AD1123" s="21"/>
    </row>
    <row r="1124" spans="1:30">
      <c r="A1124" s="21"/>
      <c r="B1124" s="21"/>
      <c r="C1124" s="21"/>
      <c r="D1124" s="21"/>
      <c r="E1124" s="21"/>
      <c r="F1124" s="21"/>
      <c r="G1124" s="21"/>
      <c r="H1124" s="21"/>
      <c r="I1124" s="21"/>
      <c r="J1124" s="21"/>
      <c r="K1124" s="21"/>
      <c r="L1124" s="21"/>
      <c r="M1124" s="21"/>
      <c r="N1124" s="21"/>
      <c r="O1124" s="21"/>
      <c r="P1124" s="21"/>
      <c r="Q1124" s="21"/>
      <c r="R1124" s="21"/>
      <c r="S1124" s="21"/>
      <c r="T1124" s="21"/>
      <c r="U1124" s="21"/>
      <c r="V1124" s="21"/>
      <c r="W1124" s="21"/>
      <c r="X1124" s="21"/>
      <c r="Y1124" s="21"/>
      <c r="Z1124" s="21"/>
      <c r="AA1124" s="21"/>
      <c r="AB1124" s="21"/>
      <c r="AC1124" s="21"/>
      <c r="AD1124" s="21"/>
    </row>
    <row r="1125" spans="1:30">
      <c r="A1125" s="21"/>
      <c r="B1125" s="21"/>
      <c r="C1125" s="21"/>
      <c r="D1125" s="21"/>
      <c r="E1125" s="21"/>
      <c r="F1125" s="21"/>
      <c r="G1125" s="21"/>
      <c r="H1125" s="21"/>
      <c r="I1125" s="21"/>
      <c r="J1125" s="21"/>
      <c r="K1125" s="21"/>
      <c r="L1125" s="21"/>
      <c r="M1125" s="21"/>
      <c r="N1125" s="21"/>
      <c r="O1125" s="21"/>
      <c r="P1125" s="21"/>
      <c r="Q1125" s="21"/>
      <c r="R1125" s="21"/>
      <c r="S1125" s="21"/>
      <c r="T1125" s="21"/>
      <c r="U1125" s="21"/>
      <c r="V1125" s="21"/>
      <c r="W1125" s="21"/>
      <c r="X1125" s="21"/>
      <c r="Y1125" s="21"/>
      <c r="Z1125" s="21"/>
      <c r="AA1125" s="21"/>
      <c r="AB1125" s="21"/>
      <c r="AC1125" s="21"/>
      <c r="AD1125" s="21"/>
    </row>
    <row r="1126" spans="1:30">
      <c r="A1126" s="21"/>
      <c r="B1126" s="21"/>
      <c r="C1126" s="21"/>
      <c r="D1126" s="21"/>
      <c r="E1126" s="21"/>
      <c r="F1126" s="21"/>
      <c r="G1126" s="21"/>
      <c r="H1126" s="21"/>
      <c r="I1126" s="21"/>
      <c r="J1126" s="21"/>
      <c r="K1126" s="21"/>
      <c r="L1126" s="21"/>
      <c r="M1126" s="21"/>
      <c r="N1126" s="21"/>
      <c r="O1126" s="21"/>
      <c r="P1126" s="21"/>
      <c r="Q1126" s="21"/>
      <c r="R1126" s="21"/>
      <c r="S1126" s="21"/>
      <c r="T1126" s="21"/>
      <c r="U1126" s="21"/>
      <c r="V1126" s="21"/>
      <c r="W1126" s="21"/>
      <c r="X1126" s="21"/>
      <c r="Y1126" s="21"/>
      <c r="Z1126" s="21"/>
      <c r="AA1126" s="21"/>
      <c r="AB1126" s="21"/>
      <c r="AC1126" s="21"/>
      <c r="AD1126" s="21"/>
    </row>
    <row r="1127" spans="1:30">
      <c r="A1127" s="21"/>
      <c r="B1127" s="21"/>
      <c r="C1127" s="21"/>
      <c r="D1127" s="21"/>
      <c r="E1127" s="21"/>
      <c r="F1127" s="21"/>
      <c r="G1127" s="21"/>
      <c r="H1127" s="21"/>
      <c r="I1127" s="21"/>
      <c r="J1127" s="21"/>
      <c r="K1127" s="21"/>
      <c r="L1127" s="21"/>
      <c r="M1127" s="21"/>
      <c r="N1127" s="21"/>
      <c r="O1127" s="21"/>
      <c r="P1127" s="21"/>
      <c r="Q1127" s="21"/>
      <c r="R1127" s="21"/>
      <c r="S1127" s="21"/>
      <c r="T1127" s="21"/>
      <c r="U1127" s="21"/>
      <c r="V1127" s="21"/>
      <c r="W1127" s="21"/>
      <c r="X1127" s="21"/>
      <c r="Y1127" s="21"/>
      <c r="Z1127" s="21"/>
      <c r="AA1127" s="21"/>
      <c r="AB1127" s="21"/>
      <c r="AC1127" s="21"/>
      <c r="AD1127" s="21"/>
    </row>
    <row r="1128" spans="1:30">
      <c r="A1128" s="21"/>
      <c r="B1128" s="21"/>
      <c r="C1128" s="21"/>
      <c r="D1128" s="21"/>
      <c r="E1128" s="21"/>
      <c r="F1128" s="21"/>
      <c r="G1128" s="21"/>
      <c r="H1128" s="21"/>
      <c r="I1128" s="21"/>
      <c r="J1128" s="21"/>
      <c r="K1128" s="21"/>
      <c r="L1128" s="21"/>
      <c r="M1128" s="21"/>
      <c r="N1128" s="21"/>
      <c r="O1128" s="21"/>
      <c r="P1128" s="21"/>
      <c r="Q1128" s="21"/>
      <c r="R1128" s="21"/>
      <c r="S1128" s="21"/>
      <c r="T1128" s="21"/>
      <c r="U1128" s="21"/>
      <c r="V1128" s="21"/>
      <c r="W1128" s="21"/>
      <c r="X1128" s="21"/>
      <c r="Y1128" s="21"/>
      <c r="Z1128" s="21"/>
      <c r="AA1128" s="21"/>
      <c r="AB1128" s="21"/>
      <c r="AC1128" s="21"/>
      <c r="AD1128" s="21"/>
    </row>
    <row r="1129" spans="1:30">
      <c r="A1129" s="21"/>
      <c r="B1129" s="21"/>
      <c r="C1129" s="21"/>
      <c r="D1129" s="21"/>
      <c r="E1129" s="21"/>
      <c r="F1129" s="21"/>
      <c r="G1129" s="21"/>
      <c r="H1129" s="21"/>
      <c r="I1129" s="21"/>
      <c r="J1129" s="21"/>
      <c r="K1129" s="21"/>
      <c r="L1129" s="21"/>
      <c r="M1129" s="21"/>
      <c r="N1129" s="21"/>
      <c r="O1129" s="21"/>
      <c r="P1129" s="21"/>
      <c r="Q1129" s="21"/>
      <c r="R1129" s="21"/>
      <c r="S1129" s="21"/>
      <c r="T1129" s="21"/>
      <c r="U1129" s="21"/>
      <c r="V1129" s="21"/>
      <c r="W1129" s="21"/>
      <c r="X1129" s="21"/>
      <c r="Y1129" s="21"/>
      <c r="Z1129" s="21"/>
      <c r="AA1129" s="21"/>
      <c r="AB1129" s="21"/>
      <c r="AC1129" s="21"/>
      <c r="AD1129" s="21"/>
    </row>
    <row r="1130" spans="1:30">
      <c r="A1130" s="21"/>
      <c r="B1130" s="21"/>
      <c r="C1130" s="21"/>
      <c r="D1130" s="21"/>
      <c r="E1130" s="21"/>
      <c r="F1130" s="21"/>
      <c r="G1130" s="21"/>
      <c r="H1130" s="21"/>
      <c r="I1130" s="21"/>
      <c r="J1130" s="21"/>
      <c r="K1130" s="21"/>
      <c r="L1130" s="21"/>
      <c r="M1130" s="21"/>
      <c r="N1130" s="21"/>
      <c r="O1130" s="21"/>
      <c r="P1130" s="21"/>
      <c r="Q1130" s="21"/>
      <c r="R1130" s="21"/>
      <c r="S1130" s="21"/>
      <c r="T1130" s="21"/>
      <c r="U1130" s="21"/>
      <c r="V1130" s="21"/>
      <c r="W1130" s="21"/>
      <c r="X1130" s="21"/>
      <c r="Y1130" s="21"/>
      <c r="Z1130" s="21"/>
      <c r="AA1130" s="21"/>
      <c r="AB1130" s="21"/>
      <c r="AC1130" s="21"/>
      <c r="AD1130" s="21"/>
    </row>
    <row r="1131" spans="1:30">
      <c r="A1131" s="21"/>
      <c r="B1131" s="21"/>
      <c r="C1131" s="21"/>
      <c r="D1131" s="21"/>
      <c r="E1131" s="21"/>
      <c r="F1131" s="21"/>
      <c r="G1131" s="21"/>
      <c r="H1131" s="21"/>
      <c r="I1131" s="21"/>
      <c r="J1131" s="21"/>
      <c r="K1131" s="21"/>
      <c r="L1131" s="21"/>
      <c r="M1131" s="21"/>
      <c r="N1131" s="21"/>
      <c r="O1131" s="21"/>
      <c r="P1131" s="21"/>
      <c r="Q1131" s="21"/>
      <c r="R1131" s="21"/>
      <c r="S1131" s="21"/>
      <c r="T1131" s="21"/>
      <c r="U1131" s="21"/>
      <c r="V1131" s="21"/>
      <c r="W1131" s="21"/>
      <c r="X1131" s="21"/>
      <c r="Y1131" s="21"/>
      <c r="Z1131" s="21"/>
      <c r="AA1131" s="21"/>
      <c r="AB1131" s="21"/>
      <c r="AC1131" s="21"/>
      <c r="AD1131" s="21"/>
    </row>
    <row r="1132" spans="1:30">
      <c r="A1132" s="21"/>
      <c r="B1132" s="21"/>
      <c r="C1132" s="21"/>
      <c r="D1132" s="21"/>
      <c r="E1132" s="21"/>
      <c r="F1132" s="21"/>
      <c r="G1132" s="21"/>
      <c r="H1132" s="21"/>
      <c r="I1132" s="21"/>
      <c r="J1132" s="21"/>
      <c r="K1132" s="21"/>
      <c r="L1132" s="21"/>
      <c r="M1132" s="21"/>
      <c r="N1132" s="21"/>
      <c r="O1132" s="21"/>
      <c r="P1132" s="21"/>
      <c r="Q1132" s="21"/>
      <c r="R1132" s="21"/>
      <c r="S1132" s="21"/>
      <c r="T1132" s="21"/>
      <c r="U1132" s="21"/>
      <c r="V1132" s="21"/>
      <c r="W1132" s="21"/>
      <c r="X1132" s="21"/>
      <c r="Y1132" s="21"/>
      <c r="Z1132" s="21"/>
      <c r="AA1132" s="21"/>
      <c r="AB1132" s="21"/>
      <c r="AC1132" s="21"/>
      <c r="AD1132" s="21"/>
    </row>
    <row r="1133" spans="1:30">
      <c r="A1133" s="21"/>
      <c r="B1133" s="21"/>
      <c r="C1133" s="21"/>
      <c r="D1133" s="21"/>
      <c r="E1133" s="21"/>
      <c r="F1133" s="21"/>
      <c r="G1133" s="21"/>
      <c r="H1133" s="21"/>
      <c r="I1133" s="21"/>
      <c r="J1133" s="21"/>
      <c r="K1133" s="21"/>
      <c r="L1133" s="21"/>
      <c r="M1133" s="21"/>
      <c r="N1133" s="21"/>
      <c r="O1133" s="21"/>
      <c r="P1133" s="21"/>
      <c r="Q1133" s="21"/>
      <c r="R1133" s="21"/>
      <c r="S1133" s="21"/>
      <c r="T1133" s="21"/>
      <c r="U1133" s="21"/>
      <c r="V1133" s="21"/>
      <c r="W1133" s="21"/>
      <c r="X1133" s="21"/>
      <c r="Y1133" s="21"/>
      <c r="Z1133" s="21"/>
      <c r="AA1133" s="21"/>
      <c r="AB1133" s="21"/>
      <c r="AC1133" s="21"/>
      <c r="AD1133" s="21"/>
    </row>
    <row r="1134" spans="1:30">
      <c r="A1134" s="21"/>
      <c r="B1134" s="21"/>
      <c r="C1134" s="21"/>
      <c r="D1134" s="21"/>
      <c r="E1134" s="21"/>
      <c r="F1134" s="21"/>
      <c r="G1134" s="21"/>
      <c r="H1134" s="21"/>
      <c r="I1134" s="21"/>
      <c r="J1134" s="21"/>
      <c r="K1134" s="21"/>
      <c r="L1134" s="21"/>
      <c r="M1134" s="21"/>
      <c r="N1134" s="21"/>
      <c r="O1134" s="21"/>
      <c r="P1134" s="21"/>
      <c r="Q1134" s="21"/>
      <c r="R1134" s="21"/>
      <c r="S1134" s="21"/>
      <c r="T1134" s="21"/>
      <c r="U1134" s="21"/>
      <c r="V1134" s="21"/>
      <c r="W1134" s="21"/>
      <c r="X1134" s="21"/>
      <c r="Y1134" s="21"/>
      <c r="Z1134" s="21"/>
      <c r="AA1134" s="21"/>
      <c r="AB1134" s="21"/>
      <c r="AC1134" s="21"/>
      <c r="AD1134" s="21"/>
    </row>
    <row r="1135" spans="1:30">
      <c r="A1135" s="21"/>
      <c r="B1135" s="21"/>
      <c r="C1135" s="21"/>
      <c r="D1135" s="21"/>
      <c r="E1135" s="21"/>
      <c r="F1135" s="21"/>
      <c r="G1135" s="21"/>
      <c r="H1135" s="21"/>
      <c r="I1135" s="21"/>
      <c r="J1135" s="21"/>
      <c r="K1135" s="21"/>
      <c r="L1135" s="21"/>
      <c r="M1135" s="21"/>
      <c r="N1135" s="21"/>
      <c r="O1135" s="21"/>
      <c r="P1135" s="21"/>
      <c r="Q1135" s="21"/>
      <c r="R1135" s="21"/>
      <c r="S1135" s="21"/>
      <c r="T1135" s="21"/>
      <c r="U1135" s="21"/>
      <c r="V1135" s="21"/>
      <c r="W1135" s="21"/>
      <c r="X1135" s="21"/>
      <c r="Y1135" s="21"/>
      <c r="Z1135" s="21"/>
      <c r="AA1135" s="21"/>
      <c r="AB1135" s="21"/>
      <c r="AC1135" s="21"/>
      <c r="AD1135" s="21"/>
    </row>
    <row r="1136" spans="1:30">
      <c r="A1136" s="21"/>
      <c r="B1136" s="21"/>
      <c r="C1136" s="21"/>
      <c r="D1136" s="21"/>
      <c r="E1136" s="21"/>
      <c r="F1136" s="21"/>
      <c r="G1136" s="21"/>
      <c r="H1136" s="21"/>
      <c r="I1136" s="21"/>
      <c r="J1136" s="21"/>
      <c r="K1136" s="21"/>
      <c r="L1136" s="21"/>
      <c r="M1136" s="21"/>
      <c r="N1136" s="21"/>
      <c r="O1136" s="21"/>
      <c r="P1136" s="21"/>
      <c r="Q1136" s="21"/>
      <c r="R1136" s="21"/>
      <c r="S1136" s="21"/>
      <c r="T1136" s="21"/>
      <c r="U1136" s="21"/>
      <c r="V1136" s="21"/>
      <c r="W1136" s="21"/>
      <c r="X1136" s="21"/>
      <c r="Y1136" s="21"/>
      <c r="Z1136" s="21"/>
      <c r="AA1136" s="21"/>
      <c r="AB1136" s="21"/>
      <c r="AC1136" s="21"/>
      <c r="AD1136" s="21"/>
    </row>
    <row r="1137" spans="1:30">
      <c r="A1137" s="21"/>
      <c r="B1137" s="21"/>
      <c r="C1137" s="21"/>
      <c r="D1137" s="21"/>
      <c r="E1137" s="21"/>
      <c r="F1137" s="21"/>
      <c r="G1137" s="21"/>
      <c r="H1137" s="21"/>
      <c r="I1137" s="21"/>
      <c r="J1137" s="21"/>
      <c r="K1137" s="21"/>
      <c r="L1137" s="21"/>
      <c r="M1137" s="21"/>
      <c r="N1137" s="21"/>
      <c r="O1137" s="21"/>
      <c r="P1137" s="21"/>
      <c r="Q1137" s="21"/>
      <c r="R1137" s="21"/>
      <c r="S1137" s="21"/>
      <c r="T1137" s="21"/>
      <c r="U1137" s="21"/>
      <c r="V1137" s="21"/>
      <c r="W1137" s="21"/>
      <c r="X1137" s="21"/>
      <c r="Y1137" s="21"/>
      <c r="Z1137" s="21"/>
      <c r="AA1137" s="21"/>
      <c r="AB1137" s="21"/>
      <c r="AC1137" s="21"/>
      <c r="AD1137" s="21"/>
    </row>
    <row r="1138" spans="1:30">
      <c r="A1138" s="21"/>
      <c r="B1138" s="21"/>
      <c r="C1138" s="21"/>
      <c r="D1138" s="21"/>
      <c r="E1138" s="21"/>
      <c r="F1138" s="21"/>
      <c r="G1138" s="21"/>
      <c r="H1138" s="21"/>
      <c r="I1138" s="21"/>
      <c r="J1138" s="21"/>
      <c r="K1138" s="21"/>
      <c r="L1138" s="21"/>
      <c r="M1138" s="21"/>
      <c r="N1138" s="21"/>
      <c r="O1138" s="21"/>
      <c r="P1138" s="21"/>
      <c r="Q1138" s="21"/>
      <c r="R1138" s="21"/>
      <c r="S1138" s="21"/>
      <c r="T1138" s="21"/>
      <c r="U1138" s="21"/>
      <c r="V1138" s="21"/>
      <c r="W1138" s="21"/>
      <c r="X1138" s="21"/>
      <c r="Y1138" s="21"/>
      <c r="Z1138" s="21"/>
      <c r="AA1138" s="21"/>
      <c r="AB1138" s="21"/>
      <c r="AC1138" s="21"/>
      <c r="AD1138" s="21"/>
    </row>
    <row r="1139" spans="1:30">
      <c r="A1139" s="21"/>
      <c r="B1139" s="21"/>
      <c r="C1139" s="21"/>
      <c r="D1139" s="21"/>
      <c r="E1139" s="21"/>
      <c r="F1139" s="21"/>
      <c r="G1139" s="21"/>
      <c r="H1139" s="21"/>
      <c r="I1139" s="21"/>
      <c r="J1139" s="21"/>
      <c r="K1139" s="21"/>
      <c r="L1139" s="21"/>
      <c r="M1139" s="21"/>
      <c r="N1139" s="21"/>
      <c r="O1139" s="21"/>
      <c r="P1139" s="21"/>
      <c r="Q1139" s="21"/>
      <c r="R1139" s="21"/>
      <c r="S1139" s="21"/>
      <c r="T1139" s="21"/>
      <c r="U1139" s="21"/>
      <c r="V1139" s="21"/>
      <c r="W1139" s="21"/>
      <c r="X1139" s="21"/>
      <c r="Y1139" s="21"/>
      <c r="Z1139" s="21"/>
      <c r="AA1139" s="21"/>
      <c r="AB1139" s="21"/>
      <c r="AC1139" s="21"/>
      <c r="AD1139" s="21"/>
    </row>
    <row r="1140" spans="1:30">
      <c r="A1140" s="21"/>
      <c r="B1140" s="21"/>
      <c r="C1140" s="21"/>
      <c r="D1140" s="21"/>
      <c r="E1140" s="21"/>
      <c r="F1140" s="21"/>
      <c r="G1140" s="21"/>
      <c r="H1140" s="21"/>
      <c r="I1140" s="21"/>
      <c r="J1140" s="21"/>
      <c r="K1140" s="21"/>
      <c r="L1140" s="21"/>
      <c r="M1140" s="21"/>
      <c r="N1140" s="21"/>
      <c r="O1140" s="21"/>
      <c r="P1140" s="21"/>
      <c r="Q1140" s="21"/>
      <c r="R1140" s="21"/>
      <c r="S1140" s="21"/>
      <c r="T1140" s="21"/>
      <c r="U1140" s="21"/>
      <c r="V1140" s="21"/>
      <c r="W1140" s="21"/>
      <c r="X1140" s="21"/>
      <c r="Y1140" s="21"/>
      <c r="Z1140" s="21"/>
      <c r="AA1140" s="21"/>
      <c r="AB1140" s="21"/>
      <c r="AC1140" s="21"/>
      <c r="AD1140" s="21"/>
    </row>
    <row r="1141" spans="1:30">
      <c r="A1141" s="21"/>
      <c r="B1141" s="21"/>
      <c r="C1141" s="21"/>
      <c r="D1141" s="21"/>
      <c r="E1141" s="21"/>
      <c r="F1141" s="21"/>
      <c r="G1141" s="21"/>
      <c r="H1141" s="21"/>
      <c r="I1141" s="21"/>
      <c r="J1141" s="21"/>
      <c r="K1141" s="21"/>
      <c r="L1141" s="21"/>
      <c r="M1141" s="21"/>
      <c r="N1141" s="21"/>
      <c r="O1141" s="21"/>
      <c r="P1141" s="21"/>
      <c r="Q1141" s="21"/>
      <c r="R1141" s="21"/>
      <c r="S1141" s="21"/>
      <c r="T1141" s="21"/>
      <c r="U1141" s="21"/>
      <c r="V1141" s="21"/>
      <c r="W1141" s="21"/>
      <c r="X1141" s="21"/>
      <c r="Y1141" s="21"/>
      <c r="Z1141" s="21"/>
      <c r="AA1141" s="21"/>
      <c r="AB1141" s="21"/>
      <c r="AC1141" s="21"/>
      <c r="AD1141" s="21"/>
    </row>
    <row r="1142" spans="1:30">
      <c r="A1142" s="21"/>
      <c r="B1142" s="21"/>
      <c r="C1142" s="21"/>
      <c r="D1142" s="21"/>
      <c r="E1142" s="21"/>
      <c r="F1142" s="21"/>
      <c r="G1142" s="21"/>
      <c r="H1142" s="21"/>
      <c r="I1142" s="21"/>
      <c r="J1142" s="21"/>
      <c r="K1142" s="21"/>
      <c r="L1142" s="21"/>
      <c r="M1142" s="21"/>
      <c r="N1142" s="21"/>
      <c r="O1142" s="21"/>
      <c r="P1142" s="21"/>
      <c r="Q1142" s="21"/>
      <c r="R1142" s="21"/>
      <c r="S1142" s="21"/>
      <c r="T1142" s="21"/>
      <c r="U1142" s="21"/>
      <c r="V1142" s="21"/>
      <c r="W1142" s="21"/>
      <c r="X1142" s="21"/>
      <c r="Y1142" s="21"/>
      <c r="Z1142" s="21"/>
      <c r="AA1142" s="21"/>
      <c r="AB1142" s="21"/>
      <c r="AC1142" s="21"/>
      <c r="AD1142" s="21"/>
    </row>
    <row r="1143" spans="1:30">
      <c r="A1143" s="21"/>
      <c r="B1143" s="21"/>
      <c r="C1143" s="21"/>
      <c r="D1143" s="21"/>
      <c r="E1143" s="21"/>
      <c r="F1143" s="21"/>
      <c r="G1143" s="21"/>
      <c r="H1143" s="21"/>
      <c r="I1143" s="21"/>
      <c r="J1143" s="21"/>
      <c r="K1143" s="21"/>
      <c r="L1143" s="21"/>
      <c r="M1143" s="21"/>
      <c r="N1143" s="21"/>
      <c r="O1143" s="21"/>
      <c r="P1143" s="21"/>
      <c r="Q1143" s="21"/>
      <c r="R1143" s="21"/>
      <c r="S1143" s="21"/>
      <c r="T1143" s="21"/>
      <c r="U1143" s="21"/>
      <c r="V1143" s="21"/>
      <c r="W1143" s="21"/>
      <c r="X1143" s="21"/>
      <c r="Y1143" s="21"/>
      <c r="Z1143" s="21"/>
      <c r="AA1143" s="21"/>
      <c r="AB1143" s="21"/>
      <c r="AC1143" s="21"/>
      <c r="AD1143" s="21"/>
    </row>
    <row r="1144" spans="1:30">
      <c r="A1144" s="21"/>
      <c r="B1144" s="21"/>
      <c r="C1144" s="21"/>
      <c r="D1144" s="21"/>
      <c r="E1144" s="21"/>
      <c r="F1144" s="21"/>
      <c r="G1144" s="21"/>
      <c r="H1144" s="21"/>
      <c r="I1144" s="21"/>
      <c r="J1144" s="21"/>
      <c r="K1144" s="21"/>
      <c r="L1144" s="21"/>
      <c r="M1144" s="21"/>
      <c r="N1144" s="21"/>
      <c r="O1144" s="21"/>
      <c r="P1144" s="21"/>
      <c r="Q1144" s="21"/>
      <c r="R1144" s="21"/>
      <c r="S1144" s="21"/>
      <c r="T1144" s="21"/>
      <c r="U1144" s="21"/>
      <c r="V1144" s="21"/>
      <c r="W1144" s="21"/>
      <c r="X1144" s="21"/>
      <c r="Y1144" s="21"/>
      <c r="Z1144" s="21"/>
      <c r="AA1144" s="21"/>
      <c r="AB1144" s="21"/>
      <c r="AC1144" s="21"/>
      <c r="AD1144" s="21"/>
    </row>
    <row r="1145" spans="1:30">
      <c r="A1145" s="21"/>
      <c r="B1145" s="21"/>
      <c r="C1145" s="21"/>
      <c r="D1145" s="21"/>
      <c r="E1145" s="21"/>
      <c r="F1145" s="21"/>
      <c r="G1145" s="21"/>
      <c r="H1145" s="21"/>
      <c r="I1145" s="21"/>
      <c r="J1145" s="21"/>
      <c r="K1145" s="21"/>
      <c r="L1145" s="21"/>
      <c r="M1145" s="21"/>
      <c r="N1145" s="21"/>
      <c r="O1145" s="21"/>
      <c r="P1145" s="21"/>
      <c r="Q1145" s="21"/>
      <c r="R1145" s="21"/>
      <c r="S1145" s="21"/>
      <c r="T1145" s="21"/>
      <c r="U1145" s="21"/>
      <c r="V1145" s="21"/>
      <c r="W1145" s="21"/>
      <c r="X1145" s="21"/>
      <c r="Y1145" s="21"/>
      <c r="Z1145" s="21"/>
      <c r="AA1145" s="21"/>
      <c r="AB1145" s="21"/>
      <c r="AC1145" s="21"/>
      <c r="AD1145" s="21"/>
    </row>
    <row r="1146" spans="1:30">
      <c r="A1146" s="21"/>
      <c r="B1146" s="21"/>
      <c r="C1146" s="21"/>
      <c r="D1146" s="21"/>
      <c r="E1146" s="21"/>
      <c r="F1146" s="21"/>
      <c r="G1146" s="21"/>
      <c r="H1146" s="21"/>
      <c r="I1146" s="21"/>
      <c r="J1146" s="21"/>
      <c r="K1146" s="21"/>
      <c r="L1146" s="21"/>
      <c r="M1146" s="21"/>
      <c r="N1146" s="21"/>
      <c r="O1146" s="21"/>
      <c r="P1146" s="21"/>
      <c r="Q1146" s="21"/>
      <c r="R1146" s="21"/>
      <c r="S1146" s="21"/>
      <c r="T1146" s="21"/>
      <c r="U1146" s="21"/>
      <c r="V1146" s="21"/>
      <c r="W1146" s="21"/>
      <c r="X1146" s="21"/>
      <c r="Y1146" s="21"/>
      <c r="Z1146" s="21"/>
      <c r="AA1146" s="21"/>
      <c r="AB1146" s="21"/>
      <c r="AC1146" s="21"/>
      <c r="AD1146" s="21"/>
    </row>
    <row r="1147" spans="1:30">
      <c r="A1147" s="21"/>
      <c r="B1147" s="21"/>
      <c r="C1147" s="21"/>
      <c r="D1147" s="21"/>
      <c r="E1147" s="21"/>
      <c r="F1147" s="21"/>
      <c r="G1147" s="21"/>
      <c r="H1147" s="21"/>
      <c r="I1147" s="21"/>
      <c r="J1147" s="21"/>
      <c r="K1147" s="21"/>
      <c r="L1147" s="21"/>
      <c r="M1147" s="21"/>
      <c r="N1147" s="21"/>
      <c r="O1147" s="21"/>
      <c r="P1147" s="21"/>
      <c r="Q1147" s="21"/>
      <c r="R1147" s="21"/>
      <c r="S1147" s="21"/>
      <c r="T1147" s="21"/>
      <c r="U1147" s="21"/>
      <c r="V1147" s="21"/>
      <c r="W1147" s="21"/>
      <c r="X1147" s="21"/>
      <c r="Y1147" s="21"/>
      <c r="Z1147" s="21"/>
      <c r="AA1147" s="21"/>
      <c r="AB1147" s="21"/>
      <c r="AC1147" s="21"/>
      <c r="AD1147" s="21"/>
    </row>
    <row r="1148" spans="1:30">
      <c r="A1148" s="21"/>
      <c r="B1148" s="21"/>
      <c r="C1148" s="21"/>
      <c r="D1148" s="21"/>
      <c r="E1148" s="21"/>
      <c r="F1148" s="21"/>
      <c r="G1148" s="21"/>
      <c r="H1148" s="21"/>
      <c r="I1148" s="21"/>
      <c r="J1148" s="21"/>
      <c r="K1148" s="21"/>
      <c r="L1148" s="21"/>
      <c r="M1148" s="21"/>
      <c r="N1148" s="21"/>
      <c r="O1148" s="21"/>
      <c r="P1148" s="21"/>
      <c r="Q1148" s="21"/>
      <c r="R1148" s="21"/>
      <c r="S1148" s="21"/>
      <c r="T1148" s="21"/>
      <c r="U1148" s="21"/>
      <c r="V1148" s="21"/>
      <c r="W1148" s="21"/>
      <c r="X1148" s="21"/>
      <c r="Y1148" s="21"/>
      <c r="Z1148" s="21"/>
      <c r="AA1148" s="21"/>
      <c r="AB1148" s="21"/>
      <c r="AC1148" s="21"/>
      <c r="AD1148" s="21"/>
    </row>
    <row r="1149" spans="1:30">
      <c r="A1149" s="21"/>
      <c r="B1149" s="21"/>
      <c r="C1149" s="21"/>
      <c r="D1149" s="21"/>
      <c r="E1149" s="21"/>
      <c r="F1149" s="21"/>
      <c r="G1149" s="21"/>
      <c r="H1149" s="21"/>
      <c r="I1149" s="21"/>
      <c r="J1149" s="21"/>
      <c r="K1149" s="21"/>
      <c r="L1149" s="21"/>
      <c r="M1149" s="21"/>
      <c r="N1149" s="21"/>
      <c r="O1149" s="21"/>
      <c r="P1149" s="21"/>
      <c r="Q1149" s="21"/>
      <c r="R1149" s="21"/>
      <c r="S1149" s="21"/>
      <c r="T1149" s="21"/>
      <c r="U1149" s="21"/>
      <c r="V1149" s="21"/>
      <c r="W1149" s="21"/>
      <c r="X1149" s="21"/>
      <c r="Y1149" s="21"/>
      <c r="Z1149" s="21"/>
      <c r="AA1149" s="21"/>
      <c r="AB1149" s="21"/>
      <c r="AC1149" s="21"/>
      <c r="AD1149" s="21"/>
    </row>
    <row r="1150" spans="1:30">
      <c r="A1150" s="21"/>
      <c r="B1150" s="21"/>
      <c r="C1150" s="21"/>
      <c r="D1150" s="21"/>
      <c r="E1150" s="21"/>
      <c r="F1150" s="21"/>
      <c r="G1150" s="21"/>
      <c r="H1150" s="21"/>
      <c r="I1150" s="21"/>
      <c r="J1150" s="21"/>
      <c r="K1150" s="21"/>
      <c r="L1150" s="21"/>
      <c r="M1150" s="21"/>
      <c r="N1150" s="21"/>
      <c r="O1150" s="21"/>
      <c r="P1150" s="21"/>
      <c r="Q1150" s="21"/>
      <c r="R1150" s="21"/>
      <c r="S1150" s="21"/>
      <c r="T1150" s="21"/>
      <c r="U1150" s="21"/>
      <c r="V1150" s="21"/>
      <c r="W1150" s="21"/>
      <c r="X1150" s="21"/>
      <c r="Y1150" s="21"/>
      <c r="Z1150" s="21"/>
      <c r="AA1150" s="21"/>
      <c r="AB1150" s="21"/>
      <c r="AC1150" s="21"/>
      <c r="AD1150" s="21"/>
    </row>
    <row r="1151" spans="1:30">
      <c r="A1151" s="21"/>
      <c r="B1151" s="21"/>
      <c r="C1151" s="21"/>
      <c r="D1151" s="21"/>
      <c r="E1151" s="21"/>
      <c r="F1151" s="21"/>
      <c r="G1151" s="21"/>
      <c r="H1151" s="21"/>
      <c r="I1151" s="21"/>
      <c r="J1151" s="21"/>
      <c r="K1151" s="21"/>
      <c r="L1151" s="21"/>
      <c r="M1151" s="21"/>
      <c r="N1151" s="21"/>
      <c r="O1151" s="21"/>
      <c r="P1151" s="21"/>
      <c r="Q1151" s="21"/>
      <c r="R1151" s="21"/>
      <c r="S1151" s="21"/>
      <c r="T1151" s="21"/>
      <c r="U1151" s="21"/>
      <c r="V1151" s="21"/>
      <c r="W1151" s="21"/>
      <c r="X1151" s="21"/>
      <c r="Y1151" s="21"/>
      <c r="Z1151" s="21"/>
      <c r="AA1151" s="21"/>
      <c r="AB1151" s="21"/>
      <c r="AC1151" s="21"/>
      <c r="AD1151" s="21"/>
    </row>
    <row r="1152" spans="1:30">
      <c r="A1152" s="21"/>
      <c r="B1152" s="21"/>
      <c r="C1152" s="21"/>
      <c r="D1152" s="21"/>
      <c r="E1152" s="21"/>
      <c r="F1152" s="21"/>
      <c r="G1152" s="21"/>
      <c r="H1152" s="21"/>
      <c r="I1152" s="21"/>
      <c r="J1152" s="21"/>
      <c r="K1152" s="21"/>
      <c r="L1152" s="21"/>
      <c r="M1152" s="21"/>
      <c r="N1152" s="21"/>
      <c r="O1152" s="21"/>
      <c r="P1152" s="21"/>
      <c r="Q1152" s="21"/>
      <c r="R1152" s="21"/>
      <c r="S1152" s="21"/>
      <c r="T1152" s="21"/>
      <c r="U1152" s="21"/>
      <c r="V1152" s="21"/>
      <c r="W1152" s="21"/>
      <c r="X1152" s="21"/>
      <c r="Y1152" s="21"/>
      <c r="Z1152" s="21"/>
      <c r="AA1152" s="21"/>
      <c r="AB1152" s="21"/>
      <c r="AC1152" s="21"/>
      <c r="AD1152" s="21"/>
    </row>
    <row r="1153" spans="1:30">
      <c r="A1153" s="21"/>
      <c r="B1153" s="21"/>
      <c r="C1153" s="21"/>
      <c r="D1153" s="21"/>
      <c r="E1153" s="21"/>
      <c r="F1153" s="21"/>
      <c r="G1153" s="21"/>
      <c r="H1153" s="21"/>
      <c r="I1153" s="21"/>
      <c r="J1153" s="21"/>
      <c r="K1153" s="21"/>
      <c r="L1153" s="21"/>
      <c r="M1153" s="21"/>
      <c r="N1153" s="21"/>
      <c r="O1153" s="21"/>
      <c r="P1153" s="21"/>
      <c r="Q1153" s="21"/>
      <c r="R1153" s="21"/>
      <c r="S1153" s="21"/>
      <c r="T1153" s="21"/>
      <c r="U1153" s="21"/>
      <c r="V1153" s="21"/>
      <c r="W1153" s="21"/>
      <c r="X1153" s="21"/>
      <c r="Y1153" s="21"/>
      <c r="Z1153" s="21"/>
      <c r="AA1153" s="21"/>
      <c r="AB1153" s="21"/>
      <c r="AC1153" s="21"/>
      <c r="AD1153" s="21"/>
    </row>
    <row r="1154" spans="1:30">
      <c r="A1154" s="21"/>
      <c r="B1154" s="21"/>
      <c r="C1154" s="21"/>
      <c r="D1154" s="21"/>
      <c r="E1154" s="21"/>
      <c r="F1154" s="21"/>
      <c r="G1154" s="21"/>
      <c r="H1154" s="21"/>
      <c r="I1154" s="21"/>
      <c r="J1154" s="21"/>
      <c r="K1154" s="21"/>
      <c r="L1154" s="21"/>
      <c r="M1154" s="21"/>
      <c r="N1154" s="21"/>
      <c r="O1154" s="21"/>
      <c r="P1154" s="21"/>
      <c r="Q1154" s="21"/>
      <c r="R1154" s="21"/>
      <c r="S1154" s="21"/>
      <c r="T1154" s="21"/>
      <c r="U1154" s="21"/>
      <c r="V1154" s="21"/>
      <c r="W1154" s="21"/>
      <c r="X1154" s="21"/>
      <c r="Y1154" s="21"/>
      <c r="Z1154" s="21"/>
      <c r="AA1154" s="21"/>
      <c r="AB1154" s="21"/>
      <c r="AC1154" s="21"/>
      <c r="AD1154" s="21"/>
    </row>
    <row r="1155" spans="1:30">
      <c r="A1155" s="21"/>
      <c r="B1155" s="21"/>
      <c r="C1155" s="21"/>
      <c r="D1155" s="21"/>
      <c r="E1155" s="21"/>
      <c r="F1155" s="21"/>
      <c r="G1155" s="21"/>
      <c r="H1155" s="21"/>
      <c r="I1155" s="21"/>
      <c r="J1155" s="21"/>
      <c r="K1155" s="21"/>
      <c r="L1155" s="21"/>
      <c r="M1155" s="21"/>
      <c r="N1155" s="21"/>
      <c r="O1155" s="21"/>
      <c r="P1155" s="21"/>
      <c r="Q1155" s="21"/>
      <c r="R1155" s="21"/>
      <c r="S1155" s="21"/>
      <c r="T1155" s="21"/>
      <c r="U1155" s="21"/>
      <c r="V1155" s="21"/>
      <c r="W1155" s="21"/>
      <c r="X1155" s="21"/>
      <c r="Y1155" s="21"/>
      <c r="Z1155" s="21"/>
      <c r="AA1155" s="21"/>
      <c r="AB1155" s="21"/>
      <c r="AC1155" s="21"/>
      <c r="AD1155" s="21"/>
    </row>
    <row r="1156" spans="1:30">
      <c r="A1156" s="21"/>
      <c r="B1156" s="21"/>
      <c r="C1156" s="21"/>
      <c r="D1156" s="21"/>
      <c r="E1156" s="21"/>
      <c r="F1156" s="21"/>
      <c r="G1156" s="21"/>
      <c r="H1156" s="21"/>
      <c r="I1156" s="21"/>
      <c r="J1156" s="21"/>
      <c r="K1156" s="21"/>
      <c r="L1156" s="21"/>
      <c r="M1156" s="21"/>
      <c r="N1156" s="21"/>
      <c r="O1156" s="21"/>
      <c r="P1156" s="21"/>
      <c r="Q1156" s="21"/>
      <c r="R1156" s="21"/>
      <c r="S1156" s="21"/>
      <c r="T1156" s="21"/>
      <c r="U1156" s="21"/>
      <c r="V1156" s="21"/>
      <c r="W1156" s="21"/>
      <c r="X1156" s="21"/>
      <c r="Y1156" s="21"/>
      <c r="Z1156" s="21"/>
      <c r="AA1156" s="21"/>
      <c r="AB1156" s="21"/>
      <c r="AC1156" s="21"/>
      <c r="AD1156" s="21"/>
    </row>
    <row r="1157" spans="1:30">
      <c r="A1157" s="21"/>
      <c r="B1157" s="21"/>
      <c r="C1157" s="21"/>
      <c r="D1157" s="21"/>
      <c r="E1157" s="21"/>
      <c r="F1157" s="21"/>
      <c r="G1157" s="21"/>
      <c r="H1157" s="21"/>
      <c r="I1157" s="21"/>
      <c r="J1157" s="21"/>
      <c r="K1157" s="21"/>
      <c r="L1157" s="21"/>
      <c r="M1157" s="21"/>
      <c r="N1157" s="21"/>
      <c r="O1157" s="21"/>
      <c r="P1157" s="21"/>
      <c r="Q1157" s="21"/>
      <c r="R1157" s="21"/>
      <c r="S1157" s="21"/>
      <c r="T1157" s="21"/>
      <c r="U1157" s="21"/>
      <c r="V1157" s="21"/>
      <c r="W1157" s="21"/>
      <c r="X1157" s="21"/>
      <c r="Y1157" s="21"/>
      <c r="Z1157" s="21"/>
      <c r="AA1157" s="21"/>
      <c r="AB1157" s="21"/>
      <c r="AC1157" s="21"/>
      <c r="AD1157" s="21"/>
    </row>
    <row r="1158" spans="1:30">
      <c r="A1158" s="21"/>
      <c r="B1158" s="21"/>
      <c r="C1158" s="21"/>
      <c r="D1158" s="21"/>
      <c r="E1158" s="21"/>
      <c r="F1158" s="21"/>
      <c r="G1158" s="21"/>
      <c r="H1158" s="21"/>
      <c r="I1158" s="21"/>
      <c r="J1158" s="21"/>
      <c r="K1158" s="21"/>
      <c r="L1158" s="21"/>
      <c r="M1158" s="21"/>
      <c r="N1158" s="21"/>
      <c r="O1158" s="21"/>
      <c r="P1158" s="21"/>
      <c r="Q1158" s="21"/>
      <c r="R1158" s="21"/>
      <c r="S1158" s="21"/>
      <c r="T1158" s="21"/>
      <c r="U1158" s="21"/>
      <c r="V1158" s="21"/>
      <c r="W1158" s="21"/>
      <c r="X1158" s="21"/>
      <c r="Y1158" s="21"/>
      <c r="Z1158" s="21"/>
      <c r="AA1158" s="21"/>
      <c r="AB1158" s="21"/>
      <c r="AC1158" s="21"/>
      <c r="AD1158" s="21"/>
    </row>
    <row r="1159" spans="1:30">
      <c r="A1159" s="21"/>
      <c r="B1159" s="21"/>
      <c r="C1159" s="21"/>
      <c r="D1159" s="21"/>
      <c r="E1159" s="21"/>
      <c r="F1159" s="21"/>
      <c r="G1159" s="21"/>
      <c r="H1159" s="21"/>
      <c r="I1159" s="21"/>
      <c r="J1159" s="21"/>
      <c r="K1159" s="21"/>
      <c r="L1159" s="21"/>
      <c r="M1159" s="21"/>
      <c r="N1159" s="21"/>
      <c r="O1159" s="21"/>
      <c r="P1159" s="21"/>
      <c r="Q1159" s="21"/>
      <c r="R1159" s="21"/>
      <c r="S1159" s="21"/>
      <c r="T1159" s="21"/>
      <c r="U1159" s="21"/>
      <c r="V1159" s="21"/>
      <c r="W1159" s="21"/>
      <c r="X1159" s="21"/>
      <c r="Y1159" s="21"/>
      <c r="Z1159" s="21"/>
      <c r="AA1159" s="21"/>
      <c r="AB1159" s="21"/>
      <c r="AC1159" s="21"/>
      <c r="AD1159" s="21"/>
    </row>
    <row r="1160" spans="1:30">
      <c r="A1160" s="21"/>
      <c r="B1160" s="21"/>
      <c r="C1160" s="21"/>
      <c r="D1160" s="21"/>
      <c r="E1160" s="21"/>
      <c r="F1160" s="21"/>
      <c r="G1160" s="21"/>
      <c r="H1160" s="21"/>
      <c r="I1160" s="21"/>
      <c r="J1160" s="21"/>
      <c r="K1160" s="21"/>
      <c r="L1160" s="21"/>
      <c r="M1160" s="21"/>
      <c r="N1160" s="21"/>
      <c r="O1160" s="21"/>
      <c r="P1160" s="21"/>
      <c r="Q1160" s="21"/>
      <c r="R1160" s="21"/>
      <c r="S1160" s="21"/>
      <c r="T1160" s="21"/>
      <c r="U1160" s="21"/>
      <c r="V1160" s="21"/>
      <c r="W1160" s="21"/>
      <c r="X1160" s="21"/>
      <c r="Y1160" s="21"/>
      <c r="Z1160" s="21"/>
      <c r="AA1160" s="21"/>
      <c r="AB1160" s="21"/>
      <c r="AC1160" s="21"/>
      <c r="AD1160" s="21"/>
    </row>
    <row r="1161" spans="1:30">
      <c r="A1161" s="21"/>
      <c r="B1161" s="21"/>
      <c r="C1161" s="21"/>
      <c r="D1161" s="21"/>
      <c r="E1161" s="21"/>
      <c r="F1161" s="21"/>
      <c r="G1161" s="21"/>
      <c r="H1161" s="21"/>
      <c r="I1161" s="21"/>
      <c r="J1161" s="21"/>
      <c r="K1161" s="21"/>
      <c r="L1161" s="21"/>
      <c r="M1161" s="21"/>
      <c r="N1161" s="21"/>
      <c r="O1161" s="21"/>
      <c r="P1161" s="21"/>
      <c r="Q1161" s="21"/>
      <c r="R1161" s="21"/>
      <c r="S1161" s="21"/>
      <c r="T1161" s="21"/>
      <c r="U1161" s="21"/>
      <c r="V1161" s="21"/>
      <c r="W1161" s="21"/>
      <c r="X1161" s="21"/>
      <c r="Y1161" s="21"/>
      <c r="Z1161" s="21"/>
      <c r="AA1161" s="21"/>
      <c r="AB1161" s="21"/>
      <c r="AC1161" s="21"/>
      <c r="AD1161" s="21"/>
    </row>
    <row r="1162" spans="1:30">
      <c r="A1162" s="21"/>
      <c r="B1162" s="21"/>
      <c r="C1162" s="21"/>
      <c r="D1162" s="21"/>
      <c r="E1162" s="21"/>
      <c r="F1162" s="21"/>
      <c r="G1162" s="21"/>
      <c r="H1162" s="21"/>
      <c r="I1162" s="21"/>
      <c r="J1162" s="21"/>
      <c r="K1162" s="21"/>
      <c r="L1162" s="21"/>
      <c r="M1162" s="21"/>
      <c r="N1162" s="21"/>
      <c r="O1162" s="21"/>
      <c r="P1162" s="21"/>
      <c r="Q1162" s="21"/>
      <c r="R1162" s="21"/>
      <c r="S1162" s="21"/>
      <c r="T1162" s="21"/>
      <c r="U1162" s="21"/>
      <c r="V1162" s="21"/>
      <c r="W1162" s="21"/>
      <c r="X1162" s="21"/>
      <c r="Y1162" s="21"/>
      <c r="Z1162" s="21"/>
      <c r="AA1162" s="21"/>
      <c r="AB1162" s="21"/>
      <c r="AC1162" s="21"/>
      <c r="AD1162" s="21"/>
    </row>
    <row r="1163" spans="1:30">
      <c r="A1163" s="21"/>
      <c r="B1163" s="21"/>
      <c r="C1163" s="21"/>
      <c r="D1163" s="21"/>
      <c r="E1163" s="21"/>
      <c r="F1163" s="21"/>
      <c r="G1163" s="21"/>
      <c r="H1163" s="21"/>
      <c r="I1163" s="21"/>
      <c r="J1163" s="21"/>
      <c r="K1163" s="21"/>
      <c r="L1163" s="21"/>
      <c r="M1163" s="21"/>
      <c r="N1163" s="21"/>
      <c r="O1163" s="21"/>
      <c r="P1163" s="21"/>
      <c r="Q1163" s="21"/>
      <c r="R1163" s="21"/>
      <c r="S1163" s="21"/>
      <c r="T1163" s="21"/>
      <c r="U1163" s="21"/>
      <c r="V1163" s="21"/>
      <c r="W1163" s="21"/>
      <c r="X1163" s="21"/>
      <c r="Y1163" s="21"/>
      <c r="Z1163" s="21"/>
      <c r="AA1163" s="21"/>
      <c r="AB1163" s="21"/>
      <c r="AC1163" s="21"/>
      <c r="AD1163" s="21"/>
    </row>
    <row r="1164" spans="1:30">
      <c r="A1164" s="21"/>
      <c r="B1164" s="21"/>
      <c r="C1164" s="21"/>
      <c r="D1164" s="21"/>
      <c r="E1164" s="21"/>
      <c r="F1164" s="21"/>
      <c r="G1164" s="21"/>
      <c r="H1164" s="21"/>
      <c r="I1164" s="21"/>
      <c r="J1164" s="21"/>
      <c r="K1164" s="21"/>
      <c r="L1164" s="21"/>
      <c r="M1164" s="21"/>
      <c r="N1164" s="21"/>
      <c r="O1164" s="21"/>
      <c r="P1164" s="21"/>
      <c r="Q1164" s="21"/>
      <c r="R1164" s="21"/>
      <c r="S1164" s="21"/>
      <c r="T1164" s="21"/>
      <c r="U1164" s="21"/>
      <c r="V1164" s="21"/>
      <c r="W1164" s="21"/>
      <c r="X1164" s="21"/>
      <c r="Y1164" s="21"/>
      <c r="Z1164" s="21"/>
      <c r="AA1164" s="21"/>
      <c r="AB1164" s="21"/>
      <c r="AC1164" s="21"/>
      <c r="AD1164" s="21"/>
    </row>
    <row r="1165" spans="1:30">
      <c r="A1165" s="21"/>
      <c r="B1165" s="21"/>
      <c r="C1165" s="21"/>
      <c r="D1165" s="21"/>
      <c r="E1165" s="21"/>
      <c r="F1165" s="21"/>
      <c r="G1165" s="21"/>
      <c r="H1165" s="21"/>
      <c r="I1165" s="21"/>
      <c r="J1165" s="21"/>
      <c r="K1165" s="21"/>
      <c r="L1165" s="21"/>
      <c r="M1165" s="21"/>
      <c r="N1165" s="21"/>
      <c r="O1165" s="21"/>
      <c r="P1165" s="21"/>
      <c r="Q1165" s="21"/>
      <c r="R1165" s="21"/>
      <c r="S1165" s="21"/>
      <c r="T1165" s="21"/>
      <c r="U1165" s="21"/>
      <c r="V1165" s="21"/>
      <c r="W1165" s="21"/>
      <c r="X1165" s="21"/>
      <c r="Y1165" s="21"/>
      <c r="Z1165" s="21"/>
      <c r="AA1165" s="21"/>
      <c r="AB1165" s="21"/>
      <c r="AC1165" s="21"/>
      <c r="AD1165" s="21"/>
    </row>
    <row r="1166" spans="1:30">
      <c r="A1166" s="21"/>
      <c r="B1166" s="21"/>
      <c r="C1166" s="21"/>
      <c r="D1166" s="21"/>
      <c r="E1166" s="21"/>
      <c r="F1166" s="21"/>
      <c r="G1166" s="21"/>
      <c r="H1166" s="21"/>
      <c r="I1166" s="21"/>
      <c r="J1166" s="21"/>
      <c r="K1166" s="21"/>
      <c r="L1166" s="21"/>
      <c r="M1166" s="21"/>
      <c r="N1166" s="21"/>
      <c r="O1166" s="21"/>
      <c r="P1166" s="21"/>
      <c r="Q1166" s="21"/>
      <c r="R1166" s="21"/>
      <c r="S1166" s="21"/>
      <c r="T1166" s="21"/>
      <c r="U1166" s="21"/>
      <c r="V1166" s="21"/>
      <c r="W1166" s="21"/>
      <c r="X1166" s="21"/>
      <c r="Y1166" s="21"/>
      <c r="Z1166" s="21"/>
      <c r="AA1166" s="21"/>
      <c r="AB1166" s="21"/>
      <c r="AC1166" s="21"/>
      <c r="AD1166" s="21"/>
    </row>
    <row r="1167" spans="1:30">
      <c r="A1167" s="21"/>
      <c r="B1167" s="21"/>
      <c r="C1167" s="21"/>
      <c r="D1167" s="21"/>
      <c r="E1167" s="21"/>
      <c r="F1167" s="21"/>
      <c r="G1167" s="21"/>
      <c r="H1167" s="21"/>
      <c r="I1167" s="21"/>
      <c r="J1167" s="21"/>
      <c r="K1167" s="21"/>
      <c r="L1167" s="21"/>
      <c r="M1167" s="21"/>
      <c r="N1167" s="21"/>
      <c r="O1167" s="21"/>
      <c r="P1167" s="21"/>
      <c r="Q1167" s="21"/>
      <c r="R1167" s="21"/>
      <c r="S1167" s="21"/>
      <c r="T1167" s="21"/>
      <c r="U1167" s="21"/>
      <c r="V1167" s="21"/>
      <c r="W1167" s="21"/>
      <c r="X1167" s="21"/>
      <c r="Y1167" s="21"/>
      <c r="Z1167" s="21"/>
      <c r="AA1167" s="21"/>
      <c r="AB1167" s="21"/>
      <c r="AC1167" s="21"/>
      <c r="AD1167" s="21"/>
    </row>
    <row r="1168" spans="1:30">
      <c r="A1168" s="21"/>
      <c r="B1168" s="21"/>
      <c r="C1168" s="21"/>
      <c r="D1168" s="21"/>
      <c r="E1168" s="21"/>
      <c r="F1168" s="21"/>
      <c r="G1168" s="21"/>
      <c r="H1168" s="21"/>
      <c r="I1168" s="21"/>
      <c r="J1168" s="21"/>
      <c r="K1168" s="21"/>
      <c r="L1168" s="21"/>
      <c r="M1168" s="21"/>
      <c r="N1168" s="21"/>
      <c r="O1168" s="21"/>
      <c r="P1168" s="21"/>
      <c r="Q1168" s="21"/>
      <c r="R1168" s="21"/>
      <c r="S1168" s="21"/>
      <c r="T1168" s="21"/>
      <c r="U1168" s="21"/>
      <c r="V1168" s="21"/>
      <c r="W1168" s="21"/>
      <c r="X1168" s="21"/>
      <c r="Y1168" s="21"/>
      <c r="Z1168" s="21"/>
      <c r="AA1168" s="21"/>
      <c r="AB1168" s="21"/>
      <c r="AC1168" s="21"/>
      <c r="AD1168" s="21"/>
    </row>
    <row r="1169" spans="1:30">
      <c r="A1169" s="21"/>
      <c r="B1169" s="21"/>
      <c r="C1169" s="21"/>
      <c r="D1169" s="21"/>
      <c r="E1169" s="21"/>
      <c r="F1169" s="21"/>
      <c r="G1169" s="21"/>
      <c r="H1169" s="21"/>
      <c r="I1169" s="21"/>
      <c r="J1169" s="21"/>
      <c r="K1169" s="21"/>
      <c r="L1169" s="21"/>
      <c r="M1169" s="21"/>
      <c r="N1169" s="21"/>
      <c r="O1169" s="21"/>
      <c r="P1169" s="21"/>
      <c r="Q1169" s="21"/>
      <c r="R1169" s="21"/>
      <c r="S1169" s="21"/>
      <c r="T1169" s="21"/>
      <c r="U1169" s="21"/>
      <c r="V1169" s="21"/>
      <c r="W1169" s="21"/>
      <c r="X1169" s="21"/>
      <c r="Y1169" s="21"/>
      <c r="Z1169" s="21"/>
      <c r="AA1169" s="21"/>
      <c r="AB1169" s="21"/>
      <c r="AC1169" s="21"/>
      <c r="AD1169" s="21"/>
    </row>
    <row r="1170" spans="1:30">
      <c r="A1170" s="21"/>
      <c r="B1170" s="21"/>
      <c r="C1170" s="21"/>
      <c r="D1170" s="21"/>
      <c r="E1170" s="21"/>
      <c r="F1170" s="21"/>
      <c r="G1170" s="21"/>
      <c r="H1170" s="21"/>
      <c r="I1170" s="21"/>
      <c r="J1170" s="21"/>
      <c r="K1170" s="21"/>
      <c r="L1170" s="21"/>
      <c r="M1170" s="21"/>
      <c r="N1170" s="21"/>
      <c r="O1170" s="21"/>
      <c r="P1170" s="21"/>
      <c r="Q1170" s="21"/>
      <c r="R1170" s="21"/>
      <c r="S1170" s="21"/>
      <c r="T1170" s="21"/>
      <c r="U1170" s="21"/>
      <c r="V1170" s="21"/>
      <c r="W1170" s="21"/>
      <c r="X1170" s="21"/>
      <c r="Y1170" s="21"/>
      <c r="Z1170" s="21"/>
      <c r="AA1170" s="21"/>
      <c r="AB1170" s="21"/>
      <c r="AC1170" s="21"/>
      <c r="AD1170" s="21"/>
    </row>
    <row r="1171" spans="1:30">
      <c r="A1171" s="21"/>
      <c r="B1171" s="21"/>
      <c r="C1171" s="21"/>
      <c r="D1171" s="21"/>
      <c r="E1171" s="21"/>
      <c r="F1171" s="21"/>
      <c r="G1171" s="21"/>
      <c r="H1171" s="21"/>
      <c r="I1171" s="21"/>
      <c r="J1171" s="21"/>
      <c r="K1171" s="21"/>
      <c r="L1171" s="21"/>
      <c r="M1171" s="21"/>
      <c r="N1171" s="21"/>
      <c r="O1171" s="21"/>
      <c r="P1171" s="21"/>
      <c r="Q1171" s="21"/>
      <c r="R1171" s="21"/>
      <c r="S1171" s="21"/>
      <c r="T1171" s="21"/>
      <c r="U1171" s="21"/>
      <c r="V1171" s="21"/>
      <c r="W1171" s="21"/>
      <c r="X1171" s="21"/>
      <c r="Y1171" s="21"/>
      <c r="Z1171" s="21"/>
      <c r="AA1171" s="21"/>
      <c r="AB1171" s="21"/>
      <c r="AC1171" s="21"/>
      <c r="AD1171" s="21"/>
    </row>
    <row r="1172" spans="1:30">
      <c r="A1172" s="21"/>
      <c r="B1172" s="21"/>
      <c r="C1172" s="21"/>
      <c r="D1172" s="21"/>
      <c r="E1172" s="21"/>
      <c r="F1172" s="21"/>
      <c r="G1172" s="21"/>
      <c r="H1172" s="21"/>
      <c r="I1172" s="21"/>
      <c r="J1172" s="21"/>
      <c r="K1172" s="21"/>
      <c r="L1172" s="21"/>
      <c r="M1172" s="21"/>
      <c r="N1172" s="21"/>
      <c r="O1172" s="21"/>
      <c r="P1172" s="21"/>
      <c r="Q1172" s="21"/>
      <c r="R1172" s="21"/>
      <c r="S1172" s="21"/>
      <c r="T1172" s="21"/>
      <c r="U1172" s="21"/>
      <c r="V1172" s="21"/>
      <c r="W1172" s="21"/>
      <c r="X1172" s="21"/>
      <c r="Y1172" s="21"/>
      <c r="Z1172" s="21"/>
      <c r="AA1172" s="21"/>
      <c r="AB1172" s="21"/>
      <c r="AC1172" s="21"/>
      <c r="AD1172" s="21"/>
    </row>
    <row r="1173" spans="1:30">
      <c r="A1173" s="21"/>
      <c r="B1173" s="21"/>
      <c r="C1173" s="21"/>
      <c r="D1173" s="21"/>
      <c r="E1173" s="21"/>
      <c r="F1173" s="21"/>
      <c r="G1173" s="21"/>
      <c r="H1173" s="21"/>
      <c r="I1173" s="21"/>
      <c r="J1173" s="21"/>
      <c r="K1173" s="21"/>
      <c r="L1173" s="21"/>
      <c r="M1173" s="21"/>
      <c r="N1173" s="21"/>
      <c r="O1173" s="21"/>
      <c r="P1173" s="21"/>
      <c r="Q1173" s="21"/>
      <c r="R1173" s="21"/>
      <c r="S1173" s="21"/>
      <c r="T1173" s="21"/>
      <c r="U1173" s="21"/>
      <c r="V1173" s="21"/>
      <c r="W1173" s="21"/>
      <c r="X1173" s="21"/>
      <c r="Y1173" s="21"/>
      <c r="Z1173" s="21"/>
      <c r="AA1173" s="21"/>
      <c r="AB1173" s="21"/>
      <c r="AC1173" s="21"/>
      <c r="AD1173" s="21"/>
    </row>
    <row r="1174" spans="1:30">
      <c r="A1174" s="21"/>
      <c r="B1174" s="21"/>
      <c r="C1174" s="21"/>
      <c r="D1174" s="21"/>
      <c r="E1174" s="21"/>
      <c r="F1174" s="21"/>
      <c r="G1174" s="21"/>
      <c r="H1174" s="21"/>
      <c r="I1174" s="21"/>
      <c r="J1174" s="21"/>
      <c r="K1174" s="21"/>
      <c r="L1174" s="21"/>
      <c r="M1174" s="21"/>
      <c r="N1174" s="21"/>
      <c r="O1174" s="21"/>
      <c r="P1174" s="21"/>
      <c r="Q1174" s="21"/>
      <c r="R1174" s="21"/>
      <c r="S1174" s="21"/>
      <c r="T1174" s="21"/>
      <c r="U1174" s="21"/>
      <c r="V1174" s="21"/>
      <c r="W1174" s="21"/>
      <c r="X1174" s="21"/>
      <c r="Y1174" s="21"/>
      <c r="Z1174" s="21"/>
      <c r="AA1174" s="21"/>
      <c r="AB1174" s="21"/>
      <c r="AC1174" s="21"/>
      <c r="AD1174" s="21"/>
    </row>
    <row r="1175" spans="1:30">
      <c r="A1175" s="21"/>
      <c r="B1175" s="21"/>
      <c r="C1175" s="21"/>
      <c r="D1175" s="21"/>
      <c r="E1175" s="21"/>
      <c r="F1175" s="21"/>
      <c r="G1175" s="21"/>
      <c r="H1175" s="21"/>
      <c r="I1175" s="21"/>
      <c r="J1175" s="21"/>
      <c r="K1175" s="21"/>
      <c r="L1175" s="21"/>
      <c r="M1175" s="21"/>
      <c r="N1175" s="21"/>
      <c r="O1175" s="21"/>
      <c r="P1175" s="21"/>
      <c r="Q1175" s="21"/>
      <c r="R1175" s="21"/>
      <c r="S1175" s="21"/>
      <c r="T1175" s="21"/>
      <c r="U1175" s="21"/>
      <c r="V1175" s="21"/>
      <c r="W1175" s="21"/>
      <c r="X1175" s="21"/>
      <c r="Y1175" s="21"/>
      <c r="Z1175" s="21"/>
      <c r="AA1175" s="21"/>
      <c r="AB1175" s="21"/>
      <c r="AC1175" s="21"/>
      <c r="AD1175" s="21"/>
    </row>
    <row r="1176" spans="1:30">
      <c r="A1176" s="21"/>
      <c r="B1176" s="21"/>
      <c r="C1176" s="21"/>
      <c r="D1176" s="21"/>
      <c r="E1176" s="21"/>
      <c r="F1176" s="21"/>
      <c r="G1176" s="21"/>
      <c r="H1176" s="21"/>
      <c r="I1176" s="21"/>
      <c r="J1176" s="21"/>
      <c r="K1176" s="21"/>
      <c r="L1176" s="21"/>
      <c r="M1176" s="21"/>
      <c r="N1176" s="21"/>
      <c r="O1176" s="21"/>
      <c r="P1176" s="21"/>
      <c r="Q1176" s="21"/>
      <c r="R1176" s="21"/>
      <c r="S1176" s="21"/>
      <c r="T1176" s="21"/>
      <c r="U1176" s="21"/>
      <c r="V1176" s="21"/>
      <c r="W1176" s="21"/>
      <c r="X1176" s="21"/>
      <c r="Y1176" s="21"/>
      <c r="Z1176" s="21"/>
      <c r="AA1176" s="21"/>
      <c r="AB1176" s="21"/>
      <c r="AC1176" s="21"/>
      <c r="AD1176" s="21"/>
    </row>
    <row r="1177" spans="1:30">
      <c r="A1177" s="21"/>
      <c r="B1177" s="21"/>
      <c r="C1177" s="21"/>
      <c r="D1177" s="21"/>
      <c r="E1177" s="21"/>
      <c r="F1177" s="21"/>
      <c r="G1177" s="21"/>
      <c r="H1177" s="21"/>
      <c r="I1177" s="21"/>
      <c r="J1177" s="21"/>
      <c r="K1177" s="21"/>
      <c r="L1177" s="21"/>
      <c r="M1177" s="21"/>
      <c r="N1177" s="21"/>
      <c r="O1177" s="21"/>
      <c r="P1177" s="21"/>
      <c r="Q1177" s="21"/>
      <c r="R1177" s="21"/>
      <c r="S1177" s="21"/>
      <c r="T1177" s="21"/>
      <c r="U1177" s="21"/>
      <c r="V1177" s="21"/>
      <c r="W1177" s="21"/>
      <c r="X1177" s="21"/>
      <c r="Y1177" s="21"/>
      <c r="Z1177" s="21"/>
      <c r="AA1177" s="21"/>
      <c r="AB1177" s="21"/>
      <c r="AC1177" s="21"/>
      <c r="AD1177" s="21"/>
    </row>
    <row r="1178" spans="1:30">
      <c r="A1178" s="21"/>
      <c r="B1178" s="21"/>
      <c r="C1178" s="21"/>
      <c r="D1178" s="21"/>
      <c r="E1178" s="21"/>
      <c r="F1178" s="21"/>
      <c r="G1178" s="21"/>
      <c r="H1178" s="21"/>
      <c r="I1178" s="21"/>
      <c r="J1178" s="21"/>
      <c r="K1178" s="21"/>
      <c r="L1178" s="21"/>
      <c r="M1178" s="21"/>
      <c r="N1178" s="21"/>
      <c r="O1178" s="21"/>
      <c r="P1178" s="21"/>
      <c r="Q1178" s="21"/>
      <c r="R1178" s="21"/>
      <c r="S1178" s="21"/>
      <c r="T1178" s="21"/>
      <c r="U1178" s="21"/>
      <c r="V1178" s="21"/>
      <c r="W1178" s="21"/>
      <c r="X1178" s="21"/>
      <c r="Y1178" s="21"/>
      <c r="Z1178" s="21"/>
      <c r="AA1178" s="21"/>
      <c r="AB1178" s="21"/>
      <c r="AC1178" s="21"/>
      <c r="AD1178" s="21"/>
    </row>
    <row r="1179" spans="1:30">
      <c r="A1179" s="21"/>
      <c r="B1179" s="21"/>
      <c r="C1179" s="21"/>
      <c r="D1179" s="21"/>
      <c r="E1179" s="21"/>
      <c r="F1179" s="21"/>
      <c r="G1179" s="21"/>
      <c r="H1179" s="21"/>
      <c r="I1179" s="21"/>
      <c r="J1179" s="21"/>
      <c r="K1179" s="21"/>
      <c r="L1179" s="21"/>
      <c r="M1179" s="21"/>
      <c r="N1179" s="21"/>
      <c r="O1179" s="21"/>
      <c r="P1179" s="21"/>
      <c r="Q1179" s="21"/>
      <c r="R1179" s="21"/>
      <c r="S1179" s="21"/>
      <c r="T1179" s="21"/>
      <c r="U1179" s="21"/>
      <c r="V1179" s="21"/>
      <c r="W1179" s="21"/>
      <c r="X1179" s="21"/>
      <c r="Y1179" s="21"/>
      <c r="Z1179" s="21"/>
      <c r="AA1179" s="21"/>
      <c r="AB1179" s="21"/>
      <c r="AC1179" s="21"/>
      <c r="AD1179" s="21"/>
    </row>
    <row r="1180" spans="1:30">
      <c r="A1180" s="21"/>
      <c r="B1180" s="21"/>
      <c r="C1180" s="21"/>
      <c r="D1180" s="21"/>
      <c r="E1180" s="21"/>
      <c r="F1180" s="21"/>
      <c r="G1180" s="21"/>
      <c r="H1180" s="21"/>
      <c r="I1180" s="21"/>
      <c r="J1180" s="21"/>
      <c r="K1180" s="21"/>
      <c r="L1180" s="21"/>
      <c r="M1180" s="21"/>
      <c r="N1180" s="21"/>
      <c r="O1180" s="21"/>
      <c r="P1180" s="21"/>
      <c r="Q1180" s="21"/>
      <c r="R1180" s="21"/>
      <c r="S1180" s="21"/>
      <c r="T1180" s="21"/>
      <c r="U1180" s="21"/>
      <c r="V1180" s="21"/>
      <c r="W1180" s="21"/>
      <c r="X1180" s="21"/>
      <c r="Y1180" s="21"/>
      <c r="Z1180" s="21"/>
      <c r="AA1180" s="21"/>
      <c r="AB1180" s="21"/>
      <c r="AC1180" s="21"/>
      <c r="AD1180" s="21"/>
    </row>
    <row r="1181" spans="1:30">
      <c r="A1181" s="21"/>
      <c r="B1181" s="21"/>
      <c r="C1181" s="21"/>
      <c r="D1181" s="21"/>
      <c r="E1181" s="21"/>
      <c r="F1181" s="21"/>
      <c r="G1181" s="21"/>
      <c r="H1181" s="21"/>
      <c r="I1181" s="21"/>
      <c r="J1181" s="21"/>
      <c r="K1181" s="21"/>
      <c r="L1181" s="21"/>
      <c r="M1181" s="21"/>
      <c r="N1181" s="21"/>
      <c r="O1181" s="21"/>
      <c r="P1181" s="21"/>
      <c r="Q1181" s="21"/>
      <c r="R1181" s="21"/>
      <c r="S1181" s="21"/>
      <c r="T1181" s="21"/>
      <c r="U1181" s="21"/>
      <c r="V1181" s="21"/>
      <c r="W1181" s="21"/>
      <c r="X1181" s="21"/>
      <c r="Y1181" s="21"/>
      <c r="Z1181" s="21"/>
      <c r="AA1181" s="21"/>
      <c r="AB1181" s="21"/>
      <c r="AC1181" s="21"/>
      <c r="AD1181" s="21"/>
    </row>
    <row r="1182" spans="1:30">
      <c r="A1182" s="21"/>
      <c r="B1182" s="21"/>
      <c r="C1182" s="21"/>
      <c r="D1182" s="21"/>
      <c r="E1182" s="21"/>
      <c r="F1182" s="21"/>
      <c r="G1182" s="21"/>
      <c r="H1182" s="21"/>
      <c r="I1182" s="21"/>
      <c r="J1182" s="21"/>
      <c r="K1182" s="21"/>
      <c r="L1182" s="21"/>
      <c r="M1182" s="21"/>
      <c r="N1182" s="21"/>
      <c r="O1182" s="21"/>
      <c r="P1182" s="21"/>
      <c r="Q1182" s="21"/>
      <c r="R1182" s="21"/>
      <c r="S1182" s="21"/>
      <c r="T1182" s="21"/>
      <c r="U1182" s="21"/>
      <c r="V1182" s="21"/>
      <c r="W1182" s="21"/>
      <c r="X1182" s="21"/>
      <c r="Y1182" s="21"/>
      <c r="Z1182" s="21"/>
      <c r="AA1182" s="21"/>
      <c r="AB1182" s="21"/>
      <c r="AC1182" s="21"/>
      <c r="AD1182" s="21"/>
    </row>
    <row r="1183" spans="1:30">
      <c r="A1183" s="21"/>
      <c r="B1183" s="21"/>
      <c r="C1183" s="21"/>
      <c r="D1183" s="21"/>
      <c r="E1183" s="21"/>
      <c r="F1183" s="21"/>
      <c r="G1183" s="21"/>
      <c r="H1183" s="21"/>
      <c r="I1183" s="21"/>
      <c r="J1183" s="21"/>
      <c r="K1183" s="21"/>
      <c r="L1183" s="21"/>
      <c r="M1183" s="21"/>
      <c r="N1183" s="21"/>
      <c r="O1183" s="21"/>
      <c r="P1183" s="21"/>
      <c r="Q1183" s="21"/>
      <c r="R1183" s="21"/>
      <c r="S1183" s="21"/>
      <c r="T1183" s="21"/>
      <c r="U1183" s="21"/>
      <c r="V1183" s="21"/>
      <c r="W1183" s="21"/>
      <c r="X1183" s="21"/>
      <c r="Y1183" s="21"/>
      <c r="Z1183" s="21"/>
      <c r="AA1183" s="21"/>
      <c r="AB1183" s="21"/>
      <c r="AC1183" s="21"/>
      <c r="AD1183" s="21"/>
    </row>
    <row r="1184" spans="1:30">
      <c r="A1184" s="21"/>
      <c r="B1184" s="21"/>
      <c r="C1184" s="21"/>
      <c r="D1184" s="21"/>
      <c r="E1184" s="21"/>
      <c r="F1184" s="21"/>
      <c r="G1184" s="21"/>
      <c r="H1184" s="21"/>
      <c r="I1184" s="21"/>
      <c r="J1184" s="21"/>
      <c r="K1184" s="21"/>
      <c r="L1184" s="21"/>
      <c r="M1184" s="21"/>
      <c r="N1184" s="21"/>
      <c r="O1184" s="21"/>
      <c r="P1184" s="21"/>
      <c r="Q1184" s="21"/>
      <c r="R1184" s="21"/>
      <c r="S1184" s="21"/>
      <c r="T1184" s="21"/>
      <c r="U1184" s="21"/>
      <c r="V1184" s="21"/>
      <c r="W1184" s="21"/>
      <c r="X1184" s="21"/>
      <c r="Y1184" s="21"/>
      <c r="Z1184" s="21"/>
      <c r="AA1184" s="21"/>
      <c r="AB1184" s="21"/>
      <c r="AC1184" s="21"/>
      <c r="AD1184" s="21"/>
    </row>
    <row r="1185" spans="1:30">
      <c r="A1185" s="21"/>
      <c r="B1185" s="21"/>
      <c r="C1185" s="21"/>
      <c r="D1185" s="21"/>
      <c r="E1185" s="21"/>
      <c r="F1185" s="21"/>
      <c r="G1185" s="21"/>
      <c r="H1185" s="21"/>
      <c r="I1185" s="21"/>
      <c r="J1185" s="21"/>
      <c r="K1185" s="21"/>
      <c r="L1185" s="21"/>
      <c r="M1185" s="21"/>
      <c r="N1185" s="21"/>
      <c r="O1185" s="21"/>
      <c r="P1185" s="21"/>
      <c r="Q1185" s="21"/>
      <c r="R1185" s="21"/>
      <c r="S1185" s="21"/>
      <c r="T1185" s="21"/>
      <c r="U1185" s="21"/>
      <c r="V1185" s="21"/>
      <c r="W1185" s="21"/>
      <c r="X1185" s="21"/>
      <c r="Y1185" s="21"/>
      <c r="Z1185" s="21"/>
      <c r="AA1185" s="21"/>
      <c r="AB1185" s="21"/>
      <c r="AC1185" s="21"/>
      <c r="AD1185" s="21"/>
    </row>
    <row r="1186" spans="1:30">
      <c r="A1186" s="21"/>
      <c r="B1186" s="21"/>
      <c r="C1186" s="21"/>
      <c r="D1186" s="21"/>
      <c r="E1186" s="21"/>
      <c r="F1186" s="21"/>
      <c r="G1186" s="21"/>
      <c r="H1186" s="21"/>
      <c r="I1186" s="21"/>
      <c r="J1186" s="21"/>
      <c r="K1186" s="21"/>
      <c r="L1186" s="21"/>
      <c r="M1186" s="21"/>
      <c r="N1186" s="21"/>
      <c r="O1186" s="21"/>
      <c r="P1186" s="21"/>
      <c r="Q1186" s="21"/>
      <c r="R1186" s="21"/>
      <c r="S1186" s="21"/>
      <c r="T1186" s="21"/>
      <c r="U1186" s="21"/>
      <c r="V1186" s="21"/>
      <c r="W1186" s="21"/>
      <c r="X1186" s="21"/>
      <c r="Y1186" s="21"/>
      <c r="Z1186" s="21"/>
      <c r="AA1186" s="21"/>
      <c r="AB1186" s="21"/>
      <c r="AC1186" s="21"/>
      <c r="AD1186" s="21"/>
    </row>
    <row r="1187" spans="1:30">
      <c r="A1187" s="21"/>
      <c r="B1187" s="21"/>
      <c r="C1187" s="21"/>
      <c r="D1187" s="21"/>
      <c r="E1187" s="21"/>
      <c r="F1187" s="21"/>
      <c r="G1187" s="21"/>
      <c r="H1187" s="21"/>
      <c r="I1187" s="21"/>
      <c r="J1187" s="21"/>
      <c r="K1187" s="21"/>
      <c r="L1187" s="21"/>
      <c r="M1187" s="21"/>
      <c r="N1187" s="21"/>
      <c r="O1187" s="21"/>
      <c r="P1187" s="21"/>
      <c r="Q1187" s="21"/>
      <c r="R1187" s="21"/>
      <c r="S1187" s="21"/>
      <c r="T1187" s="21"/>
      <c r="U1187" s="21"/>
      <c r="V1187" s="21"/>
      <c r="W1187" s="21"/>
      <c r="X1187" s="21"/>
      <c r="Y1187" s="21"/>
      <c r="Z1187" s="21"/>
      <c r="AA1187" s="21"/>
      <c r="AB1187" s="21"/>
      <c r="AC1187" s="21"/>
      <c r="AD1187" s="21"/>
    </row>
    <row r="1188" spans="1:30">
      <c r="A1188" s="21"/>
      <c r="B1188" s="21"/>
      <c r="C1188" s="21"/>
      <c r="D1188" s="21"/>
      <c r="E1188" s="21"/>
      <c r="F1188" s="21"/>
      <c r="G1188" s="21"/>
      <c r="H1188" s="21"/>
      <c r="I1188" s="21"/>
      <c r="J1188" s="21"/>
      <c r="K1188" s="21"/>
      <c r="L1188" s="21"/>
      <c r="M1188" s="21"/>
      <c r="N1188" s="21"/>
      <c r="O1188" s="21"/>
      <c r="P1188" s="21"/>
      <c r="Q1188" s="21"/>
      <c r="R1188" s="21"/>
      <c r="S1188" s="21"/>
      <c r="T1188" s="21"/>
      <c r="U1188" s="21"/>
      <c r="V1188" s="21"/>
      <c r="W1188" s="21"/>
      <c r="X1188" s="21"/>
      <c r="Y1188" s="21"/>
      <c r="Z1188" s="21"/>
      <c r="AA1188" s="21"/>
      <c r="AB1188" s="21"/>
      <c r="AC1188" s="21"/>
      <c r="AD1188" s="21"/>
    </row>
    <row r="1189" spans="1:30">
      <c r="A1189" s="21"/>
      <c r="B1189" s="21"/>
      <c r="C1189" s="21"/>
      <c r="D1189" s="21"/>
      <c r="E1189" s="21"/>
      <c r="F1189" s="21"/>
      <c r="G1189" s="21"/>
      <c r="H1189" s="21"/>
      <c r="I1189" s="21"/>
      <c r="J1189" s="21"/>
      <c r="K1189" s="21"/>
      <c r="L1189" s="21"/>
      <c r="M1189" s="21"/>
      <c r="N1189" s="21"/>
      <c r="O1189" s="21"/>
      <c r="P1189" s="21"/>
      <c r="Q1189" s="21"/>
      <c r="R1189" s="21"/>
      <c r="S1189" s="21"/>
      <c r="T1189" s="21"/>
      <c r="U1189" s="21"/>
      <c r="V1189" s="21"/>
      <c r="W1189" s="21"/>
      <c r="X1189" s="21"/>
      <c r="Y1189" s="21"/>
      <c r="Z1189" s="21"/>
      <c r="AA1189" s="21"/>
      <c r="AB1189" s="21"/>
      <c r="AC1189" s="21"/>
      <c r="AD1189" s="21"/>
    </row>
    <row r="1190" spans="1:30">
      <c r="A1190" s="21"/>
      <c r="B1190" s="21"/>
      <c r="C1190" s="21"/>
      <c r="D1190" s="21"/>
      <c r="E1190" s="21"/>
      <c r="F1190" s="21"/>
      <c r="G1190" s="21"/>
      <c r="H1190" s="21"/>
      <c r="I1190" s="21"/>
      <c r="J1190" s="21"/>
      <c r="K1190" s="21"/>
      <c r="L1190" s="21"/>
      <c r="M1190" s="21"/>
      <c r="N1190" s="21"/>
      <c r="O1190" s="21"/>
      <c r="P1190" s="21"/>
      <c r="Q1190" s="21"/>
      <c r="R1190" s="21"/>
      <c r="S1190" s="21"/>
      <c r="T1190" s="21"/>
      <c r="U1190" s="21"/>
      <c r="V1190" s="21"/>
      <c r="W1190" s="21"/>
      <c r="X1190" s="21"/>
      <c r="Y1190" s="21"/>
      <c r="Z1190" s="21"/>
      <c r="AA1190" s="21"/>
      <c r="AB1190" s="21"/>
      <c r="AC1190" s="21"/>
      <c r="AD1190" s="21"/>
    </row>
    <row r="1191" spans="1:30">
      <c r="A1191" s="21"/>
      <c r="B1191" s="21"/>
      <c r="C1191" s="21"/>
      <c r="D1191" s="21"/>
      <c r="E1191" s="21"/>
      <c r="F1191" s="21"/>
      <c r="G1191" s="21"/>
      <c r="H1191" s="21"/>
      <c r="I1191" s="21"/>
      <c r="J1191" s="21"/>
      <c r="K1191" s="21"/>
      <c r="L1191" s="21"/>
      <c r="M1191" s="21"/>
      <c r="N1191" s="21"/>
      <c r="O1191" s="21"/>
      <c r="P1191" s="21"/>
      <c r="Q1191" s="21"/>
      <c r="R1191" s="21"/>
      <c r="S1191" s="21"/>
      <c r="T1191" s="21"/>
      <c r="U1191" s="21"/>
      <c r="V1191" s="21"/>
      <c r="W1191" s="21"/>
      <c r="X1191" s="21"/>
      <c r="Y1191" s="21"/>
      <c r="Z1191" s="21"/>
      <c r="AA1191" s="21"/>
      <c r="AB1191" s="21"/>
      <c r="AC1191" s="21"/>
      <c r="AD1191" s="21"/>
    </row>
    <row r="1192" spans="1:30">
      <c r="A1192" s="21"/>
      <c r="B1192" s="21"/>
      <c r="C1192" s="21"/>
      <c r="D1192" s="21"/>
      <c r="E1192" s="21"/>
      <c r="F1192" s="21"/>
      <c r="G1192" s="21"/>
      <c r="H1192" s="21"/>
      <c r="I1192" s="21"/>
      <c r="J1192" s="21"/>
      <c r="K1192" s="21"/>
      <c r="L1192" s="21"/>
      <c r="M1192" s="21"/>
      <c r="N1192" s="21"/>
      <c r="O1192" s="21"/>
      <c r="P1192" s="21"/>
      <c r="Q1192" s="21"/>
      <c r="R1192" s="21"/>
      <c r="S1192" s="21"/>
      <c r="T1192" s="21"/>
      <c r="U1192" s="21"/>
      <c r="V1192" s="21"/>
      <c r="W1192" s="21"/>
      <c r="X1192" s="21"/>
      <c r="Y1192" s="21"/>
      <c r="Z1192" s="21"/>
      <c r="AA1192" s="21"/>
      <c r="AB1192" s="21"/>
      <c r="AC1192" s="21"/>
      <c r="AD1192" s="21"/>
    </row>
    <row r="1193" spans="1:30">
      <c r="A1193" s="21"/>
      <c r="B1193" s="21"/>
      <c r="C1193" s="21"/>
      <c r="D1193" s="21"/>
      <c r="E1193" s="21"/>
      <c r="F1193" s="21"/>
      <c r="G1193" s="21"/>
      <c r="H1193" s="21"/>
      <c r="I1193" s="21"/>
      <c r="J1193" s="21"/>
      <c r="K1193" s="21"/>
      <c r="L1193" s="21"/>
      <c r="M1193" s="21"/>
      <c r="N1193" s="21"/>
      <c r="O1193" s="21"/>
      <c r="P1193" s="21"/>
      <c r="Q1193" s="21"/>
      <c r="R1193" s="21"/>
      <c r="S1193" s="21"/>
      <c r="T1193" s="21"/>
      <c r="U1193" s="21"/>
      <c r="V1193" s="21"/>
      <c r="W1193" s="21"/>
      <c r="X1193" s="21"/>
      <c r="Y1193" s="21"/>
      <c r="Z1193" s="21"/>
      <c r="AA1193" s="21"/>
      <c r="AB1193" s="21"/>
      <c r="AC1193" s="21"/>
      <c r="AD1193" s="21"/>
    </row>
    <row r="1194" spans="1:30">
      <c r="A1194" s="21"/>
      <c r="B1194" s="21"/>
      <c r="C1194" s="21"/>
      <c r="D1194" s="21"/>
      <c r="E1194" s="21"/>
      <c r="F1194" s="21"/>
      <c r="G1194" s="21"/>
      <c r="H1194" s="21"/>
      <c r="I1194" s="21"/>
      <c r="J1194" s="21"/>
      <c r="K1194" s="21"/>
      <c r="L1194" s="21"/>
      <c r="M1194" s="21"/>
      <c r="N1194" s="21"/>
      <c r="O1194" s="21"/>
      <c r="P1194" s="21"/>
      <c r="Q1194" s="21"/>
      <c r="R1194" s="21"/>
      <c r="S1194" s="21"/>
      <c r="T1194" s="21"/>
      <c r="U1194" s="21"/>
      <c r="V1194" s="21"/>
      <c r="W1194" s="21"/>
      <c r="X1194" s="21"/>
      <c r="Y1194" s="21"/>
      <c r="Z1194" s="21"/>
      <c r="AA1194" s="21"/>
      <c r="AB1194" s="21"/>
      <c r="AC1194" s="21"/>
      <c r="AD1194" s="21"/>
    </row>
    <row r="1195" spans="1:30">
      <c r="A1195" s="21"/>
      <c r="B1195" s="21"/>
      <c r="C1195" s="21"/>
      <c r="D1195" s="21"/>
      <c r="E1195" s="21"/>
      <c r="F1195" s="21"/>
      <c r="G1195" s="21"/>
      <c r="H1195" s="21"/>
      <c r="I1195" s="21"/>
      <c r="J1195" s="21"/>
      <c r="K1195" s="21"/>
      <c r="L1195" s="21"/>
      <c r="M1195" s="21"/>
      <c r="N1195" s="21"/>
      <c r="O1195" s="21"/>
      <c r="P1195" s="21"/>
      <c r="Q1195" s="21"/>
      <c r="R1195" s="21"/>
      <c r="S1195" s="21"/>
      <c r="T1195" s="21"/>
      <c r="U1195" s="21"/>
      <c r="V1195" s="21"/>
      <c r="W1195" s="21"/>
      <c r="X1195" s="21"/>
      <c r="Y1195" s="21"/>
      <c r="Z1195" s="21"/>
      <c r="AA1195" s="21"/>
      <c r="AB1195" s="21"/>
      <c r="AC1195" s="21"/>
      <c r="AD1195" s="21"/>
    </row>
    <row r="1196" spans="1:30">
      <c r="A1196" s="21"/>
      <c r="B1196" s="21"/>
      <c r="C1196" s="21"/>
      <c r="D1196" s="21"/>
      <c r="E1196" s="21"/>
      <c r="F1196" s="21"/>
      <c r="G1196" s="21"/>
      <c r="H1196" s="21"/>
      <c r="I1196" s="21"/>
      <c r="J1196" s="21"/>
      <c r="K1196" s="21"/>
      <c r="L1196" s="21"/>
      <c r="M1196" s="21"/>
      <c r="N1196" s="21"/>
      <c r="O1196" s="21"/>
      <c r="P1196" s="21"/>
      <c r="Q1196" s="21"/>
      <c r="R1196" s="21"/>
      <c r="S1196" s="21"/>
      <c r="T1196" s="21"/>
      <c r="U1196" s="21"/>
      <c r="V1196" s="21"/>
      <c r="W1196" s="21"/>
      <c r="X1196" s="21"/>
      <c r="Y1196" s="21"/>
      <c r="Z1196" s="21"/>
      <c r="AA1196" s="21"/>
      <c r="AB1196" s="21"/>
      <c r="AC1196" s="21"/>
      <c r="AD1196" s="21"/>
    </row>
    <row r="1197" spans="1:30">
      <c r="A1197" s="21"/>
      <c r="B1197" s="21"/>
      <c r="C1197" s="21"/>
      <c r="D1197" s="21"/>
      <c r="E1197" s="21"/>
      <c r="F1197" s="21"/>
      <c r="G1197" s="21"/>
      <c r="H1197" s="21"/>
      <c r="I1197" s="21"/>
      <c r="J1197" s="21"/>
      <c r="K1197" s="21"/>
      <c r="L1197" s="21"/>
      <c r="M1197" s="21"/>
      <c r="N1197" s="21"/>
      <c r="O1197" s="21"/>
      <c r="P1197" s="21"/>
      <c r="Q1197" s="21"/>
      <c r="R1197" s="21"/>
      <c r="S1197" s="21"/>
      <c r="T1197" s="21"/>
      <c r="U1197" s="21"/>
      <c r="V1197" s="21"/>
      <c r="W1197" s="21"/>
      <c r="X1197" s="21"/>
      <c r="Y1197" s="21"/>
      <c r="Z1197" s="21"/>
      <c r="AA1197" s="21"/>
      <c r="AB1197" s="21"/>
      <c r="AC1197" s="21"/>
      <c r="AD1197" s="21"/>
    </row>
    <row r="1198" spans="1:30">
      <c r="A1198" s="21"/>
      <c r="B1198" s="21"/>
      <c r="C1198" s="21"/>
      <c r="D1198" s="21"/>
      <c r="E1198" s="21"/>
      <c r="F1198" s="21"/>
      <c r="G1198" s="21"/>
      <c r="H1198" s="21"/>
      <c r="I1198" s="21"/>
      <c r="J1198" s="21"/>
      <c r="K1198" s="21"/>
      <c r="L1198" s="21"/>
      <c r="M1198" s="21"/>
      <c r="N1198" s="21"/>
      <c r="O1198" s="21"/>
      <c r="P1198" s="21"/>
      <c r="Q1198" s="21"/>
      <c r="R1198" s="21"/>
      <c r="S1198" s="21"/>
      <c r="T1198" s="21"/>
      <c r="U1198" s="21"/>
      <c r="V1198" s="21"/>
      <c r="W1198" s="21"/>
      <c r="X1198" s="21"/>
      <c r="Y1198" s="21"/>
      <c r="Z1198" s="21"/>
      <c r="AA1198" s="21"/>
      <c r="AB1198" s="21"/>
      <c r="AC1198" s="21"/>
      <c r="AD1198" s="21"/>
    </row>
    <row r="1199" spans="1:30">
      <c r="A1199" s="21"/>
      <c r="B1199" s="21"/>
      <c r="C1199" s="21"/>
      <c r="D1199" s="21"/>
      <c r="E1199" s="21"/>
      <c r="F1199" s="21"/>
      <c r="G1199" s="21"/>
      <c r="H1199" s="21"/>
      <c r="I1199" s="21"/>
      <c r="J1199" s="21"/>
      <c r="K1199" s="21"/>
      <c r="L1199" s="21"/>
      <c r="M1199" s="21"/>
      <c r="N1199" s="21"/>
      <c r="O1199" s="21"/>
      <c r="P1199" s="21"/>
      <c r="Q1199" s="21"/>
      <c r="R1199" s="21"/>
      <c r="S1199" s="21"/>
      <c r="T1199" s="21"/>
      <c r="U1199" s="21"/>
      <c r="V1199" s="21"/>
      <c r="W1199" s="21"/>
      <c r="X1199" s="21"/>
      <c r="Y1199" s="21"/>
      <c r="Z1199" s="21"/>
      <c r="AA1199" s="21"/>
      <c r="AB1199" s="21"/>
      <c r="AC1199" s="21"/>
      <c r="AD1199" s="21"/>
    </row>
    <row r="1200" spans="1:30">
      <c r="A1200" s="21"/>
      <c r="B1200" s="21"/>
      <c r="C1200" s="21"/>
      <c r="D1200" s="21"/>
      <c r="E1200" s="21"/>
      <c r="F1200" s="21"/>
      <c r="G1200" s="21"/>
      <c r="H1200" s="21"/>
      <c r="I1200" s="21"/>
      <c r="J1200" s="21"/>
      <c r="K1200" s="21"/>
      <c r="L1200" s="21"/>
      <c r="M1200" s="21"/>
      <c r="N1200" s="21"/>
      <c r="O1200" s="21"/>
      <c r="P1200" s="21"/>
      <c r="Q1200" s="21"/>
      <c r="R1200" s="21"/>
      <c r="S1200" s="21"/>
      <c r="T1200" s="21"/>
      <c r="U1200" s="21"/>
      <c r="V1200" s="21"/>
      <c r="W1200" s="21"/>
      <c r="X1200" s="21"/>
      <c r="Y1200" s="21"/>
      <c r="Z1200" s="21"/>
      <c r="AA1200" s="21"/>
      <c r="AB1200" s="21"/>
      <c r="AC1200" s="21"/>
      <c r="AD1200" s="21"/>
    </row>
    <row r="1201" spans="1:30">
      <c r="A1201" s="21"/>
      <c r="B1201" s="21"/>
      <c r="C1201" s="21"/>
      <c r="D1201" s="21"/>
      <c r="E1201" s="21"/>
      <c r="F1201" s="21"/>
      <c r="G1201" s="21"/>
      <c r="H1201" s="21"/>
      <c r="I1201" s="21"/>
      <c r="J1201" s="21"/>
      <c r="K1201" s="21"/>
      <c r="L1201" s="21"/>
      <c r="M1201" s="21"/>
      <c r="N1201" s="21"/>
      <c r="O1201" s="21"/>
      <c r="P1201" s="21"/>
      <c r="Q1201" s="21"/>
      <c r="R1201" s="21"/>
      <c r="S1201" s="21"/>
      <c r="T1201" s="21"/>
      <c r="U1201" s="21"/>
      <c r="V1201" s="21"/>
      <c r="W1201" s="21"/>
      <c r="X1201" s="21"/>
      <c r="Y1201" s="21"/>
      <c r="Z1201" s="21"/>
      <c r="AA1201" s="21"/>
      <c r="AB1201" s="21"/>
      <c r="AC1201" s="21"/>
      <c r="AD1201" s="21"/>
    </row>
    <row r="1202" spans="1:30">
      <c r="A1202" s="21"/>
      <c r="B1202" s="21"/>
      <c r="C1202" s="21"/>
      <c r="D1202" s="21"/>
      <c r="E1202" s="21"/>
      <c r="F1202" s="21"/>
      <c r="G1202" s="21"/>
      <c r="H1202" s="21"/>
      <c r="I1202" s="21"/>
      <c r="J1202" s="21"/>
      <c r="K1202" s="21"/>
      <c r="L1202" s="21"/>
      <c r="M1202" s="21"/>
      <c r="N1202" s="21"/>
      <c r="O1202" s="21"/>
      <c r="P1202" s="21"/>
      <c r="Q1202" s="21"/>
      <c r="R1202" s="21"/>
      <c r="S1202" s="21"/>
      <c r="T1202" s="21"/>
      <c r="U1202" s="21"/>
      <c r="V1202" s="21"/>
      <c r="W1202" s="21"/>
      <c r="X1202" s="21"/>
      <c r="Y1202" s="21"/>
      <c r="Z1202" s="21"/>
      <c r="AA1202" s="21"/>
      <c r="AB1202" s="21"/>
      <c r="AC1202" s="21"/>
      <c r="AD1202" s="21"/>
    </row>
    <row r="1203" spans="1:30">
      <c r="A1203" s="21"/>
      <c r="B1203" s="21"/>
      <c r="C1203" s="21"/>
      <c r="D1203" s="21"/>
      <c r="E1203" s="21"/>
      <c r="F1203" s="21"/>
      <c r="G1203" s="21"/>
      <c r="H1203" s="21"/>
      <c r="I1203" s="21"/>
      <c r="J1203" s="21"/>
      <c r="K1203" s="21"/>
      <c r="L1203" s="21"/>
      <c r="M1203" s="21"/>
      <c r="N1203" s="21"/>
      <c r="O1203" s="21"/>
      <c r="P1203" s="21"/>
      <c r="Q1203" s="21"/>
      <c r="R1203" s="21"/>
      <c r="S1203" s="21"/>
      <c r="T1203" s="21"/>
      <c r="U1203" s="21"/>
      <c r="V1203" s="21"/>
      <c r="W1203" s="21"/>
      <c r="X1203" s="21"/>
      <c r="Y1203" s="21"/>
      <c r="Z1203" s="21"/>
      <c r="AA1203" s="21"/>
      <c r="AB1203" s="21"/>
      <c r="AC1203" s="21"/>
      <c r="AD1203" s="21"/>
    </row>
    <row r="1204" spans="1:30">
      <c r="A1204" s="21"/>
      <c r="B1204" s="21"/>
      <c r="C1204" s="21"/>
      <c r="D1204" s="21"/>
      <c r="E1204" s="21"/>
      <c r="F1204" s="21"/>
      <c r="G1204" s="21"/>
      <c r="H1204" s="21"/>
      <c r="I1204" s="21"/>
      <c r="J1204" s="21"/>
      <c r="K1204" s="21"/>
      <c r="L1204" s="21"/>
      <c r="M1204" s="21"/>
      <c r="N1204" s="21"/>
      <c r="O1204" s="21"/>
      <c r="P1204" s="21"/>
      <c r="Q1204" s="21"/>
      <c r="R1204" s="21"/>
      <c r="S1204" s="21"/>
      <c r="T1204" s="21"/>
      <c r="U1204" s="21"/>
      <c r="V1204" s="21"/>
      <c r="W1204" s="21"/>
      <c r="X1204" s="21"/>
      <c r="Y1204" s="21"/>
      <c r="Z1204" s="21"/>
      <c r="AA1204" s="21"/>
      <c r="AB1204" s="21"/>
      <c r="AC1204" s="21"/>
      <c r="AD1204" s="21"/>
    </row>
    <row r="1205" spans="1:30">
      <c r="A1205" s="21"/>
      <c r="B1205" s="21"/>
      <c r="C1205" s="21"/>
      <c r="D1205" s="21"/>
      <c r="E1205" s="21"/>
      <c r="F1205" s="21"/>
      <c r="G1205" s="21"/>
      <c r="H1205" s="21"/>
      <c r="I1205" s="21"/>
      <c r="J1205" s="21"/>
      <c r="K1205" s="21"/>
      <c r="L1205" s="21"/>
      <c r="M1205" s="21"/>
      <c r="N1205" s="21"/>
      <c r="O1205" s="21"/>
      <c r="P1205" s="21"/>
      <c r="Q1205" s="21"/>
      <c r="R1205" s="21"/>
      <c r="S1205" s="21"/>
      <c r="T1205" s="21"/>
      <c r="U1205" s="21"/>
      <c r="V1205" s="21"/>
      <c r="W1205" s="21"/>
      <c r="X1205" s="21"/>
      <c r="Y1205" s="21"/>
      <c r="Z1205" s="21"/>
      <c r="AA1205" s="21"/>
      <c r="AB1205" s="21"/>
      <c r="AC1205" s="21"/>
      <c r="AD1205" s="21"/>
    </row>
    <row r="1206" spans="1:30">
      <c r="A1206" s="21"/>
      <c r="B1206" s="21"/>
      <c r="C1206" s="21"/>
      <c r="D1206" s="21"/>
      <c r="E1206" s="21"/>
      <c r="F1206" s="21"/>
      <c r="G1206" s="21"/>
      <c r="H1206" s="21"/>
      <c r="I1206" s="21"/>
      <c r="J1206" s="21"/>
      <c r="K1206" s="21"/>
      <c r="L1206" s="21"/>
      <c r="M1206" s="21"/>
      <c r="N1206" s="21"/>
      <c r="O1206" s="21"/>
      <c r="P1206" s="21"/>
      <c r="Q1206" s="21"/>
      <c r="R1206" s="21"/>
      <c r="S1206" s="21"/>
      <c r="T1206" s="21"/>
      <c r="U1206" s="21"/>
      <c r="V1206" s="21"/>
      <c r="W1206" s="21"/>
      <c r="X1206" s="21"/>
      <c r="Y1206" s="21"/>
      <c r="Z1206" s="21"/>
      <c r="AA1206" s="21"/>
      <c r="AB1206" s="21"/>
      <c r="AC1206" s="21"/>
      <c r="AD1206" s="21"/>
    </row>
    <row r="1207" spans="1:30">
      <c r="A1207" s="21"/>
      <c r="B1207" s="21"/>
      <c r="C1207" s="21"/>
      <c r="D1207" s="21"/>
      <c r="E1207" s="21"/>
      <c r="F1207" s="21"/>
      <c r="G1207" s="21"/>
      <c r="H1207" s="21"/>
      <c r="I1207" s="21"/>
      <c r="J1207" s="21"/>
      <c r="K1207" s="21"/>
      <c r="L1207" s="21"/>
      <c r="M1207" s="21"/>
      <c r="N1207" s="21"/>
      <c r="O1207" s="21"/>
      <c r="P1207" s="21"/>
      <c r="Q1207" s="21"/>
      <c r="R1207" s="21"/>
      <c r="S1207" s="21"/>
      <c r="T1207" s="21"/>
      <c r="U1207" s="21"/>
      <c r="V1207" s="21"/>
      <c r="W1207" s="21"/>
      <c r="X1207" s="21"/>
      <c r="Y1207" s="21"/>
      <c r="Z1207" s="21"/>
      <c r="AA1207" s="21"/>
      <c r="AB1207" s="21"/>
      <c r="AC1207" s="21"/>
      <c r="AD1207" s="21"/>
    </row>
    <row r="1208" spans="1:30">
      <c r="A1208" s="21"/>
      <c r="B1208" s="21"/>
      <c r="C1208" s="21"/>
      <c r="D1208" s="21"/>
      <c r="E1208" s="21"/>
      <c r="F1208" s="21"/>
      <c r="G1208" s="21"/>
      <c r="H1208" s="21"/>
      <c r="I1208" s="21"/>
      <c r="J1208" s="21"/>
      <c r="K1208" s="21"/>
      <c r="L1208" s="21"/>
      <c r="M1208" s="21"/>
      <c r="N1208" s="21"/>
      <c r="O1208" s="21"/>
      <c r="P1208" s="21"/>
      <c r="Q1208" s="21"/>
      <c r="R1208" s="21"/>
      <c r="S1208" s="21"/>
      <c r="T1208" s="21"/>
      <c r="U1208" s="21"/>
      <c r="V1208" s="21"/>
      <c r="W1208" s="21"/>
      <c r="X1208" s="21"/>
      <c r="Y1208" s="21"/>
      <c r="Z1208" s="21"/>
      <c r="AA1208" s="21"/>
      <c r="AB1208" s="21"/>
      <c r="AC1208" s="21"/>
      <c r="AD1208" s="21"/>
    </row>
    <row r="1209" spans="1:30">
      <c r="A1209" s="21"/>
      <c r="B1209" s="21"/>
      <c r="C1209" s="21"/>
      <c r="D1209" s="21"/>
      <c r="E1209" s="21"/>
      <c r="F1209" s="21"/>
      <c r="G1209" s="21"/>
      <c r="H1209" s="21"/>
      <c r="I1209" s="21"/>
      <c r="J1209" s="21"/>
      <c r="K1209" s="21"/>
      <c r="L1209" s="21"/>
      <c r="M1209" s="21"/>
      <c r="N1209" s="21"/>
      <c r="O1209" s="21"/>
      <c r="P1209" s="21"/>
      <c r="Q1209" s="21"/>
      <c r="R1209" s="21"/>
      <c r="S1209" s="21"/>
      <c r="T1209" s="21"/>
      <c r="U1209" s="21"/>
      <c r="V1209" s="21"/>
      <c r="W1209" s="21"/>
      <c r="X1209" s="21"/>
      <c r="Y1209" s="21"/>
      <c r="Z1209" s="21"/>
      <c r="AA1209" s="21"/>
      <c r="AB1209" s="21"/>
      <c r="AC1209" s="21"/>
      <c r="AD1209" s="21"/>
    </row>
    <row r="1210" spans="1:30">
      <c r="A1210" s="21"/>
      <c r="B1210" s="21"/>
      <c r="C1210" s="21"/>
      <c r="D1210" s="21"/>
      <c r="E1210" s="21"/>
      <c r="F1210" s="21"/>
      <c r="G1210" s="21"/>
      <c r="H1210" s="21"/>
      <c r="I1210" s="21"/>
      <c r="J1210" s="21"/>
      <c r="K1210" s="21"/>
      <c r="L1210" s="21"/>
      <c r="M1210" s="21"/>
      <c r="N1210" s="21"/>
      <c r="O1210" s="21"/>
      <c r="P1210" s="21"/>
      <c r="Q1210" s="21"/>
      <c r="R1210" s="21"/>
      <c r="S1210" s="21"/>
      <c r="T1210" s="21"/>
      <c r="U1210" s="21"/>
      <c r="V1210" s="21"/>
      <c r="W1210" s="21"/>
      <c r="X1210" s="21"/>
      <c r="Y1210" s="21"/>
      <c r="Z1210" s="21"/>
      <c r="AA1210" s="21"/>
      <c r="AB1210" s="21"/>
      <c r="AC1210" s="21"/>
      <c r="AD1210" s="21"/>
    </row>
    <row r="1211" spans="1:30">
      <c r="A1211" s="21"/>
      <c r="B1211" s="21"/>
      <c r="C1211" s="21"/>
      <c r="D1211" s="21"/>
      <c r="E1211" s="21"/>
      <c r="F1211" s="21"/>
      <c r="G1211" s="21"/>
      <c r="H1211" s="21"/>
      <c r="I1211" s="21"/>
      <c r="J1211" s="21"/>
      <c r="K1211" s="21"/>
      <c r="L1211" s="21"/>
      <c r="M1211" s="21"/>
      <c r="N1211" s="21"/>
      <c r="O1211" s="21"/>
      <c r="P1211" s="21"/>
      <c r="Q1211" s="21"/>
      <c r="R1211" s="21"/>
      <c r="S1211" s="21"/>
      <c r="T1211" s="21"/>
      <c r="U1211" s="21"/>
      <c r="V1211" s="21"/>
      <c r="W1211" s="21"/>
      <c r="X1211" s="21"/>
      <c r="Y1211" s="21"/>
      <c r="Z1211" s="21"/>
      <c r="AA1211" s="21"/>
      <c r="AB1211" s="21"/>
      <c r="AC1211" s="21"/>
      <c r="AD1211" s="21"/>
    </row>
    <row r="1212" spans="1:30">
      <c r="A1212" s="21"/>
      <c r="B1212" s="21"/>
      <c r="C1212" s="21"/>
      <c r="D1212" s="21"/>
      <c r="E1212" s="21"/>
      <c r="F1212" s="21"/>
      <c r="G1212" s="21"/>
      <c r="H1212" s="21"/>
      <c r="I1212" s="21"/>
      <c r="J1212" s="21"/>
      <c r="K1212" s="21"/>
      <c r="L1212" s="21"/>
      <c r="M1212" s="21"/>
      <c r="N1212" s="21"/>
      <c r="O1212" s="21"/>
      <c r="P1212" s="21"/>
      <c r="Q1212" s="21"/>
      <c r="R1212" s="21"/>
      <c r="S1212" s="21"/>
      <c r="T1212" s="21"/>
      <c r="U1212" s="21"/>
      <c r="V1212" s="21"/>
      <c r="W1212" s="21"/>
      <c r="X1212" s="21"/>
      <c r="Y1212" s="21"/>
      <c r="Z1212" s="21"/>
      <c r="AA1212" s="21"/>
      <c r="AB1212" s="21"/>
      <c r="AC1212" s="21"/>
      <c r="AD1212" s="21"/>
    </row>
    <row r="1213" spans="1:30">
      <c r="A1213" s="21"/>
      <c r="B1213" s="21"/>
      <c r="C1213" s="21"/>
      <c r="D1213" s="21"/>
      <c r="E1213" s="21"/>
      <c r="F1213" s="21"/>
      <c r="G1213" s="21"/>
      <c r="H1213" s="21"/>
      <c r="I1213" s="21"/>
      <c r="J1213" s="21"/>
      <c r="K1213" s="21"/>
      <c r="L1213" s="21"/>
      <c r="M1213" s="21"/>
      <c r="N1213" s="21"/>
      <c r="O1213" s="21"/>
      <c r="P1213" s="21"/>
      <c r="Q1213" s="21"/>
      <c r="R1213" s="21"/>
      <c r="S1213" s="21"/>
      <c r="T1213" s="21"/>
      <c r="U1213" s="21"/>
      <c r="V1213" s="21"/>
      <c r="W1213" s="21"/>
      <c r="X1213" s="21"/>
      <c r="Y1213" s="21"/>
      <c r="Z1213" s="21"/>
      <c r="AA1213" s="21"/>
      <c r="AB1213" s="21"/>
      <c r="AC1213" s="21"/>
      <c r="AD1213" s="21"/>
    </row>
    <row r="1214" spans="1:30">
      <c r="A1214" s="21"/>
      <c r="B1214" s="21"/>
      <c r="C1214" s="21"/>
      <c r="D1214" s="21"/>
      <c r="E1214" s="21"/>
      <c r="F1214" s="21"/>
      <c r="G1214" s="21"/>
      <c r="H1214" s="21"/>
      <c r="I1214" s="21"/>
      <c r="J1214" s="21"/>
      <c r="K1214" s="21"/>
      <c r="L1214" s="21"/>
      <c r="M1214" s="21"/>
      <c r="N1214" s="21"/>
      <c r="O1214" s="21"/>
      <c r="P1214" s="21"/>
      <c r="Q1214" s="21"/>
      <c r="R1214" s="21"/>
      <c r="S1214" s="21"/>
      <c r="T1214" s="21"/>
      <c r="U1214" s="21"/>
      <c r="V1214" s="21"/>
      <c r="W1214" s="21"/>
      <c r="X1214" s="21"/>
      <c r="Y1214" s="21"/>
      <c r="Z1214" s="21"/>
      <c r="AA1214" s="21"/>
      <c r="AB1214" s="21"/>
      <c r="AC1214" s="21"/>
      <c r="AD1214" s="21"/>
    </row>
    <row r="1215" spans="1:30">
      <c r="A1215" s="21"/>
      <c r="B1215" s="21"/>
      <c r="C1215" s="21"/>
      <c r="D1215" s="21"/>
      <c r="E1215" s="21"/>
      <c r="F1215" s="21"/>
      <c r="G1215" s="21"/>
      <c r="H1215" s="21"/>
      <c r="I1215" s="21"/>
      <c r="J1215" s="21"/>
      <c r="K1215" s="21"/>
      <c r="L1215" s="21"/>
      <c r="M1215" s="21"/>
      <c r="N1215" s="21"/>
      <c r="O1215" s="21"/>
      <c r="P1215" s="21"/>
      <c r="Q1215" s="21"/>
      <c r="R1215" s="21"/>
      <c r="S1215" s="21"/>
      <c r="T1215" s="21"/>
      <c r="U1215" s="21"/>
      <c r="V1215" s="21"/>
      <c r="W1215" s="21"/>
      <c r="X1215" s="21"/>
      <c r="Y1215" s="21"/>
      <c r="Z1215" s="21"/>
      <c r="AA1215" s="21"/>
      <c r="AB1215" s="21"/>
      <c r="AC1215" s="21"/>
      <c r="AD1215" s="21"/>
    </row>
    <row r="1216" spans="1:30">
      <c r="A1216" s="21"/>
      <c r="B1216" s="21"/>
      <c r="C1216" s="21"/>
      <c r="D1216" s="21"/>
      <c r="E1216" s="21"/>
      <c r="F1216" s="21"/>
      <c r="G1216" s="21"/>
      <c r="H1216" s="21"/>
      <c r="I1216" s="21"/>
      <c r="J1216" s="21"/>
      <c r="K1216" s="21"/>
      <c r="L1216" s="21"/>
      <c r="M1216" s="21"/>
      <c r="N1216" s="21"/>
      <c r="O1216" s="21"/>
      <c r="P1216" s="21"/>
      <c r="Q1216" s="21"/>
      <c r="R1216" s="21"/>
      <c r="S1216" s="21"/>
      <c r="T1216" s="21"/>
      <c r="U1216" s="21"/>
      <c r="V1216" s="21"/>
      <c r="W1216" s="21"/>
      <c r="X1216" s="21"/>
      <c r="Y1216" s="21"/>
      <c r="Z1216" s="21"/>
      <c r="AA1216" s="21"/>
      <c r="AB1216" s="21"/>
      <c r="AC1216" s="21"/>
      <c r="AD1216" s="21"/>
    </row>
    <row r="1217" spans="1:30">
      <c r="A1217" s="21"/>
      <c r="B1217" s="21"/>
      <c r="C1217" s="21"/>
      <c r="D1217" s="21"/>
      <c r="E1217" s="21"/>
      <c r="F1217" s="21"/>
      <c r="G1217" s="21"/>
      <c r="H1217" s="21"/>
      <c r="I1217" s="21"/>
      <c r="J1217" s="21"/>
      <c r="K1217" s="21"/>
      <c r="L1217" s="21"/>
      <c r="M1217" s="21"/>
      <c r="N1217" s="21"/>
      <c r="O1217" s="21"/>
      <c r="P1217" s="21"/>
      <c r="Q1217" s="21"/>
      <c r="R1217" s="21"/>
      <c r="S1217" s="21"/>
      <c r="T1217" s="21"/>
      <c r="U1217" s="21"/>
      <c r="V1217" s="21"/>
      <c r="W1217" s="21"/>
      <c r="X1217" s="21"/>
      <c r="Y1217" s="21"/>
      <c r="Z1217" s="21"/>
      <c r="AA1217" s="21"/>
      <c r="AB1217" s="21"/>
      <c r="AC1217" s="21"/>
      <c r="AD1217" s="21"/>
    </row>
    <row r="1218" spans="1:30">
      <c r="A1218" s="21"/>
      <c r="B1218" s="21"/>
      <c r="C1218" s="21"/>
      <c r="D1218" s="21"/>
      <c r="E1218" s="21"/>
      <c r="F1218" s="21"/>
      <c r="G1218" s="21"/>
      <c r="H1218" s="21"/>
      <c r="I1218" s="21"/>
      <c r="J1218" s="21"/>
      <c r="K1218" s="21"/>
      <c r="L1218" s="21"/>
      <c r="M1218" s="21"/>
      <c r="N1218" s="21"/>
      <c r="O1218" s="21"/>
      <c r="P1218" s="21"/>
      <c r="Q1218" s="21"/>
      <c r="R1218" s="21"/>
      <c r="S1218" s="21"/>
      <c r="T1218" s="21"/>
      <c r="U1218" s="21"/>
      <c r="V1218" s="21"/>
      <c r="W1218" s="21"/>
      <c r="X1218" s="21"/>
      <c r="Y1218" s="21"/>
      <c r="Z1218" s="21"/>
      <c r="AA1218" s="21"/>
      <c r="AB1218" s="21"/>
      <c r="AC1218" s="21"/>
      <c r="AD1218" s="21"/>
    </row>
    <row r="1219" spans="1:30">
      <c r="A1219" s="21"/>
      <c r="B1219" s="21"/>
      <c r="C1219" s="21"/>
      <c r="D1219" s="21"/>
      <c r="E1219" s="21"/>
      <c r="F1219" s="21"/>
      <c r="G1219" s="21"/>
      <c r="H1219" s="21"/>
      <c r="I1219" s="21"/>
      <c r="J1219" s="21"/>
      <c r="K1219" s="21"/>
      <c r="L1219" s="21"/>
      <c r="M1219" s="21"/>
      <c r="N1219" s="21"/>
      <c r="O1219" s="21"/>
      <c r="P1219" s="21"/>
      <c r="Q1219" s="21"/>
      <c r="R1219" s="21"/>
      <c r="S1219" s="21"/>
      <c r="T1219" s="21"/>
      <c r="U1219" s="21"/>
      <c r="V1219" s="21"/>
      <c r="W1219" s="21"/>
      <c r="X1219" s="21"/>
      <c r="Y1219" s="21"/>
      <c r="Z1219" s="21"/>
      <c r="AA1219" s="21"/>
      <c r="AB1219" s="21"/>
      <c r="AC1219" s="21"/>
      <c r="AD1219" s="21"/>
    </row>
    <row r="1220" spans="1:30">
      <c r="A1220" s="21"/>
      <c r="B1220" s="21"/>
      <c r="C1220" s="21"/>
      <c r="D1220" s="21"/>
      <c r="E1220" s="21"/>
      <c r="F1220" s="21"/>
      <c r="G1220" s="21"/>
      <c r="H1220" s="21"/>
      <c r="I1220" s="21"/>
      <c r="J1220" s="21"/>
      <c r="K1220" s="21"/>
      <c r="L1220" s="21"/>
      <c r="M1220" s="21"/>
      <c r="N1220" s="21"/>
      <c r="O1220" s="21"/>
      <c r="P1220" s="21"/>
      <c r="Q1220" s="21"/>
      <c r="R1220" s="21"/>
      <c r="S1220" s="21"/>
      <c r="T1220" s="21"/>
      <c r="U1220" s="21"/>
      <c r="V1220" s="21"/>
      <c r="W1220" s="21"/>
      <c r="X1220" s="21"/>
      <c r="Y1220" s="21"/>
      <c r="Z1220" s="21"/>
      <c r="AA1220" s="21"/>
      <c r="AB1220" s="21"/>
      <c r="AC1220" s="21"/>
      <c r="AD1220" s="21"/>
    </row>
    <row r="1221" spans="1:30">
      <c r="A1221" s="21"/>
      <c r="B1221" s="21"/>
      <c r="C1221" s="21"/>
      <c r="D1221" s="21"/>
      <c r="E1221" s="21"/>
      <c r="F1221" s="21"/>
      <c r="G1221" s="21"/>
      <c r="H1221" s="21"/>
      <c r="I1221" s="21"/>
      <c r="J1221" s="21"/>
      <c r="K1221" s="21"/>
      <c r="L1221" s="21"/>
      <c r="M1221" s="21"/>
      <c r="N1221" s="21"/>
      <c r="O1221" s="21"/>
      <c r="P1221" s="21"/>
      <c r="Q1221" s="21"/>
      <c r="R1221" s="21"/>
      <c r="S1221" s="21"/>
      <c r="T1221" s="21"/>
      <c r="U1221" s="21"/>
      <c r="V1221" s="21"/>
      <c r="W1221" s="21"/>
      <c r="X1221" s="21"/>
      <c r="Y1221" s="21"/>
      <c r="Z1221" s="21"/>
      <c r="AA1221" s="21"/>
      <c r="AB1221" s="21"/>
      <c r="AC1221" s="21"/>
      <c r="AD1221" s="21"/>
    </row>
    <row r="1222" spans="1:30">
      <c r="A1222" s="21"/>
      <c r="B1222" s="21"/>
      <c r="C1222" s="21"/>
      <c r="D1222" s="21"/>
      <c r="E1222" s="21"/>
      <c r="F1222" s="21"/>
      <c r="G1222" s="21"/>
      <c r="H1222" s="21"/>
      <c r="I1222" s="21"/>
      <c r="J1222" s="21"/>
      <c r="K1222" s="21"/>
      <c r="L1222" s="21"/>
      <c r="M1222" s="21"/>
      <c r="N1222" s="21"/>
      <c r="O1222" s="21"/>
      <c r="P1222" s="21"/>
      <c r="Q1222" s="21"/>
      <c r="R1222" s="21"/>
      <c r="S1222" s="21"/>
      <c r="T1222" s="21"/>
      <c r="U1222" s="21"/>
      <c r="V1222" s="21"/>
      <c r="W1222" s="21"/>
      <c r="X1222" s="21"/>
      <c r="Y1222" s="21"/>
      <c r="Z1222" s="21"/>
      <c r="AA1222" s="21"/>
      <c r="AB1222" s="21"/>
      <c r="AC1222" s="21"/>
      <c r="AD1222" s="21"/>
    </row>
    <row r="1223" spans="1:30">
      <c r="A1223" s="21"/>
      <c r="B1223" s="21"/>
      <c r="C1223" s="21"/>
      <c r="D1223" s="21"/>
      <c r="E1223" s="21"/>
      <c r="F1223" s="21"/>
      <c r="G1223" s="21"/>
      <c r="H1223" s="21"/>
      <c r="I1223" s="21"/>
      <c r="J1223" s="21"/>
      <c r="K1223" s="21"/>
      <c r="L1223" s="21"/>
      <c r="M1223" s="21"/>
      <c r="N1223" s="21"/>
      <c r="O1223" s="21"/>
      <c r="P1223" s="21"/>
      <c r="Q1223" s="21"/>
      <c r="R1223" s="21"/>
      <c r="S1223" s="21"/>
      <c r="T1223" s="21"/>
      <c r="U1223" s="21"/>
      <c r="V1223" s="21"/>
      <c r="W1223" s="21"/>
      <c r="X1223" s="21"/>
      <c r="Y1223" s="21"/>
      <c r="Z1223" s="21"/>
      <c r="AA1223" s="21"/>
      <c r="AB1223" s="21"/>
      <c r="AC1223" s="21"/>
      <c r="AD1223" s="21"/>
    </row>
    <row r="1224" spans="1:30">
      <c r="A1224" s="21"/>
      <c r="B1224" s="21"/>
      <c r="C1224" s="21"/>
      <c r="D1224" s="21"/>
      <c r="E1224" s="21"/>
      <c r="F1224" s="21"/>
      <c r="G1224" s="21"/>
      <c r="H1224" s="21"/>
      <c r="I1224" s="21"/>
      <c r="J1224" s="21"/>
      <c r="K1224" s="21"/>
      <c r="L1224" s="21"/>
      <c r="M1224" s="21"/>
      <c r="N1224" s="21"/>
      <c r="O1224" s="21"/>
      <c r="P1224" s="21"/>
      <c r="Q1224" s="21"/>
      <c r="R1224" s="21"/>
      <c r="S1224" s="21"/>
      <c r="T1224" s="21"/>
      <c r="U1224" s="21"/>
      <c r="V1224" s="21"/>
      <c r="W1224" s="21"/>
      <c r="X1224" s="21"/>
      <c r="Y1224" s="21"/>
      <c r="Z1224" s="21"/>
      <c r="AA1224" s="21"/>
      <c r="AB1224" s="21"/>
      <c r="AC1224" s="21"/>
      <c r="AD1224" s="21"/>
    </row>
    <row r="1225" spans="1:30">
      <c r="A1225" s="21"/>
      <c r="B1225" s="21"/>
      <c r="C1225" s="21"/>
      <c r="D1225" s="21"/>
      <c r="E1225" s="21"/>
      <c r="F1225" s="21"/>
      <c r="G1225" s="21"/>
      <c r="H1225" s="21"/>
      <c r="I1225" s="21"/>
      <c r="J1225" s="21"/>
      <c r="K1225" s="21"/>
      <c r="L1225" s="21"/>
      <c r="M1225" s="21"/>
      <c r="N1225" s="21"/>
      <c r="O1225" s="21"/>
      <c r="P1225" s="21"/>
      <c r="Q1225" s="21"/>
      <c r="R1225" s="21"/>
      <c r="S1225" s="21"/>
      <c r="T1225" s="21"/>
      <c r="U1225" s="21"/>
      <c r="V1225" s="21"/>
      <c r="W1225" s="21"/>
      <c r="X1225" s="21"/>
      <c r="Y1225" s="21"/>
      <c r="Z1225" s="21"/>
      <c r="AA1225" s="21"/>
      <c r="AB1225" s="21"/>
      <c r="AC1225" s="21"/>
      <c r="AD1225" s="21"/>
    </row>
    <row r="1226" spans="1:30">
      <c r="A1226" s="21"/>
      <c r="B1226" s="21"/>
      <c r="C1226" s="21"/>
      <c r="D1226" s="21"/>
      <c r="E1226" s="21"/>
      <c r="F1226" s="21"/>
      <c r="G1226" s="21"/>
      <c r="H1226" s="21"/>
      <c r="I1226" s="21"/>
      <c r="J1226" s="21"/>
      <c r="K1226" s="21"/>
      <c r="L1226" s="21"/>
      <c r="M1226" s="21"/>
      <c r="N1226" s="21"/>
      <c r="O1226" s="21"/>
      <c r="P1226" s="21"/>
      <c r="Q1226" s="21"/>
      <c r="R1226" s="21"/>
      <c r="S1226" s="21"/>
      <c r="T1226" s="21"/>
      <c r="U1226" s="21"/>
      <c r="V1226" s="21"/>
      <c r="W1226" s="21"/>
      <c r="X1226" s="21"/>
      <c r="Y1226" s="21"/>
      <c r="Z1226" s="21"/>
      <c r="AA1226" s="21"/>
      <c r="AB1226" s="21"/>
      <c r="AC1226" s="21"/>
      <c r="AD1226" s="21"/>
    </row>
    <row r="1227" spans="1:30">
      <c r="A1227" s="21"/>
      <c r="B1227" s="21"/>
      <c r="C1227" s="21"/>
      <c r="D1227" s="21"/>
      <c r="E1227" s="21"/>
      <c r="F1227" s="21"/>
      <c r="G1227" s="21"/>
      <c r="H1227" s="21"/>
      <c r="I1227" s="21"/>
      <c r="J1227" s="21"/>
      <c r="K1227" s="21"/>
      <c r="L1227" s="21"/>
      <c r="M1227" s="21"/>
      <c r="N1227" s="21"/>
      <c r="O1227" s="21"/>
      <c r="P1227" s="21"/>
      <c r="Q1227" s="21"/>
      <c r="R1227" s="21"/>
      <c r="S1227" s="21"/>
      <c r="T1227" s="21"/>
      <c r="U1227" s="21"/>
      <c r="V1227" s="21"/>
      <c r="W1227" s="21"/>
      <c r="X1227" s="21"/>
      <c r="Y1227" s="21"/>
      <c r="Z1227" s="21"/>
      <c r="AA1227" s="21"/>
      <c r="AB1227" s="21"/>
      <c r="AC1227" s="21"/>
      <c r="AD1227" s="21"/>
    </row>
    <row r="1228" spans="1:30">
      <c r="A1228" s="21"/>
      <c r="B1228" s="21"/>
      <c r="C1228" s="21"/>
      <c r="D1228" s="21"/>
      <c r="E1228" s="21"/>
      <c r="F1228" s="21"/>
      <c r="G1228" s="21"/>
      <c r="H1228" s="21"/>
      <c r="I1228" s="21"/>
      <c r="J1228" s="21"/>
      <c r="K1228" s="21"/>
      <c r="L1228" s="21"/>
      <c r="M1228" s="21"/>
      <c r="N1228" s="21"/>
      <c r="O1228" s="21"/>
      <c r="P1228" s="21"/>
      <c r="Q1228" s="21"/>
      <c r="R1228" s="21"/>
      <c r="S1228" s="21"/>
      <c r="T1228" s="21"/>
      <c r="U1228" s="21"/>
      <c r="V1228" s="21"/>
      <c r="W1228" s="21"/>
      <c r="X1228" s="21"/>
      <c r="Y1228" s="21"/>
      <c r="Z1228" s="21"/>
      <c r="AA1228" s="21"/>
      <c r="AB1228" s="21"/>
      <c r="AC1228" s="21"/>
      <c r="AD1228" s="21"/>
    </row>
    <row r="1229" spans="1:30">
      <c r="A1229" s="21"/>
      <c r="B1229" s="21"/>
      <c r="C1229" s="21"/>
      <c r="D1229" s="21"/>
      <c r="E1229" s="21"/>
      <c r="F1229" s="21"/>
      <c r="G1229" s="21"/>
      <c r="H1229" s="21"/>
      <c r="I1229" s="21"/>
      <c r="J1229" s="21"/>
      <c r="K1229" s="21"/>
      <c r="L1229" s="21"/>
      <c r="M1229" s="21"/>
      <c r="N1229" s="21"/>
      <c r="O1229" s="21"/>
      <c r="P1229" s="21"/>
      <c r="Q1229" s="21"/>
      <c r="R1229" s="21"/>
      <c r="S1229" s="21"/>
      <c r="T1229" s="21"/>
      <c r="U1229" s="21"/>
      <c r="V1229" s="21"/>
      <c r="W1229" s="21"/>
      <c r="X1229" s="21"/>
      <c r="Y1229" s="21"/>
      <c r="Z1229" s="21"/>
      <c r="AA1229" s="21"/>
      <c r="AB1229" s="21"/>
      <c r="AC1229" s="21"/>
      <c r="AD1229" s="21"/>
    </row>
    <row r="1230" spans="1:30">
      <c r="A1230" s="21"/>
      <c r="B1230" s="21"/>
      <c r="C1230" s="21"/>
      <c r="D1230" s="21"/>
      <c r="E1230" s="21"/>
      <c r="F1230" s="21"/>
      <c r="G1230" s="21"/>
      <c r="H1230" s="21"/>
      <c r="I1230" s="21"/>
      <c r="J1230" s="21"/>
      <c r="K1230" s="21"/>
      <c r="L1230" s="21"/>
      <c r="M1230" s="21"/>
      <c r="N1230" s="21"/>
      <c r="O1230" s="21"/>
      <c r="P1230" s="21"/>
      <c r="Q1230" s="21"/>
      <c r="R1230" s="21"/>
      <c r="S1230" s="21"/>
      <c r="T1230" s="21"/>
      <c r="U1230" s="21"/>
      <c r="V1230" s="21"/>
      <c r="W1230" s="21"/>
      <c r="X1230" s="21"/>
      <c r="Y1230" s="21"/>
      <c r="Z1230" s="21"/>
      <c r="AA1230" s="21"/>
      <c r="AB1230" s="21"/>
      <c r="AC1230" s="21"/>
      <c r="AD1230" s="21"/>
    </row>
    <row r="1231" spans="1:30">
      <c r="A1231" s="21"/>
      <c r="B1231" s="21"/>
      <c r="C1231" s="21"/>
      <c r="D1231" s="21"/>
      <c r="E1231" s="21"/>
      <c r="F1231" s="21"/>
      <c r="G1231" s="21"/>
      <c r="H1231" s="21"/>
      <c r="I1231" s="21"/>
      <c r="J1231" s="21"/>
      <c r="K1231" s="21"/>
      <c r="L1231" s="21"/>
      <c r="M1231" s="21"/>
      <c r="N1231" s="21"/>
      <c r="O1231" s="21"/>
      <c r="P1231" s="21"/>
      <c r="Q1231" s="21"/>
      <c r="R1231" s="21"/>
      <c r="S1231" s="21"/>
      <c r="T1231" s="21"/>
      <c r="U1231" s="21"/>
      <c r="V1231" s="21"/>
      <c r="W1231" s="21"/>
      <c r="X1231" s="21"/>
      <c r="Y1231" s="21"/>
      <c r="Z1231" s="21"/>
      <c r="AA1231" s="21"/>
      <c r="AB1231" s="21"/>
      <c r="AC1231" s="21"/>
      <c r="AD1231" s="21"/>
    </row>
    <row r="1232" spans="1:30">
      <c r="A1232" s="21"/>
      <c r="B1232" s="21"/>
      <c r="C1232" s="21"/>
      <c r="D1232" s="21"/>
      <c r="E1232" s="21"/>
      <c r="F1232" s="21"/>
      <c r="G1232" s="21"/>
      <c r="H1232" s="21"/>
      <c r="I1232" s="21"/>
      <c r="J1232" s="21"/>
      <c r="K1232" s="21"/>
      <c r="L1232" s="21"/>
      <c r="M1232" s="21"/>
      <c r="N1232" s="21"/>
      <c r="O1232" s="21"/>
      <c r="P1232" s="21"/>
      <c r="Q1232" s="21"/>
      <c r="R1232" s="21"/>
      <c r="S1232" s="21"/>
      <c r="T1232" s="21"/>
      <c r="U1232" s="21"/>
      <c r="V1232" s="21"/>
      <c r="W1232" s="21"/>
      <c r="X1232" s="21"/>
      <c r="Y1232" s="21"/>
      <c r="Z1232" s="21"/>
      <c r="AA1232" s="21"/>
      <c r="AB1232" s="21"/>
      <c r="AC1232" s="21"/>
      <c r="AD1232" s="21"/>
    </row>
    <row r="1233" spans="1:30">
      <c r="A1233" s="21"/>
      <c r="B1233" s="21"/>
      <c r="C1233" s="21"/>
      <c r="D1233" s="21"/>
      <c r="E1233" s="21"/>
      <c r="F1233" s="21"/>
      <c r="G1233" s="21"/>
      <c r="H1233" s="21"/>
      <c r="I1233" s="21"/>
      <c r="J1233" s="21"/>
      <c r="K1233" s="21"/>
      <c r="L1233" s="21"/>
      <c r="M1233" s="21"/>
      <c r="N1233" s="21"/>
      <c r="O1233" s="21"/>
      <c r="P1233" s="21"/>
      <c r="Q1233" s="21"/>
      <c r="R1233" s="21"/>
      <c r="S1233" s="21"/>
      <c r="T1233" s="21"/>
      <c r="U1233" s="21"/>
      <c r="V1233" s="21"/>
      <c r="W1233" s="21"/>
      <c r="X1233" s="21"/>
      <c r="Y1233" s="21"/>
      <c r="Z1233" s="21"/>
      <c r="AA1233" s="21"/>
      <c r="AB1233" s="21"/>
      <c r="AC1233" s="21"/>
      <c r="AD1233" s="21"/>
    </row>
    <row r="1234" spans="1:30">
      <c r="A1234" s="21"/>
      <c r="B1234" s="21"/>
      <c r="C1234" s="21"/>
      <c r="D1234" s="21"/>
      <c r="E1234" s="21"/>
      <c r="F1234" s="21"/>
      <c r="G1234" s="21"/>
      <c r="H1234" s="21"/>
      <c r="I1234" s="21"/>
      <c r="J1234" s="21"/>
      <c r="K1234" s="21"/>
      <c r="L1234" s="21"/>
      <c r="M1234" s="21"/>
      <c r="N1234" s="21"/>
      <c r="O1234" s="21"/>
      <c r="P1234" s="21"/>
      <c r="Q1234" s="21"/>
      <c r="R1234" s="21"/>
      <c r="S1234" s="21"/>
      <c r="T1234" s="21"/>
      <c r="U1234" s="21"/>
      <c r="V1234" s="21"/>
      <c r="W1234" s="21"/>
      <c r="X1234" s="21"/>
      <c r="Y1234" s="21"/>
      <c r="Z1234" s="21"/>
      <c r="AA1234" s="21"/>
      <c r="AB1234" s="21"/>
      <c r="AC1234" s="21"/>
      <c r="AD1234" s="21"/>
    </row>
    <row r="1235" spans="1:30">
      <c r="A1235" s="21"/>
      <c r="B1235" s="21"/>
      <c r="C1235" s="21"/>
      <c r="D1235" s="21"/>
      <c r="E1235" s="21"/>
      <c r="F1235" s="21"/>
      <c r="G1235" s="21"/>
      <c r="H1235" s="21"/>
      <c r="I1235" s="21"/>
      <c r="J1235" s="21"/>
      <c r="K1235" s="21"/>
      <c r="L1235" s="21"/>
      <c r="M1235" s="21"/>
      <c r="N1235" s="21"/>
      <c r="O1235" s="21"/>
      <c r="P1235" s="21"/>
      <c r="Q1235" s="21"/>
      <c r="R1235" s="21"/>
      <c r="S1235" s="21"/>
      <c r="T1235" s="21"/>
      <c r="U1235" s="21"/>
      <c r="V1235" s="21"/>
      <c r="W1235" s="21"/>
      <c r="X1235" s="21"/>
      <c r="Y1235" s="21"/>
      <c r="Z1235" s="21"/>
      <c r="AA1235" s="21"/>
      <c r="AB1235" s="21"/>
      <c r="AC1235" s="21"/>
      <c r="AD1235" s="21"/>
    </row>
    <row r="1236" spans="1:30">
      <c r="A1236" s="21"/>
      <c r="B1236" s="21"/>
      <c r="C1236" s="21"/>
      <c r="D1236" s="21"/>
      <c r="E1236" s="21"/>
      <c r="F1236" s="21"/>
      <c r="G1236" s="21"/>
      <c r="H1236" s="21"/>
      <c r="I1236" s="21"/>
      <c r="J1236" s="21"/>
      <c r="K1236" s="21"/>
      <c r="L1236" s="21"/>
      <c r="M1236" s="21"/>
      <c r="N1236" s="21"/>
      <c r="O1236" s="21"/>
      <c r="P1236" s="21"/>
      <c r="Q1236" s="21"/>
      <c r="R1236" s="21"/>
      <c r="S1236" s="21"/>
      <c r="T1236" s="21"/>
      <c r="U1236" s="21"/>
      <c r="V1236" s="21"/>
      <c r="W1236" s="21"/>
      <c r="X1236" s="21"/>
      <c r="Y1236" s="21"/>
      <c r="Z1236" s="21"/>
      <c r="AA1236" s="21"/>
      <c r="AB1236" s="21"/>
      <c r="AC1236" s="21"/>
      <c r="AD1236" s="21"/>
    </row>
    <row r="1237" spans="1:30">
      <c r="A1237" s="21"/>
      <c r="B1237" s="21"/>
      <c r="C1237" s="21"/>
      <c r="D1237" s="21"/>
      <c r="E1237" s="21"/>
      <c r="F1237" s="21"/>
      <c r="G1237" s="21"/>
      <c r="H1237" s="21"/>
      <c r="I1237" s="21"/>
      <c r="J1237" s="21"/>
      <c r="K1237" s="21"/>
      <c r="L1237" s="21"/>
      <c r="M1237" s="21"/>
      <c r="N1237" s="21"/>
      <c r="O1237" s="21"/>
      <c r="P1237" s="21"/>
      <c r="Q1237" s="21"/>
      <c r="R1237" s="21"/>
      <c r="S1237" s="21"/>
      <c r="T1237" s="21"/>
      <c r="U1237" s="21"/>
      <c r="V1237" s="21"/>
      <c r="W1237" s="21"/>
      <c r="X1237" s="21"/>
      <c r="Y1237" s="21"/>
      <c r="Z1237" s="21"/>
      <c r="AA1237" s="21"/>
      <c r="AB1237" s="21"/>
      <c r="AC1237" s="21"/>
      <c r="AD1237" s="21"/>
    </row>
    <row r="1238" spans="1:30">
      <c r="A1238" s="21"/>
      <c r="B1238" s="21"/>
      <c r="C1238" s="21"/>
      <c r="D1238" s="21"/>
      <c r="E1238" s="21"/>
      <c r="F1238" s="21"/>
      <c r="G1238" s="21"/>
      <c r="H1238" s="21"/>
      <c r="I1238" s="21"/>
      <c r="J1238" s="21"/>
      <c r="K1238" s="21"/>
      <c r="L1238" s="21"/>
      <c r="M1238" s="21"/>
      <c r="N1238" s="21"/>
      <c r="O1238" s="21"/>
      <c r="P1238" s="21"/>
      <c r="Q1238" s="21"/>
      <c r="R1238" s="21"/>
      <c r="S1238" s="21"/>
      <c r="T1238" s="21"/>
      <c r="U1238" s="21"/>
      <c r="V1238" s="21"/>
      <c r="W1238" s="21"/>
      <c r="X1238" s="21"/>
      <c r="Y1238" s="21"/>
      <c r="Z1238" s="21"/>
      <c r="AA1238" s="21"/>
      <c r="AB1238" s="21"/>
      <c r="AC1238" s="21"/>
      <c r="AD1238" s="21"/>
    </row>
    <row r="1239" spans="1:30">
      <c r="A1239" s="21"/>
      <c r="B1239" s="21"/>
      <c r="C1239" s="21"/>
      <c r="D1239" s="21"/>
      <c r="E1239" s="21"/>
      <c r="F1239" s="21"/>
      <c r="G1239" s="21"/>
      <c r="H1239" s="21"/>
      <c r="I1239" s="21"/>
      <c r="J1239" s="21"/>
      <c r="K1239" s="21"/>
      <c r="L1239" s="21"/>
      <c r="M1239" s="21"/>
      <c r="N1239" s="21"/>
      <c r="O1239" s="21"/>
      <c r="P1239" s="21"/>
      <c r="Q1239" s="21"/>
      <c r="R1239" s="21"/>
      <c r="S1239" s="21"/>
      <c r="T1239" s="21"/>
      <c r="U1239" s="21"/>
      <c r="V1239" s="21"/>
      <c r="W1239" s="21"/>
      <c r="X1239" s="21"/>
      <c r="Y1239" s="21"/>
      <c r="Z1239" s="21"/>
      <c r="AA1239" s="21"/>
      <c r="AB1239" s="21"/>
      <c r="AC1239" s="21"/>
      <c r="AD1239" s="21"/>
    </row>
    <row r="1240" spans="1:30">
      <c r="A1240" s="21"/>
      <c r="B1240" s="21"/>
      <c r="C1240" s="21"/>
      <c r="D1240" s="21"/>
      <c r="E1240" s="21"/>
      <c r="F1240" s="21"/>
      <c r="G1240" s="21"/>
      <c r="H1240" s="21"/>
      <c r="I1240" s="21"/>
      <c r="J1240" s="21"/>
      <c r="K1240" s="21"/>
      <c r="L1240" s="21"/>
      <c r="M1240" s="21"/>
      <c r="N1240" s="21"/>
      <c r="O1240" s="21"/>
      <c r="P1240" s="21"/>
      <c r="Q1240" s="21"/>
      <c r="R1240" s="21"/>
      <c r="S1240" s="21"/>
      <c r="T1240" s="21"/>
      <c r="U1240" s="21"/>
      <c r="V1240" s="21"/>
      <c r="W1240" s="21"/>
      <c r="X1240" s="21"/>
      <c r="Y1240" s="21"/>
      <c r="Z1240" s="21"/>
      <c r="AA1240" s="21"/>
      <c r="AB1240" s="21"/>
      <c r="AC1240" s="21"/>
      <c r="AD1240" s="21"/>
    </row>
    <row r="1241" spans="1:30">
      <c r="A1241" s="21"/>
      <c r="B1241" s="21"/>
      <c r="C1241" s="21"/>
      <c r="D1241" s="21"/>
      <c r="E1241" s="21"/>
      <c r="F1241" s="21"/>
      <c r="G1241" s="21"/>
      <c r="H1241" s="21"/>
      <c r="I1241" s="21"/>
      <c r="J1241" s="21"/>
      <c r="K1241" s="21"/>
      <c r="L1241" s="21"/>
      <c r="M1241" s="21"/>
      <c r="N1241" s="21"/>
      <c r="O1241" s="21"/>
      <c r="P1241" s="21"/>
      <c r="Q1241" s="21"/>
      <c r="R1241" s="21"/>
      <c r="S1241" s="21"/>
      <c r="T1241" s="21"/>
      <c r="U1241" s="21"/>
      <c r="V1241" s="21"/>
      <c r="W1241" s="21"/>
      <c r="X1241" s="21"/>
      <c r="Y1241" s="21"/>
      <c r="Z1241" s="21"/>
      <c r="AA1241" s="21"/>
      <c r="AB1241" s="21"/>
      <c r="AC1241" s="21"/>
      <c r="AD1241" s="21"/>
    </row>
    <row r="1242" spans="1:30">
      <c r="A1242" s="21"/>
      <c r="B1242" s="21"/>
      <c r="C1242" s="21"/>
      <c r="D1242" s="21"/>
      <c r="E1242" s="21"/>
      <c r="F1242" s="21"/>
      <c r="G1242" s="21"/>
      <c r="H1242" s="21"/>
      <c r="I1242" s="21"/>
      <c r="J1242" s="21"/>
      <c r="K1242" s="21"/>
      <c r="L1242" s="21"/>
      <c r="M1242" s="21"/>
      <c r="N1242" s="21"/>
      <c r="O1242" s="21"/>
      <c r="P1242" s="21"/>
      <c r="Q1242" s="21"/>
      <c r="R1242" s="21"/>
      <c r="S1242" s="21"/>
      <c r="T1242" s="21"/>
      <c r="U1242" s="21"/>
      <c r="V1242" s="21"/>
      <c r="W1242" s="21"/>
      <c r="X1242" s="21"/>
      <c r="Y1242" s="21"/>
      <c r="Z1242" s="21"/>
      <c r="AA1242" s="21"/>
      <c r="AB1242" s="21"/>
      <c r="AC1242" s="21"/>
      <c r="AD1242" s="21"/>
    </row>
    <row r="1243" spans="1:30">
      <c r="A1243" s="21"/>
      <c r="B1243" s="21"/>
      <c r="C1243" s="21"/>
      <c r="D1243" s="21"/>
      <c r="E1243" s="21"/>
      <c r="F1243" s="21"/>
      <c r="G1243" s="21"/>
      <c r="H1243" s="21"/>
      <c r="I1243" s="21"/>
      <c r="J1243" s="21"/>
      <c r="K1243" s="21"/>
      <c r="L1243" s="21"/>
      <c r="M1243" s="21"/>
      <c r="N1243" s="21"/>
      <c r="O1243" s="21"/>
      <c r="P1243" s="21"/>
      <c r="Q1243" s="21"/>
      <c r="R1243" s="21"/>
      <c r="S1243" s="21"/>
      <c r="T1243" s="21"/>
      <c r="U1243" s="21"/>
      <c r="V1243" s="21"/>
      <c r="W1243" s="21"/>
      <c r="X1243" s="21"/>
      <c r="Y1243" s="21"/>
      <c r="Z1243" s="21"/>
      <c r="AA1243" s="21"/>
      <c r="AB1243" s="21"/>
      <c r="AC1243" s="21"/>
      <c r="AD1243" s="21"/>
    </row>
    <row r="1244" spans="1:30">
      <c r="A1244" s="21"/>
      <c r="B1244" s="21"/>
      <c r="C1244" s="21"/>
      <c r="D1244" s="21"/>
      <c r="E1244" s="21"/>
      <c r="F1244" s="21"/>
      <c r="G1244" s="21"/>
      <c r="H1244" s="21"/>
      <c r="I1244" s="21"/>
      <c r="J1244" s="21"/>
      <c r="K1244" s="21"/>
      <c r="L1244" s="21"/>
      <c r="M1244" s="21"/>
      <c r="N1244" s="21"/>
      <c r="O1244" s="21"/>
      <c r="P1244" s="21"/>
      <c r="Q1244" s="21"/>
      <c r="R1244" s="21"/>
      <c r="S1244" s="21"/>
      <c r="T1244" s="21"/>
      <c r="U1244" s="21"/>
      <c r="V1244" s="21"/>
      <c r="W1244" s="21"/>
      <c r="X1244" s="21"/>
      <c r="Y1244" s="21"/>
      <c r="Z1244" s="21"/>
      <c r="AA1244" s="21"/>
      <c r="AB1244" s="21"/>
      <c r="AC1244" s="21"/>
      <c r="AD1244" s="21"/>
    </row>
    <row r="1245" spans="1:30">
      <c r="A1245" s="21"/>
      <c r="B1245" s="21"/>
      <c r="C1245" s="21"/>
      <c r="D1245" s="21"/>
      <c r="E1245" s="21"/>
      <c r="F1245" s="21"/>
      <c r="G1245" s="21"/>
      <c r="H1245" s="21"/>
      <c r="I1245" s="21"/>
      <c r="J1245" s="21"/>
      <c r="K1245" s="21"/>
      <c r="L1245" s="21"/>
      <c r="M1245" s="21"/>
      <c r="N1245" s="21"/>
      <c r="O1245" s="21"/>
      <c r="P1245" s="21"/>
      <c r="Q1245" s="21"/>
      <c r="R1245" s="21"/>
      <c r="S1245" s="21"/>
      <c r="T1245" s="21"/>
      <c r="U1245" s="21"/>
      <c r="V1245" s="21"/>
      <c r="W1245" s="21"/>
      <c r="X1245" s="21"/>
      <c r="Y1245" s="21"/>
      <c r="Z1245" s="21"/>
      <c r="AA1245" s="21"/>
      <c r="AB1245" s="21"/>
      <c r="AC1245" s="21"/>
      <c r="AD1245" s="21"/>
    </row>
    <row r="1246" spans="1:30">
      <c r="A1246" s="21"/>
      <c r="B1246" s="21"/>
      <c r="C1246" s="21"/>
      <c r="D1246" s="21"/>
      <c r="E1246" s="21"/>
      <c r="F1246" s="21"/>
      <c r="G1246" s="21"/>
      <c r="H1246" s="21"/>
      <c r="I1246" s="21"/>
      <c r="J1246" s="21"/>
      <c r="K1246" s="21"/>
      <c r="L1246" s="21"/>
      <c r="M1246" s="21"/>
      <c r="N1246" s="21"/>
      <c r="O1246" s="21"/>
      <c r="P1246" s="21"/>
      <c r="Q1246" s="21"/>
      <c r="R1246" s="21"/>
      <c r="S1246" s="21"/>
      <c r="T1246" s="21"/>
      <c r="U1246" s="21"/>
      <c r="V1246" s="21"/>
      <c r="W1246" s="21"/>
      <c r="X1246" s="21"/>
      <c r="Y1246" s="21"/>
      <c r="Z1246" s="21"/>
      <c r="AA1246" s="21"/>
      <c r="AB1246" s="21"/>
      <c r="AC1246" s="21"/>
      <c r="AD1246" s="21"/>
    </row>
    <row r="1247" spans="1:30">
      <c r="A1247" s="21"/>
      <c r="B1247" s="21"/>
      <c r="C1247" s="21"/>
      <c r="D1247" s="21"/>
      <c r="E1247" s="21"/>
      <c r="F1247" s="21"/>
      <c r="G1247" s="21"/>
      <c r="H1247" s="21"/>
      <c r="I1247" s="21"/>
      <c r="J1247" s="21"/>
      <c r="K1247" s="21"/>
      <c r="L1247" s="21"/>
      <c r="M1247" s="21"/>
      <c r="N1247" s="21"/>
      <c r="O1247" s="21"/>
      <c r="P1247" s="21"/>
      <c r="Q1247" s="21"/>
      <c r="R1247" s="21"/>
      <c r="S1247" s="21"/>
      <c r="T1247" s="21"/>
      <c r="U1247" s="21"/>
      <c r="V1247" s="21"/>
      <c r="W1247" s="21"/>
      <c r="X1247" s="21"/>
      <c r="Y1247" s="21"/>
      <c r="Z1247" s="21"/>
      <c r="AA1247" s="21"/>
      <c r="AB1247" s="21"/>
      <c r="AC1247" s="21"/>
      <c r="AD1247" s="21"/>
    </row>
    <row r="1248" spans="1:30">
      <c r="A1248" s="21"/>
      <c r="B1248" s="21"/>
      <c r="C1248" s="21"/>
      <c r="D1248" s="21"/>
      <c r="E1248" s="21"/>
      <c r="F1248" s="21"/>
      <c r="G1248" s="21"/>
      <c r="H1248" s="21"/>
      <c r="I1248" s="21"/>
      <c r="J1248" s="21"/>
      <c r="K1248" s="21"/>
      <c r="L1248" s="21"/>
      <c r="M1248" s="21"/>
      <c r="N1248" s="21"/>
      <c r="O1248" s="21"/>
      <c r="P1248" s="21"/>
      <c r="Q1248" s="21"/>
      <c r="R1248" s="21"/>
      <c r="S1248" s="21"/>
      <c r="T1248" s="21"/>
      <c r="U1248" s="21"/>
      <c r="V1248" s="21"/>
      <c r="W1248" s="21"/>
      <c r="X1248" s="21"/>
      <c r="Y1248" s="21"/>
      <c r="Z1248" s="21"/>
      <c r="AA1248" s="21"/>
      <c r="AB1248" s="21"/>
      <c r="AC1248" s="21"/>
      <c r="AD1248" s="21"/>
    </row>
    <row r="1249" spans="1:30">
      <c r="A1249" s="21"/>
      <c r="B1249" s="21"/>
      <c r="C1249" s="21"/>
      <c r="D1249" s="21"/>
      <c r="E1249" s="21"/>
      <c r="F1249" s="21"/>
      <c r="G1249" s="21"/>
      <c r="H1249" s="21"/>
      <c r="I1249" s="21"/>
      <c r="J1249" s="21"/>
      <c r="K1249" s="21"/>
      <c r="L1249" s="21"/>
      <c r="M1249" s="21"/>
      <c r="N1249" s="21"/>
      <c r="O1249" s="21"/>
      <c r="P1249" s="21"/>
      <c r="Q1249" s="21"/>
      <c r="R1249" s="21"/>
      <c r="S1249" s="21"/>
      <c r="T1249" s="21"/>
      <c r="U1249" s="21"/>
      <c r="V1249" s="21"/>
      <c r="W1249" s="21"/>
      <c r="X1249" s="21"/>
      <c r="Y1249" s="21"/>
      <c r="Z1249" s="21"/>
      <c r="AA1249" s="21"/>
      <c r="AB1249" s="21"/>
      <c r="AC1249" s="21"/>
      <c r="AD1249" s="21"/>
    </row>
    <row r="1250" spans="1:30">
      <c r="A1250" s="21"/>
      <c r="B1250" s="21"/>
      <c r="C1250" s="21"/>
      <c r="D1250" s="21"/>
      <c r="E1250" s="21"/>
      <c r="F1250" s="21"/>
      <c r="G1250" s="21"/>
      <c r="H1250" s="21"/>
      <c r="I1250" s="21"/>
      <c r="J1250" s="21"/>
      <c r="K1250" s="21"/>
      <c r="L1250" s="21"/>
      <c r="M1250" s="21"/>
      <c r="N1250" s="21"/>
      <c r="O1250" s="21"/>
      <c r="P1250" s="21"/>
      <c r="Q1250" s="21"/>
      <c r="R1250" s="21"/>
      <c r="S1250" s="21"/>
      <c r="T1250" s="21"/>
      <c r="U1250" s="21"/>
      <c r="V1250" s="21"/>
      <c r="W1250" s="21"/>
      <c r="X1250" s="21"/>
      <c r="Y1250" s="21"/>
      <c r="Z1250" s="21"/>
      <c r="AA1250" s="21"/>
      <c r="AB1250" s="21"/>
      <c r="AC1250" s="21"/>
      <c r="AD1250" s="21"/>
    </row>
    <row r="1251" spans="1:30">
      <c r="A1251" s="21"/>
      <c r="B1251" s="21"/>
      <c r="C1251" s="21"/>
      <c r="D1251" s="21"/>
      <c r="E1251" s="21"/>
      <c r="F1251" s="21"/>
      <c r="G1251" s="21"/>
      <c r="H1251" s="21"/>
      <c r="I1251" s="21"/>
      <c r="J1251" s="21"/>
      <c r="K1251" s="21"/>
      <c r="L1251" s="21"/>
      <c r="M1251" s="21"/>
      <c r="N1251" s="21"/>
      <c r="O1251" s="21"/>
      <c r="P1251" s="21"/>
      <c r="Q1251" s="21"/>
      <c r="R1251" s="21"/>
      <c r="S1251" s="21"/>
      <c r="T1251" s="21"/>
      <c r="U1251" s="21"/>
      <c r="V1251" s="21"/>
      <c r="W1251" s="21"/>
      <c r="X1251" s="21"/>
      <c r="Y1251" s="21"/>
      <c r="Z1251" s="21"/>
      <c r="AA1251" s="21"/>
      <c r="AB1251" s="21"/>
      <c r="AC1251" s="21"/>
      <c r="AD1251" s="21"/>
    </row>
    <row r="1252" spans="1:30">
      <c r="A1252" s="21"/>
      <c r="B1252" s="21"/>
      <c r="C1252" s="21"/>
      <c r="D1252" s="21"/>
      <c r="E1252" s="21"/>
      <c r="F1252" s="21"/>
      <c r="G1252" s="21"/>
      <c r="H1252" s="21"/>
      <c r="I1252" s="21"/>
      <c r="J1252" s="21"/>
      <c r="K1252" s="21"/>
      <c r="L1252" s="21"/>
      <c r="M1252" s="21"/>
      <c r="N1252" s="21"/>
      <c r="O1252" s="21"/>
      <c r="P1252" s="21"/>
      <c r="Q1252" s="21"/>
      <c r="R1252" s="21"/>
      <c r="S1252" s="21"/>
      <c r="T1252" s="21"/>
      <c r="U1252" s="21"/>
      <c r="V1252" s="21"/>
      <c r="W1252" s="21"/>
      <c r="X1252" s="21"/>
      <c r="Y1252" s="21"/>
      <c r="Z1252" s="21"/>
      <c r="AA1252" s="21"/>
      <c r="AB1252" s="21"/>
      <c r="AC1252" s="21"/>
      <c r="AD1252" s="21"/>
    </row>
    <row r="1253" spans="1:30">
      <c r="A1253" s="21"/>
      <c r="B1253" s="21"/>
      <c r="C1253" s="21"/>
      <c r="D1253" s="21"/>
      <c r="E1253" s="21"/>
      <c r="F1253" s="21"/>
      <c r="G1253" s="21"/>
      <c r="H1253" s="21"/>
      <c r="I1253" s="21"/>
      <c r="J1253" s="21"/>
      <c r="K1253" s="21"/>
      <c r="L1253" s="21"/>
      <c r="M1253" s="21"/>
      <c r="N1253" s="21"/>
      <c r="O1253" s="21"/>
      <c r="P1253" s="21"/>
      <c r="Q1253" s="21"/>
      <c r="R1253" s="21"/>
      <c r="S1253" s="21"/>
      <c r="T1253" s="21"/>
      <c r="U1253" s="21"/>
      <c r="V1253" s="21"/>
      <c r="W1253" s="21"/>
      <c r="X1253" s="21"/>
      <c r="Y1253" s="21"/>
      <c r="Z1253" s="21"/>
      <c r="AA1253" s="21"/>
      <c r="AB1253" s="21"/>
      <c r="AC1253" s="21"/>
      <c r="AD1253" s="21"/>
    </row>
    <row r="1254" spans="1:30">
      <c r="A1254" s="21"/>
      <c r="B1254" s="21"/>
      <c r="C1254" s="21"/>
      <c r="D1254" s="21"/>
      <c r="E1254" s="21"/>
      <c r="F1254" s="21"/>
      <c r="G1254" s="21"/>
      <c r="H1254" s="21"/>
      <c r="I1254" s="21"/>
      <c r="J1254" s="21"/>
      <c r="K1254" s="21"/>
      <c r="L1254" s="21"/>
      <c r="M1254" s="21"/>
      <c r="N1254" s="21"/>
      <c r="O1254" s="21"/>
      <c r="P1254" s="21"/>
      <c r="Q1254" s="21"/>
      <c r="R1254" s="21"/>
      <c r="S1254" s="21"/>
      <c r="T1254" s="21"/>
      <c r="U1254" s="21"/>
      <c r="V1254" s="21"/>
      <c r="W1254" s="21"/>
      <c r="X1254" s="21"/>
      <c r="Y1254" s="21"/>
      <c r="Z1254" s="21"/>
      <c r="AA1254" s="21"/>
      <c r="AB1254" s="21"/>
      <c r="AC1254" s="21"/>
      <c r="AD1254" s="21"/>
    </row>
    <row r="1255" spans="1:30">
      <c r="A1255" s="21"/>
      <c r="B1255" s="21"/>
      <c r="C1255" s="21"/>
      <c r="D1255" s="21"/>
      <c r="E1255" s="21"/>
      <c r="F1255" s="21"/>
      <c r="G1255" s="21"/>
      <c r="H1255" s="21"/>
      <c r="I1255" s="21"/>
      <c r="J1255" s="21"/>
      <c r="K1255" s="21"/>
      <c r="L1255" s="21"/>
      <c r="M1255" s="21"/>
      <c r="N1255" s="21"/>
      <c r="O1255" s="21"/>
      <c r="P1255" s="21"/>
      <c r="Q1255" s="21"/>
      <c r="R1255" s="21"/>
      <c r="S1255" s="21"/>
      <c r="T1255" s="21"/>
      <c r="U1255" s="21"/>
      <c r="V1255" s="21"/>
      <c r="W1255" s="21"/>
      <c r="X1255" s="21"/>
      <c r="Y1255" s="21"/>
      <c r="Z1255" s="21"/>
      <c r="AA1255" s="21"/>
      <c r="AB1255" s="21"/>
      <c r="AC1255" s="21"/>
      <c r="AD1255" s="21"/>
    </row>
    <row r="1256" spans="1:30">
      <c r="A1256" s="21"/>
      <c r="B1256" s="21"/>
      <c r="C1256" s="21"/>
      <c r="D1256" s="21"/>
      <c r="E1256" s="21"/>
      <c r="F1256" s="21"/>
      <c r="G1256" s="21"/>
      <c r="H1256" s="21"/>
      <c r="I1256" s="21"/>
      <c r="J1256" s="21"/>
      <c r="K1256" s="21"/>
      <c r="L1256" s="21"/>
      <c r="M1256" s="21"/>
      <c r="N1256" s="21"/>
      <c r="O1256" s="21"/>
      <c r="P1256" s="21"/>
      <c r="Q1256" s="21"/>
      <c r="R1256" s="21"/>
      <c r="S1256" s="21"/>
      <c r="T1256" s="21"/>
      <c r="U1256" s="21"/>
      <c r="V1256" s="21"/>
      <c r="W1256" s="21"/>
      <c r="X1256" s="21"/>
      <c r="Y1256" s="21"/>
      <c r="Z1256" s="21"/>
      <c r="AA1256" s="21"/>
      <c r="AB1256" s="21"/>
      <c r="AC1256" s="21"/>
      <c r="AD1256" s="21"/>
    </row>
    <row r="1257" spans="1:30">
      <c r="A1257" s="21"/>
      <c r="B1257" s="21"/>
      <c r="C1257" s="21"/>
      <c r="D1257" s="21"/>
      <c r="E1257" s="21"/>
      <c r="F1257" s="21"/>
      <c r="G1257" s="21"/>
      <c r="H1257" s="21"/>
      <c r="I1257" s="21"/>
      <c r="J1257" s="21"/>
      <c r="K1257" s="21"/>
      <c r="L1257" s="21"/>
      <c r="M1257" s="21"/>
      <c r="N1257" s="21"/>
      <c r="O1257" s="21"/>
      <c r="P1257" s="21"/>
      <c r="Q1257" s="21"/>
      <c r="R1257" s="21"/>
      <c r="S1257" s="21"/>
      <c r="T1257" s="21"/>
      <c r="U1257" s="21"/>
      <c r="V1257" s="21"/>
      <c r="W1257" s="21"/>
      <c r="X1257" s="21"/>
      <c r="Y1257" s="21"/>
      <c r="Z1257" s="21"/>
      <c r="AA1257" s="21"/>
      <c r="AB1257" s="21"/>
      <c r="AC1257" s="21"/>
      <c r="AD1257" s="21"/>
    </row>
    <row r="1258" spans="1:30">
      <c r="A1258" s="21"/>
      <c r="B1258" s="21"/>
      <c r="C1258" s="21"/>
      <c r="D1258" s="21"/>
      <c r="E1258" s="21"/>
      <c r="F1258" s="21"/>
      <c r="G1258" s="21"/>
      <c r="H1258" s="21"/>
      <c r="I1258" s="21"/>
      <c r="J1258" s="21"/>
      <c r="K1258" s="21"/>
      <c r="L1258" s="21"/>
      <c r="M1258" s="21"/>
      <c r="N1258" s="21"/>
      <c r="O1258" s="21"/>
      <c r="P1258" s="21"/>
      <c r="Q1258" s="21"/>
      <c r="R1258" s="21"/>
      <c r="S1258" s="21"/>
      <c r="T1258" s="21"/>
      <c r="U1258" s="21"/>
      <c r="V1258" s="21"/>
      <c r="W1258" s="21"/>
      <c r="X1258" s="21"/>
      <c r="Y1258" s="21"/>
      <c r="Z1258" s="21"/>
      <c r="AA1258" s="21"/>
      <c r="AB1258" s="21"/>
      <c r="AC1258" s="21"/>
      <c r="AD1258" s="21"/>
    </row>
    <row r="1259" spans="1:30">
      <c r="A1259" s="21"/>
      <c r="B1259" s="21"/>
      <c r="C1259" s="21"/>
      <c r="D1259" s="21"/>
      <c r="E1259" s="21"/>
      <c r="F1259" s="21"/>
      <c r="G1259" s="21"/>
      <c r="H1259" s="21"/>
      <c r="I1259" s="21"/>
      <c r="J1259" s="21"/>
      <c r="K1259" s="21"/>
      <c r="L1259" s="21"/>
      <c r="M1259" s="21"/>
      <c r="N1259" s="21"/>
      <c r="O1259" s="21"/>
      <c r="P1259" s="21"/>
      <c r="Q1259" s="21"/>
      <c r="R1259" s="21"/>
      <c r="S1259" s="21"/>
      <c r="T1259" s="21"/>
      <c r="U1259" s="21"/>
      <c r="V1259" s="21"/>
      <c r="W1259" s="21"/>
      <c r="X1259" s="21"/>
      <c r="Y1259" s="21"/>
      <c r="Z1259" s="21"/>
      <c r="AA1259" s="21"/>
      <c r="AB1259" s="21"/>
      <c r="AC1259" s="21"/>
      <c r="AD1259" s="21"/>
    </row>
    <row r="1260" spans="1:30">
      <c r="A1260" s="21"/>
      <c r="B1260" s="21"/>
      <c r="C1260" s="21"/>
      <c r="D1260" s="21"/>
      <c r="E1260" s="21"/>
      <c r="F1260" s="21"/>
      <c r="G1260" s="21"/>
      <c r="H1260" s="21"/>
      <c r="I1260" s="21"/>
      <c r="J1260" s="21"/>
      <c r="K1260" s="21"/>
      <c r="L1260" s="21"/>
      <c r="M1260" s="21"/>
      <c r="N1260" s="21"/>
      <c r="O1260" s="21"/>
      <c r="P1260" s="21"/>
      <c r="Q1260" s="21"/>
      <c r="R1260" s="21"/>
      <c r="S1260" s="21"/>
      <c r="T1260" s="21"/>
      <c r="U1260" s="21"/>
      <c r="V1260" s="21"/>
      <c r="W1260" s="21"/>
      <c r="X1260" s="21"/>
      <c r="Y1260" s="21"/>
      <c r="Z1260" s="21"/>
      <c r="AA1260" s="21"/>
      <c r="AB1260" s="21"/>
      <c r="AC1260" s="21"/>
      <c r="AD1260" s="21"/>
    </row>
    <row r="1261" spans="1:30">
      <c r="A1261" s="21"/>
      <c r="B1261" s="21"/>
      <c r="C1261" s="21"/>
      <c r="D1261" s="21"/>
      <c r="E1261" s="21"/>
      <c r="F1261" s="21"/>
      <c r="G1261" s="21"/>
      <c r="H1261" s="21"/>
      <c r="I1261" s="21"/>
      <c r="J1261" s="21"/>
      <c r="K1261" s="21"/>
      <c r="L1261" s="21"/>
      <c r="M1261" s="21"/>
      <c r="N1261" s="21"/>
      <c r="O1261" s="21"/>
      <c r="P1261" s="21"/>
      <c r="Q1261" s="21"/>
      <c r="R1261" s="21"/>
      <c r="S1261" s="21"/>
      <c r="T1261" s="21"/>
      <c r="U1261" s="21"/>
      <c r="V1261" s="21"/>
      <c r="W1261" s="21"/>
      <c r="X1261" s="21"/>
      <c r="Y1261" s="21"/>
      <c r="Z1261" s="21"/>
      <c r="AA1261" s="21"/>
      <c r="AB1261" s="21"/>
      <c r="AC1261" s="21"/>
      <c r="AD1261" s="21"/>
    </row>
    <row r="1262" spans="1:30">
      <c r="A1262" s="21"/>
      <c r="B1262" s="21"/>
      <c r="C1262" s="21"/>
      <c r="D1262" s="21"/>
      <c r="E1262" s="21"/>
      <c r="F1262" s="21"/>
      <c r="G1262" s="21"/>
      <c r="H1262" s="21"/>
      <c r="I1262" s="21"/>
      <c r="J1262" s="21"/>
      <c r="K1262" s="21"/>
      <c r="L1262" s="21"/>
      <c r="M1262" s="21"/>
      <c r="N1262" s="21"/>
      <c r="O1262" s="21"/>
      <c r="P1262" s="21"/>
      <c r="Q1262" s="21"/>
      <c r="R1262" s="21"/>
      <c r="S1262" s="21"/>
      <c r="T1262" s="21"/>
      <c r="U1262" s="21"/>
      <c r="V1262" s="21"/>
      <c r="W1262" s="21"/>
      <c r="X1262" s="21"/>
      <c r="Y1262" s="21"/>
      <c r="Z1262" s="21"/>
      <c r="AA1262" s="21"/>
      <c r="AB1262" s="21"/>
      <c r="AC1262" s="21"/>
      <c r="AD1262" s="21"/>
    </row>
    <row r="1263" spans="1:30">
      <c r="A1263" s="21"/>
      <c r="B1263" s="21"/>
      <c r="C1263" s="21"/>
      <c r="D1263" s="21"/>
      <c r="E1263" s="21"/>
      <c r="F1263" s="21"/>
      <c r="G1263" s="21"/>
      <c r="H1263" s="21"/>
      <c r="I1263" s="21"/>
      <c r="J1263" s="21"/>
      <c r="K1263" s="21"/>
      <c r="L1263" s="21"/>
      <c r="M1263" s="21"/>
      <c r="N1263" s="21"/>
      <c r="O1263" s="21"/>
      <c r="P1263" s="21"/>
      <c r="Q1263" s="21"/>
      <c r="R1263" s="21"/>
      <c r="S1263" s="21"/>
      <c r="T1263" s="21"/>
      <c r="U1263" s="21"/>
      <c r="V1263" s="21"/>
      <c r="W1263" s="21"/>
      <c r="X1263" s="21"/>
      <c r="Y1263" s="21"/>
      <c r="Z1263" s="21"/>
      <c r="AA1263" s="21"/>
      <c r="AB1263" s="21"/>
      <c r="AC1263" s="21"/>
      <c r="AD1263" s="21"/>
    </row>
    <row r="1264" spans="1:30">
      <c r="A1264" s="21"/>
      <c r="B1264" s="21"/>
      <c r="C1264" s="21"/>
      <c r="D1264" s="21"/>
      <c r="E1264" s="21"/>
      <c r="F1264" s="21"/>
      <c r="G1264" s="21"/>
      <c r="H1264" s="21"/>
      <c r="I1264" s="21"/>
      <c r="J1264" s="21"/>
      <c r="K1264" s="21"/>
      <c r="L1264" s="21"/>
      <c r="M1264" s="21"/>
      <c r="N1264" s="21"/>
      <c r="O1264" s="21"/>
      <c r="P1264" s="21"/>
      <c r="Q1264" s="21"/>
      <c r="R1264" s="21"/>
      <c r="S1264" s="21"/>
      <c r="T1264" s="21"/>
      <c r="U1264" s="21"/>
      <c r="V1264" s="21"/>
      <c r="W1264" s="21"/>
      <c r="X1264" s="21"/>
      <c r="Y1264" s="21"/>
      <c r="Z1264" s="21"/>
      <c r="AA1264" s="21"/>
      <c r="AB1264" s="21"/>
      <c r="AC1264" s="21"/>
      <c r="AD1264" s="21"/>
    </row>
    <row r="1265" spans="1:30">
      <c r="A1265" s="21"/>
      <c r="B1265" s="21"/>
      <c r="C1265" s="21"/>
      <c r="D1265" s="21"/>
      <c r="E1265" s="21"/>
      <c r="F1265" s="21"/>
      <c r="G1265" s="21"/>
      <c r="H1265" s="21"/>
      <c r="I1265" s="21"/>
      <c r="J1265" s="21"/>
      <c r="K1265" s="21"/>
      <c r="L1265" s="21"/>
      <c r="M1265" s="21"/>
      <c r="N1265" s="21"/>
      <c r="O1265" s="21"/>
      <c r="P1265" s="21"/>
      <c r="Q1265" s="21"/>
      <c r="R1265" s="21"/>
      <c r="S1265" s="21"/>
      <c r="T1265" s="21"/>
      <c r="U1265" s="21"/>
      <c r="V1265" s="21"/>
      <c r="W1265" s="21"/>
      <c r="X1265" s="21"/>
      <c r="Y1265" s="21"/>
      <c r="Z1265" s="21"/>
      <c r="AA1265" s="21"/>
      <c r="AB1265" s="21"/>
      <c r="AC1265" s="21"/>
      <c r="AD1265" s="21"/>
    </row>
    <row r="1266" spans="1:30">
      <c r="A1266" s="21"/>
      <c r="B1266" s="21"/>
      <c r="C1266" s="21"/>
      <c r="D1266" s="21"/>
      <c r="E1266" s="21"/>
      <c r="F1266" s="21"/>
      <c r="G1266" s="21"/>
      <c r="H1266" s="21"/>
      <c r="I1266" s="21"/>
      <c r="J1266" s="21"/>
      <c r="K1266" s="21"/>
      <c r="L1266" s="21"/>
      <c r="M1266" s="21"/>
      <c r="N1266" s="21"/>
      <c r="O1266" s="21"/>
      <c r="P1266" s="21"/>
      <c r="Q1266" s="21"/>
      <c r="R1266" s="21"/>
      <c r="S1266" s="21"/>
      <c r="T1266" s="21"/>
      <c r="U1266" s="21"/>
      <c r="V1266" s="21"/>
      <c r="W1266" s="21"/>
      <c r="X1266" s="21"/>
      <c r="Y1266" s="21"/>
      <c r="Z1266" s="21"/>
      <c r="AA1266" s="21"/>
      <c r="AB1266" s="21"/>
      <c r="AC1266" s="21"/>
      <c r="AD1266" s="21"/>
    </row>
    <row r="1267" spans="1:30">
      <c r="A1267" s="21"/>
      <c r="B1267" s="21"/>
      <c r="C1267" s="21"/>
      <c r="D1267" s="21"/>
      <c r="E1267" s="21"/>
      <c r="F1267" s="21"/>
      <c r="G1267" s="21"/>
      <c r="H1267" s="21"/>
      <c r="I1267" s="21"/>
      <c r="J1267" s="21"/>
      <c r="K1267" s="21"/>
      <c r="L1267" s="21"/>
      <c r="M1267" s="21"/>
      <c r="N1267" s="21"/>
      <c r="O1267" s="21"/>
      <c r="P1267" s="21"/>
      <c r="Q1267" s="21"/>
      <c r="R1267" s="21"/>
      <c r="S1267" s="21"/>
      <c r="T1267" s="21"/>
      <c r="U1267" s="21"/>
      <c r="V1267" s="21"/>
      <c r="W1267" s="21"/>
      <c r="X1267" s="21"/>
      <c r="Y1267" s="21"/>
      <c r="Z1267" s="21"/>
      <c r="AA1267" s="21"/>
      <c r="AB1267" s="21"/>
      <c r="AC1267" s="21"/>
      <c r="AD1267" s="21"/>
    </row>
    <row r="1268" spans="1:30">
      <c r="A1268" s="21"/>
      <c r="B1268" s="21"/>
      <c r="C1268" s="21"/>
      <c r="D1268" s="21"/>
      <c r="E1268" s="21"/>
      <c r="F1268" s="21"/>
      <c r="G1268" s="21"/>
      <c r="H1268" s="21"/>
      <c r="I1268" s="21"/>
      <c r="J1268" s="21"/>
      <c r="K1268" s="21"/>
      <c r="L1268" s="21"/>
      <c r="M1268" s="21"/>
      <c r="N1268" s="21"/>
      <c r="O1268" s="21"/>
      <c r="P1268" s="21"/>
      <c r="Q1268" s="21"/>
      <c r="R1268" s="21"/>
      <c r="S1268" s="21"/>
      <c r="T1268" s="21"/>
      <c r="U1268" s="21"/>
      <c r="V1268" s="21"/>
      <c r="W1268" s="21"/>
      <c r="X1268" s="21"/>
      <c r="Y1268" s="21"/>
      <c r="Z1268" s="21"/>
      <c r="AA1268" s="21"/>
      <c r="AB1268" s="21"/>
      <c r="AC1268" s="21"/>
      <c r="AD1268" s="21"/>
    </row>
    <row r="1269" spans="1:30">
      <c r="A1269" s="21"/>
      <c r="B1269" s="21"/>
      <c r="C1269" s="21"/>
      <c r="D1269" s="21"/>
      <c r="E1269" s="21"/>
      <c r="F1269" s="21"/>
      <c r="G1269" s="21"/>
      <c r="H1269" s="21"/>
      <c r="I1269" s="21"/>
      <c r="J1269" s="21"/>
      <c r="K1269" s="21"/>
      <c r="L1269" s="21"/>
      <c r="M1269" s="21"/>
      <c r="N1269" s="21"/>
      <c r="O1269" s="21"/>
      <c r="P1269" s="21"/>
      <c r="Q1269" s="21"/>
      <c r="R1269" s="21"/>
      <c r="S1269" s="21"/>
      <c r="T1269" s="21"/>
      <c r="U1269" s="21"/>
      <c r="V1269" s="21"/>
      <c r="W1269" s="21"/>
      <c r="X1269" s="21"/>
      <c r="Y1269" s="21"/>
      <c r="Z1269" s="21"/>
      <c r="AA1269" s="21"/>
      <c r="AB1269" s="21"/>
      <c r="AC1269" s="21"/>
      <c r="AD1269" s="21"/>
    </row>
    <row r="1270" spans="1:30">
      <c r="A1270" s="21"/>
      <c r="B1270" s="21"/>
      <c r="C1270" s="21"/>
      <c r="D1270" s="21"/>
      <c r="E1270" s="21"/>
      <c r="F1270" s="21"/>
      <c r="G1270" s="21"/>
      <c r="H1270" s="21"/>
      <c r="I1270" s="21"/>
      <c r="J1270" s="21"/>
      <c r="K1270" s="21"/>
      <c r="L1270" s="21"/>
      <c r="M1270" s="21"/>
      <c r="N1270" s="21"/>
      <c r="O1270" s="21"/>
      <c r="P1270" s="21"/>
      <c r="Q1270" s="21"/>
      <c r="R1270" s="21"/>
      <c r="S1270" s="21"/>
      <c r="T1270" s="21"/>
      <c r="U1270" s="21"/>
      <c r="V1270" s="21"/>
      <c r="W1270" s="21"/>
      <c r="X1270" s="21"/>
      <c r="Y1270" s="21"/>
      <c r="Z1270" s="21"/>
      <c r="AA1270" s="21"/>
      <c r="AB1270" s="21"/>
      <c r="AC1270" s="21"/>
      <c r="AD1270" s="21"/>
    </row>
    <row r="1271" spans="1:30">
      <c r="A1271" s="21"/>
      <c r="B1271" s="21"/>
      <c r="C1271" s="21"/>
      <c r="D1271" s="21"/>
      <c r="E1271" s="21"/>
      <c r="F1271" s="21"/>
      <c r="G1271" s="21"/>
      <c r="H1271" s="21"/>
      <c r="I1271" s="21"/>
      <c r="J1271" s="21"/>
      <c r="K1271" s="21"/>
      <c r="L1271" s="21"/>
      <c r="M1271" s="21"/>
      <c r="N1271" s="21"/>
      <c r="O1271" s="21"/>
      <c r="P1271" s="21"/>
      <c r="Q1271" s="21"/>
      <c r="R1271" s="21"/>
      <c r="S1271" s="21"/>
      <c r="T1271" s="21"/>
      <c r="U1271" s="21"/>
      <c r="V1271" s="21"/>
      <c r="W1271" s="21"/>
      <c r="X1271" s="21"/>
      <c r="Y1271" s="21"/>
      <c r="Z1271" s="21"/>
      <c r="AA1271" s="21"/>
      <c r="AB1271" s="21"/>
      <c r="AC1271" s="21"/>
      <c r="AD1271" s="21"/>
    </row>
    <row r="1272" spans="1:30">
      <c r="A1272" s="21"/>
      <c r="B1272" s="21"/>
      <c r="C1272" s="21"/>
      <c r="D1272" s="21"/>
      <c r="E1272" s="21"/>
      <c r="F1272" s="21"/>
      <c r="G1272" s="21"/>
      <c r="H1272" s="21"/>
      <c r="I1272" s="21"/>
      <c r="J1272" s="21"/>
      <c r="K1272" s="21"/>
      <c r="L1272" s="21"/>
      <c r="M1272" s="21"/>
      <c r="N1272" s="21"/>
      <c r="O1272" s="21"/>
      <c r="P1272" s="21"/>
      <c r="Q1272" s="21"/>
      <c r="R1272" s="21"/>
      <c r="S1272" s="21"/>
      <c r="T1272" s="21"/>
      <c r="U1272" s="21"/>
      <c r="V1272" s="21"/>
      <c r="W1272" s="21"/>
      <c r="X1272" s="21"/>
      <c r="Y1272" s="21"/>
      <c r="Z1272" s="21"/>
      <c r="AA1272" s="21"/>
      <c r="AB1272" s="21"/>
      <c r="AC1272" s="21"/>
      <c r="AD1272" s="21"/>
    </row>
    <row r="1273" spans="1:30">
      <c r="A1273" s="21"/>
      <c r="B1273" s="21"/>
      <c r="C1273" s="21"/>
      <c r="D1273" s="21"/>
      <c r="E1273" s="21"/>
      <c r="F1273" s="21"/>
      <c r="G1273" s="21"/>
      <c r="H1273" s="21"/>
      <c r="I1273" s="21"/>
      <c r="J1273" s="21"/>
      <c r="K1273" s="21"/>
      <c r="L1273" s="21"/>
      <c r="M1273" s="21"/>
      <c r="N1273" s="21"/>
      <c r="O1273" s="21"/>
      <c r="P1273" s="21"/>
      <c r="Q1273" s="21"/>
      <c r="R1273" s="21"/>
      <c r="S1273" s="21"/>
      <c r="T1273" s="21"/>
      <c r="U1273" s="21"/>
      <c r="V1273" s="21"/>
      <c r="W1273" s="21"/>
      <c r="X1273" s="21"/>
      <c r="Y1273" s="21"/>
      <c r="Z1273" s="21"/>
      <c r="AA1273" s="21"/>
      <c r="AB1273" s="21"/>
      <c r="AC1273" s="21"/>
      <c r="AD1273" s="21"/>
    </row>
    <row r="1274" spans="1:30">
      <c r="A1274" s="21"/>
      <c r="B1274" s="21"/>
      <c r="C1274" s="21"/>
      <c r="D1274" s="21"/>
      <c r="E1274" s="21"/>
      <c r="F1274" s="21"/>
      <c r="G1274" s="21"/>
      <c r="H1274" s="21"/>
      <c r="I1274" s="21"/>
      <c r="J1274" s="21"/>
      <c r="K1274" s="21"/>
      <c r="L1274" s="21"/>
      <c r="M1274" s="21"/>
      <c r="N1274" s="21"/>
      <c r="O1274" s="21"/>
      <c r="P1274" s="21"/>
      <c r="Q1274" s="21"/>
      <c r="R1274" s="21"/>
      <c r="S1274" s="21"/>
      <c r="T1274" s="21"/>
      <c r="U1274" s="21"/>
      <c r="V1274" s="21"/>
      <c r="W1274" s="21"/>
      <c r="X1274" s="21"/>
      <c r="Y1274" s="21"/>
      <c r="Z1274" s="21"/>
      <c r="AA1274" s="21"/>
      <c r="AB1274" s="21"/>
      <c r="AC1274" s="21"/>
      <c r="AD1274" s="21"/>
    </row>
    <row r="1275" spans="1:30">
      <c r="A1275" s="21"/>
      <c r="B1275" s="21"/>
      <c r="C1275" s="21"/>
      <c r="D1275" s="21"/>
      <c r="E1275" s="21"/>
      <c r="F1275" s="21"/>
      <c r="G1275" s="21"/>
      <c r="H1275" s="21"/>
      <c r="I1275" s="21"/>
      <c r="J1275" s="21"/>
      <c r="K1275" s="21"/>
      <c r="L1275" s="21"/>
      <c r="M1275" s="21"/>
      <c r="N1275" s="21"/>
      <c r="O1275" s="21"/>
      <c r="P1275" s="21"/>
      <c r="Q1275" s="21"/>
      <c r="R1275" s="21"/>
      <c r="S1275" s="21"/>
      <c r="T1275" s="21"/>
      <c r="U1275" s="21"/>
      <c r="V1275" s="21"/>
      <c r="W1275" s="21"/>
      <c r="X1275" s="21"/>
      <c r="Y1275" s="21"/>
      <c r="Z1275" s="21"/>
      <c r="AA1275" s="21"/>
      <c r="AB1275" s="21"/>
      <c r="AC1275" s="21"/>
      <c r="AD1275" s="21"/>
    </row>
    <row r="1276" spans="1:30">
      <c r="A1276" s="21"/>
      <c r="B1276" s="21"/>
      <c r="C1276" s="21"/>
      <c r="D1276" s="21"/>
      <c r="E1276" s="21"/>
      <c r="F1276" s="21"/>
      <c r="G1276" s="21"/>
      <c r="H1276" s="21"/>
      <c r="I1276" s="21"/>
      <c r="J1276" s="21"/>
      <c r="K1276" s="21"/>
      <c r="L1276" s="21"/>
      <c r="M1276" s="21"/>
      <c r="N1276" s="21"/>
      <c r="O1276" s="21"/>
      <c r="P1276" s="21"/>
      <c r="Q1276" s="21"/>
      <c r="R1276" s="21"/>
      <c r="S1276" s="21"/>
      <c r="T1276" s="21"/>
      <c r="U1276" s="21"/>
      <c r="V1276" s="21"/>
      <c r="W1276" s="21"/>
      <c r="X1276" s="21"/>
      <c r="Y1276" s="21"/>
      <c r="Z1276" s="21"/>
      <c r="AA1276" s="21"/>
      <c r="AB1276" s="21"/>
      <c r="AC1276" s="21"/>
      <c r="AD1276" s="21"/>
    </row>
    <row r="1277" spans="1:30">
      <c r="A1277" s="21"/>
      <c r="B1277" s="21"/>
      <c r="C1277" s="21"/>
      <c r="D1277" s="21"/>
      <c r="E1277" s="21"/>
      <c r="F1277" s="21"/>
      <c r="G1277" s="21"/>
      <c r="H1277" s="21"/>
      <c r="I1277" s="21"/>
      <c r="J1277" s="21"/>
      <c r="K1277" s="21"/>
      <c r="L1277" s="21"/>
      <c r="M1277" s="21"/>
      <c r="N1277" s="21"/>
      <c r="O1277" s="21"/>
      <c r="P1277" s="21"/>
      <c r="Q1277" s="21"/>
      <c r="R1277" s="21"/>
      <c r="S1277" s="21"/>
      <c r="T1277" s="21"/>
      <c r="U1277" s="21"/>
      <c r="V1277" s="21"/>
      <c r="W1277" s="21"/>
      <c r="X1277" s="21"/>
      <c r="Y1277" s="21"/>
      <c r="Z1277" s="21"/>
      <c r="AA1277" s="21"/>
      <c r="AB1277" s="21"/>
      <c r="AC1277" s="21"/>
      <c r="AD1277" s="21"/>
    </row>
    <row r="1278" spans="1:30">
      <c r="A1278" s="21"/>
      <c r="B1278" s="21"/>
      <c r="C1278" s="21"/>
      <c r="D1278" s="21"/>
      <c r="E1278" s="21"/>
      <c r="F1278" s="21"/>
      <c r="G1278" s="21"/>
      <c r="H1278" s="21"/>
      <c r="I1278" s="21"/>
      <c r="J1278" s="21"/>
      <c r="K1278" s="21"/>
      <c r="L1278" s="21"/>
      <c r="M1278" s="21"/>
      <c r="N1278" s="21"/>
      <c r="O1278" s="21"/>
      <c r="P1278" s="21"/>
      <c r="Q1278" s="21"/>
      <c r="R1278" s="21"/>
      <c r="S1278" s="21"/>
      <c r="T1278" s="21"/>
      <c r="U1278" s="21"/>
      <c r="V1278" s="21"/>
      <c r="W1278" s="21"/>
      <c r="X1278" s="21"/>
      <c r="Y1278" s="21"/>
      <c r="Z1278" s="21"/>
      <c r="AA1278" s="21"/>
      <c r="AB1278" s="21"/>
      <c r="AC1278" s="21"/>
      <c r="AD1278" s="21"/>
    </row>
    <row r="1279" spans="1:30">
      <c r="A1279" s="21"/>
      <c r="B1279" s="21"/>
      <c r="C1279" s="21"/>
      <c r="D1279" s="21"/>
      <c r="E1279" s="21"/>
      <c r="F1279" s="21"/>
      <c r="G1279" s="21"/>
      <c r="H1279" s="21"/>
      <c r="I1279" s="21"/>
      <c r="J1279" s="21"/>
      <c r="K1279" s="21"/>
      <c r="L1279" s="21"/>
      <c r="M1279" s="21"/>
      <c r="N1279" s="21"/>
      <c r="O1279" s="21"/>
      <c r="P1279" s="21"/>
      <c r="Q1279" s="21"/>
      <c r="R1279" s="21"/>
      <c r="S1279" s="21"/>
      <c r="T1279" s="21"/>
      <c r="U1279" s="21"/>
      <c r="V1279" s="21"/>
      <c r="W1279" s="21"/>
      <c r="X1279" s="21"/>
      <c r="Y1279" s="21"/>
      <c r="Z1279" s="21"/>
      <c r="AA1279" s="21"/>
      <c r="AB1279" s="21"/>
      <c r="AC1279" s="21"/>
      <c r="AD1279" s="21"/>
    </row>
    <row r="1280" spans="1:30">
      <c r="A1280" s="21"/>
      <c r="B1280" s="21"/>
      <c r="C1280" s="21"/>
      <c r="D1280" s="21"/>
      <c r="E1280" s="21"/>
      <c r="F1280" s="21"/>
      <c r="G1280" s="21"/>
      <c r="H1280" s="21"/>
      <c r="I1280" s="21"/>
      <c r="J1280" s="21"/>
      <c r="K1280" s="21"/>
      <c r="L1280" s="21"/>
      <c r="M1280" s="21"/>
      <c r="N1280" s="21"/>
      <c r="O1280" s="21"/>
      <c r="P1280" s="21"/>
      <c r="Q1280" s="21"/>
      <c r="R1280" s="21"/>
      <c r="S1280" s="21"/>
      <c r="T1280" s="21"/>
      <c r="U1280" s="21"/>
      <c r="V1280" s="21"/>
      <c r="W1280" s="21"/>
      <c r="X1280" s="21"/>
      <c r="Y1280" s="21"/>
      <c r="Z1280" s="21"/>
      <c r="AA1280" s="21"/>
      <c r="AB1280" s="21"/>
      <c r="AC1280" s="21"/>
      <c r="AD1280" s="21"/>
    </row>
    <row r="1281" spans="1:30">
      <c r="A1281" s="21"/>
      <c r="B1281" s="21"/>
      <c r="C1281" s="21"/>
      <c r="D1281" s="21"/>
      <c r="E1281" s="21"/>
      <c r="F1281" s="21"/>
      <c r="G1281" s="21"/>
      <c r="H1281" s="21"/>
      <c r="I1281" s="21"/>
      <c r="J1281" s="21"/>
      <c r="K1281" s="21"/>
      <c r="L1281" s="21"/>
      <c r="M1281" s="21"/>
      <c r="N1281" s="21"/>
      <c r="O1281" s="21"/>
      <c r="P1281" s="21"/>
      <c r="Q1281" s="21"/>
      <c r="R1281" s="21"/>
      <c r="S1281" s="21"/>
      <c r="T1281" s="21"/>
      <c r="U1281" s="21"/>
      <c r="V1281" s="21"/>
      <c r="W1281" s="21"/>
      <c r="X1281" s="21"/>
      <c r="Y1281" s="21"/>
      <c r="Z1281" s="21"/>
      <c r="AA1281" s="21"/>
      <c r="AB1281" s="21"/>
      <c r="AC1281" s="21"/>
      <c r="AD1281" s="21"/>
    </row>
    <row r="1282" spans="1:30">
      <c r="A1282" s="21"/>
      <c r="B1282" s="21"/>
      <c r="C1282" s="21"/>
      <c r="D1282" s="21"/>
      <c r="E1282" s="21"/>
      <c r="F1282" s="21"/>
      <c r="G1282" s="21"/>
      <c r="H1282" s="21"/>
      <c r="I1282" s="21"/>
      <c r="J1282" s="21"/>
      <c r="K1282" s="21"/>
      <c r="L1282" s="21"/>
      <c r="M1282" s="21"/>
      <c r="N1282" s="21"/>
      <c r="O1282" s="21"/>
      <c r="P1282" s="21"/>
      <c r="Q1282" s="21"/>
      <c r="R1282" s="21"/>
      <c r="S1282" s="21"/>
      <c r="T1282" s="21"/>
      <c r="U1282" s="21"/>
      <c r="V1282" s="21"/>
      <c r="W1282" s="21"/>
      <c r="X1282" s="21"/>
      <c r="Y1282" s="21"/>
      <c r="Z1282" s="21"/>
      <c r="AA1282" s="21"/>
      <c r="AB1282" s="21"/>
      <c r="AC1282" s="21"/>
      <c r="AD1282" s="21"/>
    </row>
    <row r="1283" spans="1:30">
      <c r="A1283" s="21"/>
      <c r="B1283" s="21"/>
      <c r="C1283" s="21"/>
      <c r="D1283" s="21"/>
      <c r="E1283" s="21"/>
      <c r="F1283" s="21"/>
      <c r="G1283" s="21"/>
      <c r="H1283" s="21"/>
      <c r="I1283" s="21"/>
      <c r="J1283" s="21"/>
      <c r="K1283" s="21"/>
      <c r="L1283" s="21"/>
      <c r="M1283" s="21"/>
      <c r="N1283" s="21"/>
      <c r="O1283" s="21"/>
      <c r="P1283" s="21"/>
      <c r="Q1283" s="21"/>
      <c r="R1283" s="21"/>
      <c r="S1283" s="21"/>
      <c r="T1283" s="21"/>
      <c r="U1283" s="21"/>
      <c r="V1283" s="21"/>
      <c r="W1283" s="21"/>
      <c r="X1283" s="21"/>
      <c r="Y1283" s="21"/>
      <c r="Z1283" s="21"/>
      <c r="AA1283" s="21"/>
      <c r="AB1283" s="21"/>
      <c r="AC1283" s="21"/>
      <c r="AD1283" s="21"/>
    </row>
    <row r="1284" spans="1:30">
      <c r="A1284" s="21"/>
      <c r="B1284" s="21"/>
      <c r="C1284" s="21"/>
      <c r="D1284" s="21"/>
      <c r="E1284" s="21"/>
      <c r="F1284" s="21"/>
      <c r="G1284" s="21"/>
      <c r="H1284" s="21"/>
      <c r="I1284" s="21"/>
      <c r="J1284" s="21"/>
      <c r="K1284" s="21"/>
      <c r="L1284" s="21"/>
      <c r="M1284" s="21"/>
      <c r="N1284" s="21"/>
      <c r="O1284" s="21"/>
      <c r="P1284" s="21"/>
      <c r="Q1284" s="21"/>
      <c r="R1284" s="21"/>
      <c r="S1284" s="21"/>
      <c r="T1284" s="21"/>
      <c r="U1284" s="21"/>
      <c r="V1284" s="21"/>
      <c r="W1284" s="21"/>
      <c r="X1284" s="21"/>
      <c r="Y1284" s="21"/>
      <c r="Z1284" s="21"/>
      <c r="AA1284" s="21"/>
      <c r="AB1284" s="21"/>
      <c r="AC1284" s="21"/>
      <c r="AD1284" s="21"/>
    </row>
    <row r="1285" spans="1:30">
      <c r="A1285" s="21"/>
      <c r="B1285" s="21"/>
      <c r="C1285" s="21"/>
      <c r="D1285" s="21"/>
      <c r="E1285" s="21"/>
      <c r="F1285" s="21"/>
      <c r="G1285" s="21"/>
      <c r="H1285" s="21"/>
      <c r="I1285" s="21"/>
      <c r="J1285" s="21"/>
      <c r="K1285" s="21"/>
      <c r="L1285" s="21"/>
      <c r="M1285" s="21"/>
      <c r="N1285" s="21"/>
      <c r="O1285" s="21"/>
      <c r="P1285" s="21"/>
      <c r="Q1285" s="21"/>
      <c r="R1285" s="21"/>
      <c r="S1285" s="21"/>
      <c r="T1285" s="21"/>
      <c r="U1285" s="21"/>
      <c r="V1285" s="21"/>
      <c r="W1285" s="21"/>
      <c r="X1285" s="21"/>
      <c r="Y1285" s="21"/>
      <c r="Z1285" s="21"/>
      <c r="AA1285" s="21"/>
      <c r="AB1285" s="21"/>
      <c r="AC1285" s="21"/>
      <c r="AD1285" s="21"/>
    </row>
    <row r="1286" spans="1:30">
      <c r="A1286" s="21"/>
      <c r="B1286" s="21"/>
      <c r="C1286" s="21"/>
      <c r="D1286" s="21"/>
      <c r="E1286" s="21"/>
      <c r="F1286" s="21"/>
      <c r="G1286" s="21"/>
      <c r="H1286" s="21"/>
      <c r="I1286" s="21"/>
      <c r="J1286" s="21"/>
      <c r="K1286" s="21"/>
      <c r="L1286" s="21"/>
      <c r="M1286" s="21"/>
      <c r="N1286" s="21"/>
      <c r="O1286" s="21"/>
      <c r="P1286" s="21"/>
      <c r="Q1286" s="21"/>
      <c r="R1286" s="21"/>
      <c r="S1286" s="21"/>
      <c r="T1286" s="21"/>
      <c r="U1286" s="21"/>
      <c r="V1286" s="21"/>
      <c r="W1286" s="21"/>
      <c r="X1286" s="21"/>
      <c r="Y1286" s="21"/>
      <c r="Z1286" s="21"/>
      <c r="AA1286" s="21"/>
      <c r="AB1286" s="21"/>
      <c r="AC1286" s="21"/>
      <c r="AD1286" s="21"/>
    </row>
    <row r="1287" spans="1:30">
      <c r="A1287" s="21"/>
      <c r="B1287" s="21"/>
      <c r="C1287" s="21"/>
      <c r="D1287" s="21"/>
      <c r="E1287" s="21"/>
      <c r="F1287" s="21"/>
      <c r="G1287" s="21"/>
      <c r="H1287" s="21"/>
      <c r="I1287" s="21"/>
      <c r="J1287" s="21"/>
      <c r="K1287" s="21"/>
      <c r="L1287" s="21"/>
      <c r="M1287" s="21"/>
      <c r="N1287" s="21"/>
      <c r="O1287" s="21"/>
      <c r="P1287" s="21"/>
      <c r="Q1287" s="21"/>
      <c r="R1287" s="21"/>
      <c r="S1287" s="21"/>
      <c r="T1287" s="21"/>
      <c r="U1287" s="21"/>
      <c r="V1287" s="21"/>
      <c r="W1287" s="21"/>
      <c r="X1287" s="21"/>
      <c r="Y1287" s="21"/>
      <c r="Z1287" s="21"/>
      <c r="AA1287" s="21"/>
      <c r="AB1287" s="21"/>
      <c r="AC1287" s="21"/>
      <c r="AD1287" s="21"/>
    </row>
    <row r="1288" spans="1:30">
      <c r="A1288" s="21"/>
      <c r="B1288" s="21"/>
      <c r="C1288" s="21"/>
      <c r="D1288" s="21"/>
      <c r="E1288" s="21"/>
      <c r="F1288" s="21"/>
      <c r="G1288" s="21"/>
      <c r="H1288" s="21"/>
      <c r="I1288" s="21"/>
      <c r="J1288" s="21"/>
      <c r="K1288" s="21"/>
      <c r="L1288" s="21"/>
      <c r="M1288" s="21"/>
      <c r="N1288" s="21"/>
      <c r="O1288" s="21"/>
      <c r="P1288" s="21"/>
      <c r="Q1288" s="21"/>
      <c r="R1288" s="21"/>
      <c r="S1288" s="21"/>
      <c r="T1288" s="21"/>
      <c r="U1288" s="21"/>
      <c r="V1288" s="21"/>
      <c r="W1288" s="21"/>
      <c r="X1288" s="21"/>
      <c r="Y1288" s="21"/>
      <c r="Z1288" s="21"/>
      <c r="AA1288" s="21"/>
      <c r="AB1288" s="21"/>
      <c r="AC1288" s="21"/>
      <c r="AD1288" s="21"/>
    </row>
    <row r="1289" spans="1:30">
      <c r="A1289" s="21"/>
      <c r="B1289" s="21"/>
      <c r="C1289" s="21"/>
      <c r="D1289" s="21"/>
      <c r="E1289" s="21"/>
      <c r="F1289" s="21"/>
      <c r="G1289" s="21"/>
      <c r="H1289" s="21"/>
      <c r="I1289" s="21"/>
      <c r="J1289" s="21"/>
      <c r="K1289" s="21"/>
      <c r="L1289" s="21"/>
      <c r="M1289" s="21"/>
      <c r="N1289" s="21"/>
      <c r="O1289" s="21"/>
      <c r="P1289" s="21"/>
      <c r="Q1289" s="21"/>
      <c r="R1289" s="21"/>
      <c r="S1289" s="21"/>
      <c r="T1289" s="21"/>
      <c r="U1289" s="21"/>
      <c r="V1289" s="21"/>
      <c r="W1289" s="21"/>
      <c r="X1289" s="21"/>
      <c r="Y1289" s="21"/>
      <c r="Z1289" s="21"/>
      <c r="AA1289" s="21"/>
      <c r="AB1289" s="21"/>
      <c r="AC1289" s="21"/>
      <c r="AD1289" s="21"/>
    </row>
    <row r="1290" spans="1:30">
      <c r="A1290" s="21"/>
      <c r="B1290" s="21"/>
      <c r="C1290" s="21"/>
      <c r="D1290" s="21"/>
      <c r="E1290" s="21"/>
      <c r="F1290" s="21"/>
      <c r="G1290" s="21"/>
      <c r="H1290" s="21"/>
      <c r="I1290" s="21"/>
      <c r="J1290" s="21"/>
      <c r="K1290" s="21"/>
      <c r="L1290" s="21"/>
      <c r="M1290" s="21"/>
      <c r="N1290" s="21"/>
      <c r="O1290" s="21"/>
      <c r="P1290" s="21"/>
      <c r="Q1290" s="21"/>
      <c r="R1290" s="21"/>
      <c r="S1290" s="21"/>
      <c r="T1290" s="21"/>
      <c r="U1290" s="21"/>
      <c r="V1290" s="21"/>
      <c r="W1290" s="21"/>
      <c r="X1290" s="21"/>
      <c r="Y1290" s="21"/>
      <c r="Z1290" s="21"/>
      <c r="AA1290" s="21"/>
      <c r="AB1290" s="21"/>
      <c r="AC1290" s="21"/>
      <c r="AD1290" s="21"/>
    </row>
    <row r="1291" spans="1:30">
      <c r="A1291" s="21"/>
      <c r="B1291" s="21"/>
      <c r="C1291" s="21"/>
      <c r="D1291" s="21"/>
      <c r="E1291" s="21"/>
      <c r="F1291" s="21"/>
      <c r="G1291" s="21"/>
      <c r="H1291" s="21"/>
      <c r="I1291" s="21"/>
      <c r="J1291" s="21"/>
      <c r="K1291" s="21"/>
      <c r="L1291" s="21"/>
      <c r="M1291" s="21"/>
      <c r="N1291" s="21"/>
      <c r="O1291" s="21"/>
      <c r="P1291" s="21"/>
      <c r="Q1291" s="21"/>
      <c r="R1291" s="21"/>
      <c r="S1291" s="21"/>
      <c r="T1291" s="21"/>
      <c r="U1291" s="21"/>
      <c r="V1291" s="21"/>
      <c r="W1291" s="21"/>
      <c r="X1291" s="21"/>
      <c r="Y1291" s="21"/>
      <c r="Z1291" s="21"/>
      <c r="AA1291" s="21"/>
      <c r="AB1291" s="21"/>
      <c r="AC1291" s="21"/>
      <c r="AD1291" s="21"/>
    </row>
    <row r="1292" spans="1:30">
      <c r="A1292" s="21"/>
      <c r="B1292" s="21"/>
      <c r="C1292" s="21"/>
      <c r="D1292" s="21"/>
      <c r="E1292" s="21"/>
      <c r="F1292" s="21"/>
      <c r="G1292" s="21"/>
      <c r="H1292" s="21"/>
      <c r="I1292" s="21"/>
      <c r="J1292" s="21"/>
      <c r="K1292" s="21"/>
      <c r="L1292" s="21"/>
      <c r="M1292" s="21"/>
      <c r="N1292" s="21"/>
      <c r="O1292" s="21"/>
      <c r="P1292" s="21"/>
      <c r="Q1292" s="21"/>
      <c r="R1292" s="21"/>
      <c r="S1292" s="21"/>
      <c r="T1292" s="21"/>
      <c r="U1292" s="21"/>
      <c r="V1292" s="21"/>
      <c r="W1292" s="21"/>
      <c r="X1292" s="21"/>
      <c r="Y1292" s="21"/>
      <c r="Z1292" s="21"/>
      <c r="AA1292" s="21"/>
      <c r="AB1292" s="21"/>
      <c r="AC1292" s="21"/>
      <c r="AD1292" s="21"/>
    </row>
    <row r="1293" spans="1:30">
      <c r="A1293" s="21"/>
      <c r="B1293" s="21"/>
      <c r="C1293" s="21"/>
      <c r="D1293" s="21"/>
      <c r="E1293" s="21"/>
      <c r="F1293" s="21"/>
      <c r="G1293" s="21"/>
      <c r="H1293" s="21"/>
      <c r="I1293" s="21"/>
      <c r="J1293" s="21"/>
      <c r="K1293" s="21"/>
      <c r="L1293" s="21"/>
      <c r="M1293" s="21"/>
      <c r="N1293" s="21"/>
      <c r="O1293" s="21"/>
      <c r="P1293" s="21"/>
      <c r="Q1293" s="21"/>
      <c r="R1293" s="21"/>
      <c r="S1293" s="21"/>
      <c r="T1293" s="21"/>
      <c r="U1293" s="21"/>
      <c r="V1293" s="21"/>
      <c r="W1293" s="21"/>
      <c r="X1293" s="21"/>
      <c r="Y1293" s="21"/>
      <c r="Z1293" s="21"/>
      <c r="AA1293" s="21"/>
      <c r="AB1293" s="21"/>
      <c r="AC1293" s="21"/>
      <c r="AD1293" s="21"/>
    </row>
    <row r="1294" spans="1:30">
      <c r="A1294" s="21"/>
      <c r="B1294" s="21"/>
      <c r="C1294" s="21"/>
      <c r="D1294" s="21"/>
      <c r="E1294" s="21"/>
      <c r="F1294" s="21"/>
      <c r="G1294" s="21"/>
      <c r="H1294" s="21"/>
      <c r="I1294" s="21"/>
      <c r="J1294" s="21"/>
      <c r="K1294" s="21"/>
      <c r="L1294" s="21"/>
      <c r="M1294" s="21"/>
      <c r="N1294" s="21"/>
      <c r="O1294" s="21"/>
      <c r="P1294" s="21"/>
      <c r="Q1294" s="21"/>
      <c r="R1294" s="21"/>
      <c r="S1294" s="21"/>
      <c r="T1294" s="21"/>
      <c r="U1294" s="21"/>
      <c r="V1294" s="21"/>
      <c r="W1294" s="21"/>
      <c r="X1294" s="21"/>
      <c r="Y1294" s="21"/>
      <c r="Z1294" s="21"/>
      <c r="AA1294" s="21"/>
      <c r="AB1294" s="21"/>
      <c r="AC1294" s="21"/>
      <c r="AD1294" s="21"/>
    </row>
    <row r="1295" spans="1:30">
      <c r="A1295" s="21"/>
      <c r="B1295" s="21"/>
      <c r="C1295" s="21"/>
      <c r="D1295" s="21"/>
      <c r="E1295" s="21"/>
      <c r="F1295" s="21"/>
      <c r="G1295" s="21"/>
      <c r="H1295" s="21"/>
      <c r="I1295" s="21"/>
      <c r="J1295" s="21"/>
      <c r="K1295" s="21"/>
      <c r="L1295" s="21"/>
      <c r="M1295" s="21"/>
      <c r="N1295" s="21"/>
      <c r="O1295" s="21"/>
      <c r="P1295" s="21"/>
      <c r="Q1295" s="21"/>
      <c r="R1295" s="21"/>
      <c r="S1295" s="21"/>
      <c r="T1295" s="21"/>
      <c r="U1295" s="21"/>
      <c r="V1295" s="21"/>
      <c r="W1295" s="21"/>
      <c r="X1295" s="21"/>
      <c r="Y1295" s="21"/>
      <c r="Z1295" s="21"/>
      <c r="AA1295" s="21"/>
      <c r="AB1295" s="21"/>
      <c r="AC1295" s="21"/>
      <c r="AD1295" s="21"/>
    </row>
    <row r="1296" spans="1:30">
      <c r="A1296" s="21"/>
      <c r="B1296" s="21"/>
      <c r="C1296" s="21"/>
      <c r="D1296" s="21"/>
      <c r="E1296" s="21"/>
      <c r="F1296" s="21"/>
      <c r="G1296" s="21"/>
      <c r="H1296" s="21"/>
      <c r="I1296" s="21"/>
      <c r="J1296" s="21"/>
      <c r="K1296" s="21"/>
      <c r="L1296" s="21"/>
      <c r="M1296" s="21"/>
      <c r="N1296" s="21"/>
      <c r="O1296" s="21"/>
      <c r="P1296" s="21"/>
      <c r="Q1296" s="21"/>
      <c r="R1296" s="21"/>
      <c r="S1296" s="21"/>
      <c r="T1296" s="21"/>
      <c r="U1296" s="21"/>
      <c r="V1296" s="21"/>
      <c r="W1296" s="21"/>
      <c r="X1296" s="21"/>
      <c r="Y1296" s="21"/>
      <c r="Z1296" s="21"/>
      <c r="AA1296" s="21"/>
      <c r="AB1296" s="21"/>
      <c r="AC1296" s="21"/>
      <c r="AD1296" s="21"/>
    </row>
    <row r="1297" spans="1:30">
      <c r="A1297" s="21"/>
      <c r="B1297" s="21"/>
      <c r="C1297" s="21"/>
      <c r="D1297" s="21"/>
      <c r="E1297" s="21"/>
      <c r="F1297" s="21"/>
      <c r="G1297" s="21"/>
      <c r="H1297" s="21"/>
      <c r="I1297" s="21"/>
      <c r="J1297" s="21"/>
      <c r="K1297" s="21"/>
      <c r="L1297" s="21"/>
      <c r="M1297" s="21"/>
      <c r="N1297" s="21"/>
      <c r="O1297" s="21"/>
      <c r="P1297" s="21"/>
      <c r="Q1297" s="21"/>
      <c r="R1297" s="21"/>
      <c r="S1297" s="21"/>
      <c r="T1297" s="21"/>
      <c r="U1297" s="21"/>
      <c r="V1297" s="21"/>
      <c r="W1297" s="21"/>
      <c r="X1297" s="21"/>
      <c r="Y1297" s="21"/>
      <c r="Z1297" s="21"/>
      <c r="AA1297" s="21"/>
      <c r="AB1297" s="21"/>
      <c r="AC1297" s="21"/>
      <c r="AD1297" s="21"/>
    </row>
    <row r="1298" spans="1:30">
      <c r="A1298" s="21"/>
      <c r="B1298" s="21"/>
      <c r="C1298" s="21"/>
      <c r="D1298" s="21"/>
      <c r="E1298" s="21"/>
      <c r="F1298" s="21"/>
      <c r="G1298" s="21"/>
      <c r="H1298" s="21"/>
      <c r="I1298" s="21"/>
      <c r="J1298" s="21"/>
      <c r="K1298" s="21"/>
      <c r="L1298" s="21"/>
      <c r="M1298" s="21"/>
      <c r="N1298" s="21"/>
      <c r="O1298" s="21"/>
      <c r="P1298" s="21"/>
      <c r="Q1298" s="21"/>
      <c r="R1298" s="21"/>
      <c r="S1298" s="21"/>
      <c r="T1298" s="21"/>
      <c r="U1298" s="21"/>
      <c r="V1298" s="21"/>
      <c r="W1298" s="21"/>
      <c r="X1298" s="21"/>
      <c r="Y1298" s="21"/>
      <c r="Z1298" s="21"/>
      <c r="AA1298" s="21"/>
      <c r="AB1298" s="21"/>
      <c r="AC1298" s="21"/>
      <c r="AD1298" s="21"/>
    </row>
    <row r="1299" spans="1:30">
      <c r="A1299" s="21"/>
      <c r="B1299" s="21"/>
      <c r="C1299" s="21"/>
      <c r="D1299" s="21"/>
      <c r="E1299" s="21"/>
      <c r="F1299" s="21"/>
      <c r="G1299" s="21"/>
      <c r="H1299" s="21"/>
      <c r="I1299" s="21"/>
      <c r="J1299" s="21"/>
      <c r="K1299" s="21"/>
      <c r="L1299" s="21"/>
      <c r="M1299" s="21"/>
      <c r="N1299" s="21"/>
      <c r="O1299" s="21"/>
      <c r="P1299" s="21"/>
      <c r="Q1299" s="21"/>
      <c r="R1299" s="21"/>
      <c r="S1299" s="21"/>
      <c r="T1299" s="21"/>
      <c r="U1299" s="21"/>
      <c r="V1299" s="21"/>
      <c r="W1299" s="21"/>
      <c r="X1299" s="21"/>
      <c r="Y1299" s="21"/>
      <c r="Z1299" s="21"/>
      <c r="AA1299" s="21"/>
      <c r="AB1299" s="21"/>
      <c r="AC1299" s="21"/>
      <c r="AD1299" s="21"/>
    </row>
    <row r="1300" spans="1:30">
      <c r="A1300" s="21"/>
      <c r="B1300" s="21"/>
      <c r="C1300" s="21"/>
      <c r="D1300" s="21"/>
      <c r="E1300" s="21"/>
      <c r="F1300" s="21"/>
      <c r="G1300" s="21"/>
      <c r="H1300" s="21"/>
      <c r="I1300" s="21"/>
      <c r="J1300" s="21"/>
      <c r="K1300" s="21"/>
      <c r="L1300" s="21"/>
      <c r="M1300" s="21"/>
      <c r="N1300" s="21"/>
      <c r="O1300" s="21"/>
      <c r="P1300" s="21"/>
      <c r="Q1300" s="21"/>
      <c r="R1300" s="21"/>
      <c r="S1300" s="21"/>
      <c r="T1300" s="21"/>
      <c r="U1300" s="21"/>
      <c r="V1300" s="21"/>
      <c r="W1300" s="21"/>
      <c r="X1300" s="21"/>
      <c r="Y1300" s="21"/>
      <c r="Z1300" s="21"/>
      <c r="AA1300" s="21"/>
      <c r="AB1300" s="21"/>
      <c r="AC1300" s="21"/>
      <c r="AD1300" s="21"/>
    </row>
    <row r="1301" spans="1:30">
      <c r="A1301" s="21"/>
      <c r="B1301" s="21"/>
      <c r="C1301" s="21"/>
      <c r="D1301" s="21"/>
      <c r="E1301" s="21"/>
      <c r="F1301" s="21"/>
      <c r="G1301" s="21"/>
      <c r="H1301" s="21"/>
      <c r="I1301" s="21"/>
      <c r="J1301" s="21"/>
      <c r="K1301" s="21"/>
      <c r="L1301" s="21"/>
      <c r="M1301" s="21"/>
      <c r="N1301" s="21"/>
      <c r="O1301" s="21"/>
      <c r="P1301" s="21"/>
      <c r="Q1301" s="21"/>
      <c r="R1301" s="21"/>
      <c r="S1301" s="21"/>
      <c r="T1301" s="21"/>
      <c r="U1301" s="21"/>
      <c r="V1301" s="21"/>
      <c r="W1301" s="21"/>
      <c r="X1301" s="21"/>
      <c r="Y1301" s="21"/>
      <c r="Z1301" s="21"/>
      <c r="AA1301" s="21"/>
      <c r="AB1301" s="21"/>
      <c r="AC1301" s="21"/>
      <c r="AD1301" s="21"/>
    </row>
    <row r="1302" spans="1:30">
      <c r="A1302" s="21"/>
      <c r="B1302" s="21"/>
      <c r="C1302" s="21"/>
      <c r="D1302" s="21"/>
      <c r="E1302" s="21"/>
      <c r="F1302" s="21"/>
      <c r="G1302" s="21"/>
      <c r="H1302" s="21"/>
      <c r="I1302" s="21"/>
      <c r="J1302" s="21"/>
      <c r="K1302" s="21"/>
      <c r="L1302" s="21"/>
      <c r="M1302" s="21"/>
      <c r="N1302" s="21"/>
      <c r="O1302" s="21"/>
      <c r="P1302" s="21"/>
      <c r="Q1302" s="21"/>
      <c r="R1302" s="21"/>
      <c r="S1302" s="21"/>
      <c r="T1302" s="21"/>
      <c r="U1302" s="21"/>
      <c r="V1302" s="21"/>
      <c r="W1302" s="21"/>
      <c r="X1302" s="21"/>
      <c r="Y1302" s="21"/>
      <c r="Z1302" s="21"/>
      <c r="AA1302" s="21"/>
      <c r="AB1302" s="21"/>
      <c r="AC1302" s="21"/>
      <c r="AD1302" s="21"/>
    </row>
    <row r="1303" spans="1:30">
      <c r="A1303" s="21"/>
      <c r="B1303" s="21"/>
      <c r="C1303" s="21"/>
      <c r="D1303" s="21"/>
      <c r="E1303" s="21"/>
      <c r="F1303" s="21"/>
      <c r="G1303" s="21"/>
      <c r="H1303" s="21"/>
      <c r="I1303" s="21"/>
      <c r="J1303" s="21"/>
      <c r="K1303" s="21"/>
      <c r="L1303" s="21"/>
      <c r="M1303" s="21"/>
      <c r="N1303" s="21"/>
      <c r="O1303" s="21"/>
      <c r="P1303" s="21"/>
      <c r="Q1303" s="21"/>
      <c r="R1303" s="21"/>
      <c r="S1303" s="21"/>
      <c r="T1303" s="21"/>
      <c r="U1303" s="21"/>
      <c r="V1303" s="21"/>
      <c r="W1303" s="21"/>
      <c r="X1303" s="21"/>
      <c r="Y1303" s="21"/>
      <c r="Z1303" s="21"/>
      <c r="AA1303" s="21"/>
      <c r="AB1303" s="21"/>
      <c r="AC1303" s="21"/>
      <c r="AD1303" s="21"/>
    </row>
    <row r="1304" spans="1:30">
      <c r="A1304" s="21"/>
      <c r="B1304" s="21"/>
      <c r="C1304" s="21"/>
      <c r="D1304" s="21"/>
      <c r="E1304" s="21"/>
      <c r="F1304" s="21"/>
      <c r="G1304" s="21"/>
      <c r="H1304" s="21"/>
      <c r="I1304" s="21"/>
      <c r="J1304" s="21"/>
      <c r="K1304" s="21"/>
      <c r="L1304" s="21"/>
      <c r="M1304" s="21"/>
      <c r="N1304" s="21"/>
      <c r="O1304" s="21"/>
      <c r="P1304" s="21"/>
      <c r="Q1304" s="21"/>
      <c r="R1304" s="21"/>
      <c r="S1304" s="21"/>
      <c r="T1304" s="21"/>
      <c r="U1304" s="21"/>
      <c r="V1304" s="21"/>
      <c r="W1304" s="21"/>
      <c r="X1304" s="21"/>
      <c r="Y1304" s="21"/>
      <c r="Z1304" s="21"/>
      <c r="AA1304" s="21"/>
      <c r="AB1304" s="21"/>
      <c r="AC1304" s="21"/>
      <c r="AD1304" s="21"/>
    </row>
    <row r="1305" spans="1:30">
      <c r="A1305" s="21"/>
      <c r="B1305" s="21"/>
      <c r="C1305" s="21"/>
      <c r="D1305" s="21"/>
      <c r="E1305" s="21"/>
      <c r="F1305" s="21"/>
      <c r="G1305" s="21"/>
      <c r="H1305" s="21"/>
      <c r="I1305" s="21"/>
      <c r="J1305" s="21"/>
      <c r="K1305" s="21"/>
      <c r="L1305" s="21"/>
      <c r="M1305" s="21"/>
      <c r="N1305" s="21"/>
      <c r="O1305" s="21"/>
      <c r="P1305" s="21"/>
      <c r="Q1305" s="21"/>
      <c r="R1305" s="21"/>
      <c r="S1305" s="21"/>
      <c r="T1305" s="21"/>
      <c r="U1305" s="21"/>
      <c r="V1305" s="21"/>
      <c r="W1305" s="21"/>
      <c r="X1305" s="21"/>
      <c r="Y1305" s="21"/>
      <c r="Z1305" s="21"/>
      <c r="AA1305" s="21"/>
      <c r="AB1305" s="21"/>
      <c r="AC1305" s="21"/>
      <c r="AD1305" s="21"/>
    </row>
    <row r="1306" spans="1:30">
      <c r="A1306" s="21"/>
      <c r="B1306" s="21"/>
      <c r="C1306" s="21"/>
      <c r="D1306" s="21"/>
      <c r="E1306" s="21"/>
      <c r="F1306" s="21"/>
      <c r="G1306" s="21"/>
      <c r="H1306" s="21"/>
      <c r="I1306" s="21"/>
      <c r="J1306" s="21"/>
      <c r="K1306" s="21"/>
      <c r="L1306" s="21"/>
      <c r="M1306" s="21"/>
      <c r="N1306" s="21"/>
      <c r="O1306" s="21"/>
      <c r="P1306" s="21"/>
      <c r="Q1306" s="21"/>
      <c r="R1306" s="21"/>
      <c r="S1306" s="21"/>
      <c r="T1306" s="21"/>
      <c r="U1306" s="21"/>
      <c r="V1306" s="21"/>
      <c r="W1306" s="21"/>
      <c r="X1306" s="21"/>
      <c r="Y1306" s="21"/>
      <c r="Z1306" s="21"/>
      <c r="AA1306" s="21"/>
      <c r="AB1306" s="21"/>
      <c r="AC1306" s="21"/>
      <c r="AD1306" s="21"/>
    </row>
    <row r="1307" spans="1:30">
      <c r="A1307" s="21"/>
      <c r="B1307" s="21"/>
      <c r="C1307" s="21"/>
      <c r="D1307" s="21"/>
      <c r="E1307" s="21"/>
      <c r="F1307" s="21"/>
      <c r="G1307" s="21"/>
      <c r="H1307" s="21"/>
      <c r="I1307" s="21"/>
      <c r="J1307" s="21"/>
      <c r="K1307" s="21"/>
      <c r="L1307" s="21"/>
      <c r="M1307" s="21"/>
      <c r="N1307" s="21"/>
      <c r="O1307" s="21"/>
      <c r="P1307" s="21"/>
      <c r="Q1307" s="21"/>
      <c r="R1307" s="21"/>
      <c r="S1307" s="21"/>
      <c r="T1307" s="21"/>
      <c r="U1307" s="21"/>
      <c r="V1307" s="21"/>
      <c r="W1307" s="21"/>
      <c r="X1307" s="21"/>
      <c r="Y1307" s="21"/>
      <c r="Z1307" s="21"/>
      <c r="AA1307" s="21"/>
      <c r="AB1307" s="21"/>
      <c r="AC1307" s="21"/>
      <c r="AD1307" s="21"/>
    </row>
    <row r="1308" spans="1:30">
      <c r="A1308" s="21"/>
      <c r="B1308" s="21"/>
      <c r="C1308" s="21"/>
      <c r="D1308" s="21"/>
      <c r="E1308" s="21"/>
      <c r="F1308" s="21"/>
      <c r="G1308" s="21"/>
      <c r="H1308" s="21"/>
      <c r="I1308" s="21"/>
      <c r="J1308" s="21"/>
      <c r="K1308" s="21"/>
      <c r="L1308" s="21"/>
      <c r="M1308" s="21"/>
      <c r="N1308" s="21"/>
      <c r="O1308" s="21"/>
      <c r="P1308" s="21"/>
      <c r="Q1308" s="21"/>
      <c r="R1308" s="21"/>
      <c r="S1308" s="21"/>
      <c r="T1308" s="21"/>
      <c r="U1308" s="21"/>
      <c r="V1308" s="21"/>
      <c r="W1308" s="21"/>
      <c r="X1308" s="21"/>
      <c r="Y1308" s="21"/>
      <c r="Z1308" s="21"/>
      <c r="AA1308" s="21"/>
      <c r="AB1308" s="21"/>
      <c r="AC1308" s="21"/>
      <c r="AD1308" s="21"/>
    </row>
    <row r="1309" spans="1:30">
      <c r="A1309" s="21"/>
      <c r="B1309" s="21"/>
      <c r="C1309" s="21"/>
      <c r="D1309" s="21"/>
      <c r="E1309" s="21"/>
      <c r="F1309" s="21"/>
      <c r="G1309" s="21"/>
      <c r="H1309" s="21"/>
      <c r="I1309" s="21"/>
      <c r="J1309" s="21"/>
      <c r="K1309" s="21"/>
      <c r="L1309" s="21"/>
      <c r="M1309" s="21"/>
      <c r="N1309" s="21"/>
      <c r="O1309" s="21"/>
      <c r="P1309" s="21"/>
      <c r="Q1309" s="21"/>
      <c r="R1309" s="21"/>
      <c r="S1309" s="21"/>
      <c r="T1309" s="21"/>
      <c r="U1309" s="21"/>
      <c r="V1309" s="21"/>
      <c r="W1309" s="21"/>
      <c r="X1309" s="21"/>
      <c r="Y1309" s="21"/>
      <c r="Z1309" s="21"/>
      <c r="AA1309" s="21"/>
      <c r="AB1309" s="21"/>
      <c r="AC1309" s="21"/>
      <c r="AD1309" s="21"/>
    </row>
    <row r="1310" spans="1:30">
      <c r="A1310" s="21"/>
      <c r="B1310" s="21"/>
      <c r="C1310" s="21"/>
      <c r="D1310" s="21"/>
      <c r="E1310" s="21"/>
      <c r="F1310" s="21"/>
      <c r="G1310" s="21"/>
      <c r="H1310" s="21"/>
      <c r="I1310" s="21"/>
      <c r="J1310" s="21"/>
      <c r="K1310" s="21"/>
      <c r="L1310" s="21"/>
      <c r="M1310" s="21"/>
      <c r="N1310" s="21"/>
      <c r="O1310" s="21"/>
      <c r="P1310" s="21"/>
      <c r="Q1310" s="21"/>
      <c r="R1310" s="21"/>
      <c r="S1310" s="21"/>
      <c r="T1310" s="21"/>
      <c r="U1310" s="21"/>
      <c r="V1310" s="21"/>
      <c r="W1310" s="21"/>
      <c r="X1310" s="21"/>
      <c r="Y1310" s="21"/>
      <c r="Z1310" s="21"/>
      <c r="AA1310" s="21"/>
      <c r="AB1310" s="21"/>
      <c r="AC1310" s="21"/>
      <c r="AD1310" s="21"/>
    </row>
    <row r="1311" spans="1:30">
      <c r="A1311" s="21"/>
      <c r="B1311" s="21"/>
      <c r="C1311" s="21"/>
      <c r="D1311" s="21"/>
      <c r="E1311" s="21"/>
      <c r="F1311" s="21"/>
      <c r="G1311" s="21"/>
      <c r="H1311" s="21"/>
      <c r="I1311" s="21"/>
      <c r="J1311" s="21"/>
      <c r="K1311" s="21"/>
      <c r="L1311" s="21"/>
      <c r="M1311" s="21"/>
      <c r="N1311" s="21"/>
      <c r="O1311" s="21"/>
      <c r="P1311" s="21"/>
      <c r="Q1311" s="21"/>
      <c r="R1311" s="21"/>
      <c r="S1311" s="21"/>
      <c r="T1311" s="21"/>
      <c r="U1311" s="21"/>
      <c r="V1311" s="21"/>
      <c r="W1311" s="21"/>
      <c r="X1311" s="21"/>
      <c r="Y1311" s="21"/>
      <c r="Z1311" s="21"/>
      <c r="AA1311" s="21"/>
      <c r="AB1311" s="21"/>
      <c r="AC1311" s="21"/>
      <c r="AD1311" s="21"/>
    </row>
    <row r="1312" spans="1:30">
      <c r="A1312" s="21"/>
      <c r="B1312" s="21"/>
      <c r="C1312" s="21"/>
      <c r="D1312" s="21"/>
      <c r="E1312" s="21"/>
      <c r="F1312" s="21"/>
      <c r="G1312" s="21"/>
      <c r="H1312" s="21"/>
      <c r="I1312" s="21"/>
      <c r="J1312" s="21"/>
      <c r="K1312" s="21"/>
      <c r="L1312" s="21"/>
      <c r="M1312" s="21"/>
      <c r="N1312" s="21"/>
      <c r="O1312" s="21"/>
      <c r="P1312" s="21"/>
      <c r="Q1312" s="21"/>
      <c r="R1312" s="21"/>
      <c r="S1312" s="21"/>
      <c r="T1312" s="21"/>
      <c r="U1312" s="21"/>
      <c r="V1312" s="21"/>
      <c r="W1312" s="21"/>
      <c r="X1312" s="21"/>
      <c r="Y1312" s="21"/>
      <c r="Z1312" s="21"/>
      <c r="AA1312" s="21"/>
      <c r="AB1312" s="21"/>
      <c r="AC1312" s="21"/>
      <c r="AD1312" s="21"/>
    </row>
    <row r="1313" spans="1:30">
      <c r="A1313" s="21"/>
      <c r="B1313" s="21"/>
      <c r="C1313" s="21"/>
      <c r="D1313" s="21"/>
      <c r="E1313" s="21"/>
      <c r="F1313" s="21"/>
      <c r="G1313" s="21"/>
      <c r="H1313" s="21"/>
      <c r="I1313" s="21"/>
      <c r="J1313" s="21"/>
      <c r="K1313" s="21"/>
      <c r="L1313" s="21"/>
      <c r="M1313" s="21"/>
      <c r="N1313" s="21"/>
      <c r="O1313" s="21"/>
      <c r="P1313" s="21"/>
      <c r="Q1313" s="21"/>
      <c r="R1313" s="21"/>
      <c r="S1313" s="21"/>
      <c r="T1313" s="21"/>
      <c r="U1313" s="21"/>
      <c r="V1313" s="21"/>
      <c r="W1313" s="21"/>
      <c r="X1313" s="21"/>
      <c r="Y1313" s="21"/>
      <c r="Z1313" s="21"/>
      <c r="AA1313" s="21"/>
      <c r="AB1313" s="21"/>
      <c r="AC1313" s="21"/>
      <c r="AD1313" s="21"/>
    </row>
    <row r="1314" spans="1:30">
      <c r="A1314" s="21"/>
      <c r="B1314" s="21"/>
      <c r="C1314" s="21"/>
      <c r="D1314" s="21"/>
      <c r="E1314" s="21"/>
      <c r="F1314" s="21"/>
      <c r="G1314" s="21"/>
      <c r="H1314" s="21"/>
      <c r="I1314" s="21"/>
      <c r="J1314" s="21"/>
      <c r="K1314" s="21"/>
      <c r="L1314" s="21"/>
      <c r="M1314" s="21"/>
      <c r="N1314" s="21"/>
      <c r="O1314" s="21"/>
      <c r="P1314" s="21"/>
      <c r="Q1314" s="21"/>
      <c r="R1314" s="21"/>
      <c r="S1314" s="21"/>
      <c r="T1314" s="21"/>
      <c r="U1314" s="21"/>
      <c r="V1314" s="21"/>
      <c r="W1314" s="21"/>
      <c r="X1314" s="21"/>
      <c r="Y1314" s="21"/>
      <c r="Z1314" s="21"/>
      <c r="AA1314" s="21"/>
      <c r="AB1314" s="21"/>
      <c r="AC1314" s="21"/>
      <c r="AD1314" s="21"/>
    </row>
    <row r="1315" spans="1:30">
      <c r="A1315" s="21"/>
      <c r="B1315" s="21"/>
      <c r="C1315" s="21"/>
      <c r="D1315" s="21"/>
      <c r="E1315" s="21"/>
      <c r="F1315" s="21"/>
      <c r="G1315" s="21"/>
      <c r="H1315" s="21"/>
      <c r="I1315" s="21"/>
      <c r="J1315" s="21"/>
      <c r="K1315" s="21"/>
      <c r="L1315" s="21"/>
      <c r="M1315" s="21"/>
      <c r="N1315" s="21"/>
      <c r="O1315" s="21"/>
      <c r="P1315" s="21"/>
      <c r="Q1315" s="21"/>
      <c r="R1315" s="21"/>
      <c r="S1315" s="21"/>
      <c r="T1315" s="21"/>
      <c r="U1315" s="21"/>
      <c r="V1315" s="21"/>
      <c r="W1315" s="21"/>
      <c r="X1315" s="21"/>
      <c r="Y1315" s="21"/>
      <c r="Z1315" s="21"/>
      <c r="AA1315" s="21"/>
      <c r="AB1315" s="21"/>
      <c r="AC1315" s="21"/>
      <c r="AD1315" s="21"/>
    </row>
    <row r="1316" spans="1:30">
      <c r="A1316" s="21"/>
      <c r="B1316" s="21"/>
      <c r="C1316" s="21"/>
      <c r="D1316" s="21"/>
      <c r="E1316" s="21"/>
      <c r="F1316" s="21"/>
      <c r="G1316" s="21"/>
      <c r="H1316" s="21"/>
      <c r="I1316" s="21"/>
      <c r="J1316" s="21"/>
      <c r="K1316" s="21"/>
      <c r="L1316" s="21"/>
      <c r="M1316" s="21"/>
      <c r="N1316" s="21"/>
      <c r="O1316" s="21"/>
      <c r="P1316" s="21"/>
      <c r="Q1316" s="21"/>
      <c r="R1316" s="21"/>
      <c r="S1316" s="21"/>
      <c r="T1316" s="21"/>
      <c r="U1316" s="21"/>
      <c r="V1316" s="21"/>
      <c r="W1316" s="21"/>
      <c r="X1316" s="21"/>
      <c r="Y1316" s="21"/>
      <c r="Z1316" s="21"/>
      <c r="AA1316" s="21"/>
      <c r="AB1316" s="21"/>
      <c r="AC1316" s="21"/>
      <c r="AD1316" s="21"/>
    </row>
    <row r="1317" spans="1:30">
      <c r="A1317" s="21"/>
      <c r="B1317" s="21"/>
      <c r="C1317" s="21"/>
      <c r="D1317" s="21"/>
      <c r="E1317" s="21"/>
      <c r="F1317" s="21"/>
      <c r="G1317" s="21"/>
      <c r="H1317" s="21"/>
      <c r="I1317" s="21"/>
      <c r="J1317" s="21"/>
      <c r="K1317" s="21"/>
      <c r="L1317" s="21"/>
      <c r="M1317" s="21"/>
      <c r="N1317" s="21"/>
      <c r="O1317" s="21"/>
      <c r="P1317" s="21"/>
      <c r="Q1317" s="21"/>
      <c r="R1317" s="21"/>
      <c r="S1317" s="21"/>
      <c r="T1317" s="21"/>
      <c r="U1317" s="21"/>
      <c r="V1317" s="21"/>
      <c r="W1317" s="21"/>
      <c r="X1317" s="21"/>
      <c r="Y1317" s="21"/>
      <c r="Z1317" s="21"/>
      <c r="AA1317" s="21"/>
      <c r="AB1317" s="21"/>
      <c r="AC1317" s="21"/>
      <c r="AD1317" s="21"/>
    </row>
    <row r="1318" spans="1:30">
      <c r="A1318" s="21"/>
      <c r="B1318" s="21"/>
      <c r="C1318" s="21"/>
      <c r="D1318" s="21"/>
      <c r="E1318" s="21"/>
      <c r="F1318" s="21"/>
      <c r="G1318" s="21"/>
      <c r="H1318" s="21"/>
      <c r="I1318" s="21"/>
      <c r="J1318" s="21"/>
      <c r="K1318" s="21"/>
      <c r="L1318" s="21"/>
      <c r="M1318" s="21"/>
      <c r="N1318" s="21"/>
      <c r="O1318" s="21"/>
      <c r="P1318" s="21"/>
      <c r="Q1318" s="21"/>
      <c r="R1318" s="21"/>
      <c r="S1318" s="21"/>
      <c r="T1318" s="21"/>
      <c r="U1318" s="21"/>
      <c r="V1318" s="21"/>
      <c r="W1318" s="21"/>
      <c r="X1318" s="21"/>
      <c r="Y1318" s="21"/>
      <c r="Z1318" s="21"/>
      <c r="AA1318" s="21"/>
      <c r="AB1318" s="21"/>
      <c r="AC1318" s="21"/>
      <c r="AD1318" s="21"/>
    </row>
    <row r="1319" spans="1:30">
      <c r="A1319" s="21"/>
      <c r="B1319" s="21"/>
      <c r="C1319" s="21"/>
      <c r="D1319" s="21"/>
      <c r="E1319" s="21"/>
      <c r="F1319" s="21"/>
      <c r="G1319" s="21"/>
      <c r="H1319" s="21"/>
      <c r="I1319" s="21"/>
      <c r="J1319" s="21"/>
      <c r="K1319" s="21"/>
      <c r="L1319" s="21"/>
      <c r="M1319" s="21"/>
      <c r="N1319" s="21"/>
      <c r="O1319" s="21"/>
      <c r="P1319" s="21"/>
      <c r="Q1319" s="21"/>
      <c r="R1319" s="21"/>
      <c r="S1319" s="21"/>
      <c r="T1319" s="21"/>
      <c r="U1319" s="21"/>
      <c r="V1319" s="21"/>
      <c r="W1319" s="21"/>
      <c r="X1319" s="21"/>
      <c r="Y1319" s="21"/>
      <c r="Z1319" s="21"/>
      <c r="AA1319" s="21"/>
      <c r="AB1319" s="21"/>
      <c r="AC1319" s="21"/>
      <c r="AD1319" s="21"/>
    </row>
    <row r="1320" spans="1:30">
      <c r="A1320" s="21"/>
      <c r="B1320" s="21"/>
      <c r="C1320" s="21"/>
      <c r="D1320" s="21"/>
      <c r="E1320" s="21"/>
      <c r="F1320" s="21"/>
      <c r="G1320" s="21"/>
      <c r="H1320" s="21"/>
      <c r="I1320" s="21"/>
      <c r="J1320" s="21"/>
      <c r="K1320" s="21"/>
      <c r="L1320" s="21"/>
      <c r="M1320" s="21"/>
      <c r="N1320" s="21"/>
      <c r="O1320" s="21"/>
      <c r="P1320" s="21"/>
      <c r="Q1320" s="21"/>
      <c r="R1320" s="21"/>
      <c r="S1320" s="21"/>
      <c r="T1320" s="21"/>
      <c r="U1320" s="21"/>
      <c r="V1320" s="21"/>
      <c r="W1320" s="21"/>
      <c r="X1320" s="21"/>
      <c r="Y1320" s="21"/>
      <c r="Z1320" s="21"/>
      <c r="AA1320" s="21"/>
      <c r="AB1320" s="21"/>
      <c r="AC1320" s="21"/>
      <c r="AD1320" s="21"/>
    </row>
    <row r="1321" spans="1:30">
      <c r="A1321" s="21"/>
      <c r="B1321" s="21"/>
      <c r="C1321" s="21"/>
      <c r="D1321" s="21"/>
      <c r="E1321" s="21"/>
      <c r="F1321" s="21"/>
      <c r="G1321" s="21"/>
      <c r="H1321" s="21"/>
      <c r="I1321" s="21"/>
      <c r="J1321" s="21"/>
      <c r="K1321" s="21"/>
      <c r="L1321" s="21"/>
      <c r="M1321" s="21"/>
      <c r="N1321" s="21"/>
      <c r="O1321" s="21"/>
      <c r="P1321" s="21"/>
      <c r="Q1321" s="21"/>
      <c r="R1321" s="21"/>
      <c r="S1321" s="21"/>
      <c r="T1321" s="21"/>
      <c r="U1321" s="21"/>
      <c r="V1321" s="21"/>
      <c r="W1321" s="21"/>
      <c r="X1321" s="21"/>
      <c r="Y1321" s="21"/>
      <c r="Z1321" s="21"/>
      <c r="AA1321" s="21"/>
      <c r="AB1321" s="21"/>
      <c r="AC1321" s="21"/>
      <c r="AD1321" s="21"/>
    </row>
    <row r="1322" spans="1:30">
      <c r="A1322" s="21"/>
      <c r="B1322" s="21"/>
      <c r="C1322" s="21"/>
      <c r="D1322" s="21"/>
      <c r="E1322" s="21"/>
      <c r="F1322" s="21"/>
      <c r="G1322" s="21"/>
      <c r="H1322" s="21"/>
      <c r="I1322" s="21"/>
      <c r="J1322" s="21"/>
      <c r="K1322" s="21"/>
      <c r="L1322" s="21"/>
      <c r="M1322" s="21"/>
      <c r="N1322" s="21"/>
      <c r="O1322" s="21"/>
      <c r="P1322" s="21"/>
      <c r="Q1322" s="21"/>
      <c r="R1322" s="21"/>
      <c r="S1322" s="21"/>
      <c r="T1322" s="21"/>
      <c r="U1322" s="21"/>
      <c r="V1322" s="21"/>
      <c r="W1322" s="21"/>
      <c r="X1322" s="21"/>
      <c r="Y1322" s="21"/>
      <c r="Z1322" s="21"/>
      <c r="AA1322" s="21"/>
      <c r="AB1322" s="21"/>
      <c r="AC1322" s="21"/>
      <c r="AD1322" s="21"/>
    </row>
    <row r="1323" spans="1:30">
      <c r="A1323" s="21"/>
      <c r="B1323" s="21"/>
      <c r="C1323" s="21"/>
      <c r="D1323" s="21"/>
      <c r="E1323" s="21"/>
      <c r="F1323" s="21"/>
      <c r="G1323" s="21"/>
      <c r="H1323" s="21"/>
      <c r="I1323" s="21"/>
      <c r="J1323" s="21"/>
      <c r="K1323" s="21"/>
      <c r="L1323" s="21"/>
      <c r="M1323" s="21"/>
      <c r="N1323" s="21"/>
      <c r="O1323" s="21"/>
      <c r="P1323" s="21"/>
      <c r="Q1323" s="21"/>
      <c r="R1323" s="21"/>
      <c r="S1323" s="21"/>
      <c r="T1323" s="21"/>
      <c r="U1323" s="21"/>
      <c r="V1323" s="21"/>
      <c r="W1323" s="21"/>
      <c r="X1323" s="21"/>
      <c r="Y1323" s="21"/>
      <c r="Z1323" s="21"/>
      <c r="AA1323" s="21"/>
      <c r="AB1323" s="21"/>
      <c r="AC1323" s="21"/>
      <c r="AD1323" s="21"/>
    </row>
    <row r="1324" spans="1:30">
      <c r="A1324" s="21"/>
      <c r="B1324" s="21"/>
      <c r="C1324" s="21"/>
      <c r="D1324" s="21"/>
      <c r="E1324" s="21"/>
      <c r="F1324" s="21"/>
      <c r="G1324" s="21"/>
      <c r="H1324" s="21"/>
      <c r="I1324" s="21"/>
      <c r="J1324" s="21"/>
      <c r="K1324" s="21"/>
      <c r="L1324" s="21"/>
      <c r="M1324" s="21"/>
      <c r="N1324" s="21"/>
      <c r="O1324" s="21"/>
      <c r="P1324" s="21"/>
      <c r="Q1324" s="21"/>
      <c r="R1324" s="21"/>
      <c r="S1324" s="21"/>
      <c r="T1324" s="21"/>
      <c r="U1324" s="21"/>
      <c r="V1324" s="21"/>
      <c r="W1324" s="21"/>
      <c r="X1324" s="21"/>
      <c r="Y1324" s="21"/>
      <c r="Z1324" s="21"/>
      <c r="AA1324" s="21"/>
      <c r="AB1324" s="21"/>
      <c r="AC1324" s="21"/>
      <c r="AD1324" s="21"/>
    </row>
    <row r="1325" spans="1:30">
      <c r="A1325" s="21"/>
      <c r="B1325" s="21"/>
      <c r="C1325" s="21"/>
      <c r="D1325" s="21"/>
      <c r="E1325" s="21"/>
      <c r="F1325" s="21"/>
      <c r="G1325" s="21"/>
      <c r="H1325" s="21"/>
      <c r="I1325" s="21"/>
      <c r="J1325" s="21"/>
      <c r="K1325" s="21"/>
      <c r="L1325" s="21"/>
      <c r="M1325" s="21"/>
      <c r="N1325" s="21"/>
      <c r="O1325" s="21"/>
      <c r="P1325" s="21"/>
      <c r="Q1325" s="21"/>
      <c r="R1325" s="21"/>
      <c r="S1325" s="21"/>
      <c r="T1325" s="21"/>
      <c r="U1325" s="21"/>
      <c r="V1325" s="21"/>
      <c r="W1325" s="21"/>
      <c r="X1325" s="21"/>
      <c r="Y1325" s="21"/>
      <c r="Z1325" s="21"/>
      <c r="AA1325" s="21"/>
      <c r="AB1325" s="21"/>
      <c r="AC1325" s="21"/>
      <c r="AD1325" s="21"/>
    </row>
    <row r="1326" spans="1:30">
      <c r="A1326" s="21"/>
      <c r="B1326" s="21"/>
      <c r="C1326" s="21"/>
      <c r="D1326" s="21"/>
      <c r="E1326" s="21"/>
      <c r="F1326" s="21"/>
      <c r="G1326" s="21"/>
      <c r="H1326" s="21"/>
      <c r="I1326" s="21"/>
      <c r="J1326" s="21"/>
      <c r="K1326" s="21"/>
      <c r="L1326" s="21"/>
      <c r="M1326" s="21"/>
      <c r="N1326" s="21"/>
      <c r="O1326" s="21"/>
      <c r="P1326" s="21"/>
      <c r="Q1326" s="21"/>
      <c r="R1326" s="21"/>
      <c r="S1326" s="21"/>
      <c r="T1326" s="21"/>
      <c r="U1326" s="21"/>
      <c r="V1326" s="21"/>
      <c r="W1326" s="21"/>
      <c r="X1326" s="21"/>
      <c r="Y1326" s="21"/>
      <c r="Z1326" s="21"/>
      <c r="AA1326" s="21"/>
      <c r="AB1326" s="21"/>
      <c r="AC1326" s="21"/>
      <c r="AD1326" s="21"/>
    </row>
    <row r="1327" spans="1:30">
      <c r="A1327" s="21"/>
      <c r="B1327" s="21"/>
      <c r="C1327" s="21"/>
      <c r="D1327" s="21"/>
      <c r="E1327" s="21"/>
      <c r="F1327" s="21"/>
      <c r="G1327" s="21"/>
      <c r="H1327" s="21"/>
      <c r="I1327" s="21"/>
      <c r="J1327" s="21"/>
      <c r="K1327" s="21"/>
      <c r="L1327" s="21"/>
      <c r="M1327" s="21"/>
      <c r="N1327" s="21"/>
      <c r="O1327" s="21"/>
      <c r="P1327" s="21"/>
      <c r="Q1327" s="21"/>
      <c r="R1327" s="21"/>
      <c r="S1327" s="21"/>
      <c r="T1327" s="21"/>
      <c r="U1327" s="21"/>
      <c r="V1327" s="21"/>
      <c r="W1327" s="21"/>
      <c r="X1327" s="21"/>
      <c r="Y1327" s="21"/>
      <c r="Z1327" s="21"/>
      <c r="AA1327" s="21"/>
      <c r="AB1327" s="21"/>
      <c r="AC1327" s="21"/>
      <c r="AD1327" s="21"/>
    </row>
    <row r="1328" spans="1:30">
      <c r="A1328" s="21"/>
      <c r="B1328" s="21"/>
      <c r="C1328" s="21"/>
      <c r="D1328" s="21"/>
      <c r="E1328" s="21"/>
      <c r="F1328" s="21"/>
      <c r="G1328" s="21"/>
      <c r="H1328" s="21"/>
      <c r="I1328" s="21"/>
      <c r="J1328" s="21"/>
      <c r="K1328" s="21"/>
      <c r="L1328" s="21"/>
      <c r="M1328" s="21"/>
      <c r="N1328" s="21"/>
      <c r="O1328" s="21"/>
      <c r="P1328" s="21"/>
      <c r="Q1328" s="21"/>
      <c r="R1328" s="21"/>
      <c r="S1328" s="21"/>
      <c r="T1328" s="21"/>
      <c r="U1328" s="21"/>
      <c r="V1328" s="21"/>
      <c r="W1328" s="21"/>
      <c r="X1328" s="21"/>
      <c r="Y1328" s="21"/>
      <c r="Z1328" s="21"/>
      <c r="AA1328" s="21"/>
      <c r="AB1328" s="21"/>
      <c r="AC1328" s="21"/>
      <c r="AD1328" s="21"/>
    </row>
    <row r="1329" spans="1:30">
      <c r="A1329" s="21"/>
      <c r="B1329" s="21"/>
      <c r="C1329" s="21"/>
      <c r="D1329" s="21"/>
      <c r="E1329" s="21"/>
      <c r="F1329" s="21"/>
      <c r="G1329" s="21"/>
      <c r="H1329" s="21"/>
      <c r="I1329" s="21"/>
      <c r="J1329" s="21"/>
      <c r="K1329" s="21"/>
      <c r="L1329" s="21"/>
      <c r="M1329" s="21"/>
      <c r="N1329" s="21"/>
      <c r="O1329" s="21"/>
      <c r="P1329" s="21"/>
      <c r="Q1329" s="21"/>
      <c r="R1329" s="21"/>
      <c r="S1329" s="21"/>
      <c r="T1329" s="21"/>
      <c r="U1329" s="21"/>
      <c r="V1329" s="21"/>
      <c r="W1329" s="21"/>
      <c r="X1329" s="21"/>
      <c r="Y1329" s="21"/>
      <c r="Z1329" s="21"/>
      <c r="AA1329" s="21"/>
      <c r="AB1329" s="21"/>
      <c r="AC1329" s="21"/>
      <c r="AD1329" s="21"/>
    </row>
    <row r="1330" spans="1:30">
      <c r="A1330" s="21"/>
      <c r="B1330" s="21"/>
      <c r="C1330" s="21"/>
      <c r="D1330" s="21"/>
      <c r="E1330" s="21"/>
      <c r="F1330" s="21"/>
      <c r="G1330" s="21"/>
      <c r="H1330" s="21"/>
      <c r="I1330" s="21"/>
      <c r="J1330" s="21"/>
      <c r="K1330" s="21"/>
      <c r="L1330" s="21"/>
      <c r="M1330" s="21"/>
      <c r="N1330" s="21"/>
      <c r="O1330" s="21"/>
      <c r="P1330" s="21"/>
      <c r="Q1330" s="21"/>
      <c r="R1330" s="21"/>
      <c r="S1330" s="21"/>
      <c r="T1330" s="21"/>
      <c r="U1330" s="21"/>
      <c r="V1330" s="21"/>
      <c r="W1330" s="21"/>
      <c r="X1330" s="21"/>
      <c r="Y1330" s="21"/>
      <c r="Z1330" s="21"/>
      <c r="AA1330" s="21"/>
      <c r="AB1330" s="21"/>
      <c r="AC1330" s="21"/>
      <c r="AD1330" s="21"/>
    </row>
    <row r="1331" spans="1:30">
      <c r="A1331" s="21"/>
      <c r="B1331" s="21"/>
      <c r="C1331" s="21"/>
      <c r="D1331" s="21"/>
      <c r="E1331" s="21"/>
      <c r="F1331" s="21"/>
      <c r="G1331" s="21"/>
      <c r="H1331" s="21"/>
      <c r="I1331" s="21"/>
      <c r="J1331" s="21"/>
      <c r="K1331" s="21"/>
      <c r="L1331" s="21"/>
      <c r="M1331" s="21"/>
      <c r="N1331" s="21"/>
      <c r="O1331" s="21"/>
      <c r="P1331" s="21"/>
      <c r="Q1331" s="21"/>
      <c r="R1331" s="21"/>
      <c r="S1331" s="21"/>
      <c r="T1331" s="21"/>
      <c r="U1331" s="21"/>
      <c r="V1331" s="21"/>
      <c r="W1331" s="21"/>
      <c r="X1331" s="21"/>
      <c r="Y1331" s="21"/>
      <c r="Z1331" s="21"/>
      <c r="AA1331" s="21"/>
      <c r="AB1331" s="21"/>
      <c r="AC1331" s="21"/>
      <c r="AD1331" s="21"/>
    </row>
    <row r="1332" spans="1:30">
      <c r="A1332" s="21"/>
      <c r="B1332" s="21"/>
      <c r="C1332" s="21"/>
      <c r="D1332" s="21"/>
      <c r="E1332" s="21"/>
      <c r="F1332" s="21"/>
      <c r="G1332" s="21"/>
      <c r="H1332" s="21"/>
      <c r="I1332" s="21"/>
      <c r="J1332" s="21"/>
      <c r="K1332" s="21"/>
      <c r="L1332" s="21"/>
      <c r="M1332" s="21"/>
      <c r="N1332" s="21"/>
      <c r="O1332" s="21"/>
      <c r="P1332" s="21"/>
      <c r="Q1332" s="21"/>
      <c r="R1332" s="21"/>
      <c r="S1332" s="21"/>
      <c r="T1332" s="21"/>
      <c r="U1332" s="21"/>
      <c r="V1332" s="21"/>
      <c r="W1332" s="21"/>
      <c r="X1332" s="21"/>
      <c r="Y1332" s="21"/>
      <c r="Z1332" s="21"/>
      <c r="AA1332" s="21"/>
      <c r="AB1332" s="21"/>
      <c r="AC1332" s="21"/>
      <c r="AD1332" s="21"/>
    </row>
    <row r="1333" spans="1:30">
      <c r="A1333" s="21"/>
      <c r="B1333" s="21"/>
      <c r="C1333" s="21"/>
      <c r="D1333" s="21"/>
      <c r="E1333" s="21"/>
      <c r="F1333" s="21"/>
      <c r="G1333" s="21"/>
      <c r="H1333" s="21"/>
      <c r="I1333" s="21"/>
      <c r="J1333" s="21"/>
      <c r="K1333" s="21"/>
      <c r="L1333" s="21"/>
      <c r="M1333" s="21"/>
      <c r="N1333" s="21"/>
      <c r="O1333" s="21"/>
      <c r="P1333" s="21"/>
      <c r="Q1333" s="21"/>
      <c r="R1333" s="21"/>
      <c r="S1333" s="21"/>
      <c r="T1333" s="21"/>
      <c r="U1333" s="21"/>
      <c r="V1333" s="21"/>
      <c r="W1333" s="21"/>
      <c r="X1333" s="21"/>
      <c r="Y1333" s="21"/>
      <c r="Z1333" s="21"/>
      <c r="AA1333" s="21"/>
      <c r="AB1333" s="21"/>
      <c r="AC1333" s="21"/>
      <c r="AD1333" s="21"/>
    </row>
    <row r="1334" spans="1:30">
      <c r="A1334" s="21"/>
      <c r="B1334" s="21"/>
      <c r="C1334" s="21"/>
      <c r="D1334" s="21"/>
      <c r="E1334" s="21"/>
      <c r="F1334" s="21"/>
      <c r="G1334" s="21"/>
      <c r="H1334" s="21"/>
      <c r="I1334" s="21"/>
      <c r="J1334" s="21"/>
      <c r="K1334" s="21"/>
      <c r="L1334" s="21"/>
      <c r="M1334" s="21"/>
      <c r="N1334" s="21"/>
      <c r="O1334" s="21"/>
      <c r="P1334" s="21"/>
      <c r="Q1334" s="21"/>
      <c r="R1334" s="21"/>
      <c r="S1334" s="21"/>
      <c r="T1334" s="21"/>
      <c r="U1334" s="21"/>
      <c r="V1334" s="21"/>
      <c r="W1334" s="21"/>
      <c r="X1334" s="21"/>
      <c r="Y1334" s="21"/>
      <c r="Z1334" s="21"/>
      <c r="AA1334" s="21"/>
      <c r="AB1334" s="21"/>
      <c r="AC1334" s="21"/>
      <c r="AD1334" s="21"/>
    </row>
    <row r="1335" spans="1:30">
      <c r="A1335" s="21"/>
      <c r="B1335" s="21"/>
      <c r="C1335" s="21"/>
      <c r="D1335" s="21"/>
      <c r="E1335" s="21"/>
      <c r="F1335" s="21"/>
      <c r="G1335" s="21"/>
      <c r="H1335" s="21"/>
      <c r="I1335" s="21"/>
      <c r="J1335" s="21"/>
      <c r="K1335" s="21"/>
      <c r="L1335" s="21"/>
      <c r="M1335" s="21"/>
      <c r="N1335" s="21"/>
      <c r="O1335" s="21"/>
      <c r="P1335" s="21"/>
      <c r="Q1335" s="21"/>
      <c r="R1335" s="21"/>
      <c r="S1335" s="21"/>
      <c r="T1335" s="21"/>
      <c r="U1335" s="21"/>
      <c r="V1335" s="21"/>
      <c r="W1335" s="21"/>
      <c r="X1335" s="21"/>
      <c r="Y1335" s="21"/>
      <c r="Z1335" s="21"/>
      <c r="AA1335" s="21"/>
      <c r="AB1335" s="21"/>
      <c r="AC1335" s="21"/>
      <c r="AD1335" s="21"/>
    </row>
    <row r="1336" spans="1:30">
      <c r="A1336" s="21"/>
      <c r="B1336" s="21"/>
      <c r="C1336" s="21"/>
      <c r="D1336" s="21"/>
      <c r="E1336" s="21"/>
      <c r="F1336" s="21"/>
      <c r="G1336" s="21"/>
      <c r="H1336" s="21"/>
      <c r="I1336" s="21"/>
      <c r="J1336" s="21"/>
      <c r="K1336" s="21"/>
      <c r="L1336" s="21"/>
      <c r="M1336" s="21"/>
      <c r="N1336" s="21"/>
      <c r="O1336" s="21"/>
      <c r="P1336" s="21"/>
      <c r="Q1336" s="21"/>
      <c r="R1336" s="21"/>
      <c r="S1336" s="21"/>
      <c r="T1336" s="21"/>
      <c r="U1336" s="21"/>
      <c r="V1336" s="21"/>
      <c r="W1336" s="21"/>
      <c r="X1336" s="21"/>
      <c r="Y1336" s="21"/>
      <c r="Z1336" s="21"/>
      <c r="AA1336" s="21"/>
      <c r="AB1336" s="21"/>
      <c r="AC1336" s="21"/>
      <c r="AD1336" s="21"/>
    </row>
    <row r="1337" spans="1:30">
      <c r="A1337" s="21"/>
      <c r="B1337" s="21"/>
      <c r="C1337" s="21"/>
      <c r="D1337" s="21"/>
      <c r="E1337" s="21"/>
      <c r="F1337" s="21"/>
      <c r="G1337" s="21"/>
      <c r="H1337" s="21"/>
      <c r="I1337" s="21"/>
      <c r="J1337" s="21"/>
      <c r="K1337" s="21"/>
      <c r="L1337" s="21"/>
      <c r="M1337" s="21"/>
      <c r="N1337" s="21"/>
      <c r="O1337" s="21"/>
      <c r="P1337" s="21"/>
      <c r="Q1337" s="21"/>
      <c r="R1337" s="21"/>
      <c r="S1337" s="21"/>
      <c r="T1337" s="21"/>
      <c r="U1337" s="21"/>
      <c r="V1337" s="21"/>
      <c r="W1337" s="21"/>
      <c r="X1337" s="21"/>
      <c r="Y1337" s="21"/>
      <c r="Z1337" s="21"/>
      <c r="AA1337" s="21"/>
      <c r="AB1337" s="21"/>
      <c r="AC1337" s="21"/>
      <c r="AD1337" s="21"/>
    </row>
    <row r="1338" spans="1:30">
      <c r="A1338" s="21"/>
      <c r="B1338" s="21"/>
      <c r="C1338" s="21"/>
      <c r="D1338" s="21"/>
      <c r="E1338" s="21"/>
      <c r="F1338" s="21"/>
      <c r="G1338" s="21"/>
      <c r="H1338" s="21"/>
      <c r="I1338" s="21"/>
      <c r="J1338" s="21"/>
      <c r="K1338" s="21"/>
      <c r="L1338" s="21"/>
      <c r="M1338" s="21"/>
      <c r="N1338" s="21"/>
      <c r="O1338" s="21"/>
      <c r="P1338" s="21"/>
      <c r="Q1338" s="21"/>
      <c r="R1338" s="21"/>
      <c r="S1338" s="21"/>
      <c r="T1338" s="21"/>
      <c r="U1338" s="21"/>
      <c r="V1338" s="21"/>
      <c r="W1338" s="21"/>
      <c r="X1338" s="21"/>
      <c r="Y1338" s="21"/>
      <c r="Z1338" s="21"/>
      <c r="AA1338" s="21"/>
      <c r="AB1338" s="21"/>
      <c r="AC1338" s="21"/>
      <c r="AD1338" s="21"/>
    </row>
    <row r="1339" spans="1:30">
      <c r="A1339" s="21"/>
      <c r="B1339" s="21"/>
      <c r="C1339" s="21"/>
      <c r="D1339" s="21"/>
      <c r="E1339" s="21"/>
      <c r="F1339" s="21"/>
      <c r="G1339" s="21"/>
      <c r="H1339" s="21"/>
      <c r="I1339" s="21"/>
      <c r="J1339" s="21"/>
      <c r="K1339" s="21"/>
      <c r="L1339" s="21"/>
      <c r="M1339" s="21"/>
      <c r="N1339" s="21"/>
      <c r="O1339" s="21"/>
      <c r="P1339" s="21"/>
      <c r="Q1339" s="21"/>
      <c r="R1339" s="21"/>
      <c r="S1339" s="21"/>
      <c r="T1339" s="21"/>
      <c r="U1339" s="21"/>
      <c r="V1339" s="21"/>
      <c r="W1339" s="21"/>
      <c r="X1339" s="21"/>
      <c r="Y1339" s="21"/>
      <c r="Z1339" s="21"/>
      <c r="AA1339" s="21"/>
      <c r="AB1339" s="21"/>
      <c r="AC1339" s="21"/>
      <c r="AD1339" s="21"/>
    </row>
    <row r="1340" spans="1:30">
      <c r="A1340" s="21"/>
      <c r="B1340" s="21"/>
      <c r="C1340" s="21"/>
      <c r="D1340" s="21"/>
      <c r="E1340" s="21"/>
      <c r="F1340" s="21"/>
      <c r="G1340" s="21"/>
      <c r="H1340" s="21"/>
      <c r="I1340" s="21"/>
      <c r="J1340" s="21"/>
      <c r="K1340" s="21"/>
      <c r="L1340" s="21"/>
      <c r="M1340" s="21"/>
      <c r="N1340" s="21"/>
      <c r="O1340" s="21"/>
      <c r="P1340" s="21"/>
      <c r="Q1340" s="21"/>
      <c r="R1340" s="21"/>
      <c r="S1340" s="21"/>
      <c r="T1340" s="21"/>
      <c r="U1340" s="21"/>
      <c r="V1340" s="21"/>
      <c r="W1340" s="21"/>
      <c r="X1340" s="21"/>
      <c r="Y1340" s="21"/>
      <c r="Z1340" s="21"/>
      <c r="AA1340" s="21"/>
      <c r="AB1340" s="21"/>
      <c r="AC1340" s="21"/>
      <c r="AD1340" s="21"/>
    </row>
    <row r="1341" spans="1:30">
      <c r="A1341" s="21"/>
      <c r="B1341" s="21"/>
      <c r="C1341" s="21"/>
      <c r="D1341" s="21"/>
      <c r="E1341" s="21"/>
      <c r="F1341" s="21"/>
      <c r="G1341" s="21"/>
      <c r="H1341" s="21"/>
      <c r="I1341" s="21"/>
      <c r="J1341" s="21"/>
      <c r="K1341" s="21"/>
      <c r="L1341" s="21"/>
      <c r="M1341" s="21"/>
      <c r="N1341" s="21"/>
      <c r="O1341" s="21"/>
      <c r="P1341" s="21"/>
      <c r="Q1341" s="21"/>
      <c r="R1341" s="21"/>
      <c r="S1341" s="21"/>
      <c r="T1341" s="21"/>
      <c r="U1341" s="21"/>
      <c r="V1341" s="21"/>
      <c r="W1341" s="21"/>
      <c r="X1341" s="21"/>
      <c r="Y1341" s="21"/>
      <c r="Z1341" s="21"/>
      <c r="AA1341" s="21"/>
      <c r="AB1341" s="21"/>
      <c r="AC1341" s="21"/>
      <c r="AD1341" s="21"/>
    </row>
    <row r="1342" spans="1:30">
      <c r="A1342" s="21"/>
      <c r="B1342" s="21"/>
      <c r="C1342" s="21"/>
      <c r="D1342" s="21"/>
      <c r="E1342" s="21"/>
      <c r="F1342" s="21"/>
      <c r="G1342" s="21"/>
      <c r="H1342" s="21"/>
      <c r="I1342" s="21"/>
      <c r="J1342" s="21"/>
      <c r="K1342" s="21"/>
      <c r="L1342" s="21"/>
      <c r="M1342" s="21"/>
      <c r="N1342" s="21"/>
      <c r="O1342" s="21"/>
      <c r="P1342" s="21"/>
      <c r="Q1342" s="21"/>
      <c r="R1342" s="21"/>
      <c r="S1342" s="21"/>
      <c r="T1342" s="21"/>
      <c r="U1342" s="21"/>
      <c r="V1342" s="21"/>
      <c r="W1342" s="21"/>
      <c r="X1342" s="21"/>
      <c r="Y1342" s="21"/>
      <c r="Z1342" s="21"/>
      <c r="AA1342" s="21"/>
      <c r="AB1342" s="21"/>
      <c r="AC1342" s="21"/>
      <c r="AD1342" s="21"/>
    </row>
    <row r="1343" spans="1:30">
      <c r="A1343" s="21"/>
      <c r="B1343" s="21"/>
      <c r="C1343" s="21"/>
      <c r="D1343" s="21"/>
      <c r="E1343" s="21"/>
      <c r="F1343" s="21"/>
      <c r="G1343" s="21"/>
      <c r="H1343" s="21"/>
      <c r="I1343" s="21"/>
      <c r="J1343" s="21"/>
      <c r="K1343" s="21"/>
      <c r="L1343" s="21"/>
      <c r="M1343" s="21"/>
      <c r="N1343" s="21"/>
      <c r="O1343" s="21"/>
      <c r="P1343" s="21"/>
      <c r="Q1343" s="21"/>
      <c r="R1343" s="21"/>
      <c r="S1343" s="21"/>
      <c r="T1343" s="21"/>
      <c r="U1343" s="21"/>
      <c r="V1343" s="21"/>
      <c r="W1343" s="21"/>
      <c r="X1343" s="21"/>
      <c r="Y1343" s="21"/>
      <c r="Z1343" s="21"/>
      <c r="AA1343" s="21"/>
      <c r="AB1343" s="21"/>
      <c r="AC1343" s="21"/>
      <c r="AD1343" s="21"/>
    </row>
    <row r="1344" spans="1:30">
      <c r="A1344" s="21"/>
      <c r="B1344" s="21"/>
      <c r="C1344" s="21"/>
      <c r="D1344" s="21"/>
      <c r="E1344" s="21"/>
      <c r="F1344" s="21"/>
      <c r="G1344" s="21"/>
      <c r="H1344" s="21"/>
      <c r="I1344" s="21"/>
      <c r="J1344" s="21"/>
      <c r="K1344" s="21"/>
      <c r="L1344" s="21"/>
      <c r="M1344" s="21"/>
      <c r="N1344" s="21"/>
      <c r="O1344" s="21"/>
      <c r="P1344" s="21"/>
      <c r="Q1344" s="21"/>
      <c r="R1344" s="21"/>
      <c r="S1344" s="21"/>
      <c r="T1344" s="21"/>
      <c r="U1344" s="21"/>
      <c r="V1344" s="21"/>
      <c r="W1344" s="21"/>
      <c r="X1344" s="21"/>
      <c r="Y1344" s="21"/>
      <c r="Z1344" s="21"/>
      <c r="AA1344" s="21"/>
      <c r="AB1344" s="21"/>
      <c r="AC1344" s="21"/>
      <c r="AD1344" s="21"/>
    </row>
    <row r="1345" spans="1:30">
      <c r="A1345" s="21"/>
      <c r="B1345" s="21"/>
      <c r="C1345" s="21"/>
      <c r="D1345" s="21"/>
      <c r="E1345" s="21"/>
      <c r="F1345" s="21"/>
      <c r="G1345" s="21"/>
      <c r="H1345" s="21"/>
      <c r="I1345" s="21"/>
      <c r="J1345" s="21"/>
      <c r="K1345" s="21"/>
      <c r="L1345" s="21"/>
      <c r="M1345" s="21"/>
      <c r="N1345" s="21"/>
      <c r="O1345" s="21"/>
      <c r="P1345" s="21"/>
      <c r="Q1345" s="21"/>
      <c r="R1345" s="21"/>
      <c r="S1345" s="21"/>
      <c r="T1345" s="21"/>
      <c r="U1345" s="21"/>
      <c r="V1345" s="21"/>
      <c r="W1345" s="21"/>
      <c r="X1345" s="21"/>
      <c r="Y1345" s="21"/>
      <c r="Z1345" s="21"/>
      <c r="AA1345" s="21"/>
      <c r="AB1345" s="21"/>
      <c r="AC1345" s="21"/>
      <c r="AD1345" s="21"/>
    </row>
    <row r="1346" spans="1:30">
      <c r="A1346" s="21"/>
      <c r="B1346" s="21"/>
      <c r="C1346" s="21"/>
      <c r="D1346" s="21"/>
      <c r="E1346" s="21"/>
      <c r="F1346" s="21"/>
      <c r="G1346" s="21"/>
      <c r="H1346" s="21"/>
      <c r="I1346" s="21"/>
      <c r="J1346" s="21"/>
      <c r="K1346" s="21"/>
      <c r="L1346" s="21"/>
      <c r="M1346" s="21"/>
      <c r="N1346" s="21"/>
      <c r="O1346" s="21"/>
      <c r="P1346" s="21"/>
      <c r="Q1346" s="21"/>
      <c r="R1346" s="21"/>
      <c r="S1346" s="21"/>
      <c r="T1346" s="21"/>
      <c r="U1346" s="21"/>
      <c r="V1346" s="21"/>
      <c r="W1346" s="21"/>
      <c r="X1346" s="21"/>
      <c r="Y1346" s="21"/>
      <c r="Z1346" s="21"/>
      <c r="AA1346" s="21"/>
      <c r="AB1346" s="21"/>
      <c r="AC1346" s="21"/>
      <c r="AD1346" s="21"/>
    </row>
    <row r="1347" spans="1:30">
      <c r="A1347" s="21"/>
      <c r="B1347" s="21"/>
      <c r="C1347" s="21"/>
      <c r="D1347" s="21"/>
      <c r="E1347" s="21"/>
      <c r="F1347" s="21"/>
      <c r="G1347" s="21"/>
      <c r="H1347" s="21"/>
      <c r="I1347" s="21"/>
      <c r="J1347" s="21"/>
      <c r="K1347" s="21"/>
      <c r="L1347" s="21"/>
      <c r="M1347" s="21"/>
      <c r="N1347" s="21"/>
      <c r="O1347" s="21"/>
      <c r="P1347" s="21"/>
      <c r="Q1347" s="21"/>
      <c r="R1347" s="21"/>
      <c r="S1347" s="21"/>
      <c r="T1347" s="21"/>
      <c r="U1347" s="21"/>
      <c r="V1347" s="21"/>
      <c r="W1347" s="21"/>
      <c r="X1347" s="21"/>
      <c r="Y1347" s="21"/>
      <c r="Z1347" s="21"/>
      <c r="AA1347" s="21"/>
      <c r="AB1347" s="21"/>
      <c r="AC1347" s="21"/>
      <c r="AD1347" s="21"/>
    </row>
    <row r="1348" spans="1:30">
      <c r="A1348" s="21"/>
      <c r="B1348" s="21"/>
      <c r="C1348" s="21"/>
      <c r="D1348" s="21"/>
      <c r="E1348" s="21"/>
      <c r="F1348" s="21"/>
      <c r="G1348" s="21"/>
      <c r="H1348" s="21"/>
      <c r="I1348" s="21"/>
      <c r="J1348" s="21"/>
      <c r="K1348" s="21"/>
      <c r="L1348" s="21"/>
      <c r="M1348" s="21"/>
      <c r="N1348" s="21"/>
      <c r="O1348" s="21"/>
      <c r="P1348" s="21"/>
      <c r="Q1348" s="21"/>
      <c r="R1348" s="21"/>
      <c r="S1348" s="21"/>
      <c r="T1348" s="21"/>
      <c r="U1348" s="21"/>
      <c r="V1348" s="21"/>
      <c r="W1348" s="21"/>
      <c r="X1348" s="21"/>
      <c r="Y1348" s="21"/>
      <c r="Z1348" s="21"/>
      <c r="AA1348" s="21"/>
      <c r="AB1348" s="21"/>
      <c r="AC1348" s="21"/>
      <c r="AD1348" s="21"/>
    </row>
    <row r="1349" spans="1:30">
      <c r="A1349" s="21"/>
      <c r="B1349" s="21"/>
      <c r="C1349" s="21"/>
      <c r="D1349" s="21"/>
      <c r="E1349" s="21"/>
      <c r="F1349" s="21"/>
      <c r="G1349" s="21"/>
      <c r="H1349" s="21"/>
      <c r="I1349" s="21"/>
      <c r="J1349" s="21"/>
      <c r="K1349" s="21"/>
      <c r="L1349" s="21"/>
      <c r="M1349" s="21"/>
      <c r="N1349" s="21"/>
      <c r="O1349" s="21"/>
      <c r="P1349" s="21"/>
      <c r="Q1349" s="21"/>
      <c r="R1349" s="21"/>
      <c r="S1349" s="21"/>
      <c r="T1349" s="21"/>
      <c r="U1349" s="21"/>
      <c r="V1349" s="21"/>
      <c r="W1349" s="21"/>
      <c r="X1349" s="21"/>
      <c r="Y1349" s="21"/>
      <c r="Z1349" s="21"/>
      <c r="AA1349" s="21"/>
      <c r="AB1349" s="21"/>
      <c r="AC1349" s="21"/>
      <c r="AD1349" s="21"/>
    </row>
    <row r="1350" spans="1:30">
      <c r="A1350" s="21"/>
      <c r="B1350" s="21"/>
      <c r="C1350" s="21"/>
      <c r="D1350" s="21"/>
      <c r="E1350" s="21"/>
      <c r="F1350" s="21"/>
      <c r="G1350" s="21"/>
      <c r="H1350" s="21"/>
      <c r="I1350" s="21"/>
      <c r="J1350" s="21"/>
      <c r="K1350" s="21"/>
      <c r="L1350" s="21"/>
      <c r="M1350" s="21"/>
      <c r="N1350" s="21"/>
      <c r="O1350" s="21"/>
      <c r="P1350" s="21"/>
      <c r="Q1350" s="21"/>
      <c r="R1350" s="21"/>
      <c r="S1350" s="21"/>
      <c r="T1350" s="21"/>
      <c r="U1350" s="21"/>
      <c r="V1350" s="21"/>
      <c r="W1350" s="21"/>
      <c r="X1350" s="21"/>
      <c r="Y1350" s="21"/>
      <c r="Z1350" s="21"/>
      <c r="AA1350" s="21"/>
      <c r="AB1350" s="21"/>
      <c r="AC1350" s="21"/>
      <c r="AD1350" s="21"/>
    </row>
    <row r="1351" spans="1:30">
      <c r="A1351" s="21"/>
      <c r="B1351" s="21"/>
      <c r="C1351" s="21"/>
      <c r="D1351" s="21"/>
      <c r="E1351" s="21"/>
      <c r="F1351" s="21"/>
      <c r="G1351" s="21"/>
      <c r="H1351" s="21"/>
      <c r="I1351" s="21"/>
      <c r="J1351" s="21"/>
      <c r="K1351" s="21"/>
      <c r="L1351" s="21"/>
      <c r="M1351" s="21"/>
      <c r="N1351" s="21"/>
      <c r="O1351" s="21"/>
      <c r="P1351" s="21"/>
      <c r="Q1351" s="21"/>
      <c r="R1351" s="21"/>
      <c r="S1351" s="21"/>
      <c r="T1351" s="21"/>
      <c r="U1351" s="21"/>
      <c r="V1351" s="21"/>
      <c r="W1351" s="21"/>
      <c r="X1351" s="21"/>
      <c r="Y1351" s="21"/>
      <c r="Z1351" s="21"/>
      <c r="AA1351" s="21"/>
      <c r="AB1351" s="21"/>
      <c r="AC1351" s="21"/>
      <c r="AD1351" s="21"/>
    </row>
    <row r="1352" spans="1:30">
      <c r="A1352" s="21"/>
      <c r="B1352" s="21"/>
      <c r="C1352" s="21"/>
      <c r="D1352" s="21"/>
      <c r="E1352" s="21"/>
      <c r="F1352" s="21"/>
      <c r="G1352" s="21"/>
      <c r="H1352" s="21"/>
      <c r="I1352" s="21"/>
      <c r="J1352" s="21"/>
      <c r="K1352" s="21"/>
      <c r="L1352" s="21"/>
      <c r="M1352" s="21"/>
      <c r="N1352" s="21"/>
      <c r="O1352" s="21"/>
      <c r="P1352" s="21"/>
      <c r="Q1352" s="21"/>
      <c r="R1352" s="21"/>
      <c r="S1352" s="21"/>
      <c r="T1352" s="21"/>
      <c r="U1352" s="21"/>
      <c r="V1352" s="21"/>
      <c r="W1352" s="21"/>
      <c r="X1352" s="21"/>
      <c r="Y1352" s="21"/>
      <c r="Z1352" s="21"/>
      <c r="AA1352" s="21"/>
      <c r="AB1352" s="21"/>
      <c r="AC1352" s="21"/>
      <c r="AD1352" s="21"/>
    </row>
    <row r="1353" spans="1:30">
      <c r="A1353" s="21"/>
      <c r="B1353" s="21"/>
      <c r="C1353" s="21"/>
      <c r="D1353" s="21"/>
      <c r="E1353" s="21"/>
      <c r="F1353" s="21"/>
      <c r="G1353" s="21"/>
      <c r="H1353" s="21"/>
      <c r="I1353" s="21"/>
      <c r="J1353" s="21"/>
      <c r="K1353" s="21"/>
      <c r="L1353" s="21"/>
      <c r="M1353" s="21"/>
      <c r="N1353" s="21"/>
      <c r="O1353" s="21"/>
      <c r="P1353" s="21"/>
      <c r="Q1353" s="21"/>
      <c r="R1353" s="21"/>
      <c r="S1353" s="21"/>
      <c r="T1353" s="21"/>
      <c r="U1353" s="21"/>
      <c r="V1353" s="21"/>
      <c r="W1353" s="21"/>
      <c r="X1353" s="21"/>
      <c r="Y1353" s="21"/>
      <c r="Z1353" s="21"/>
      <c r="AA1353" s="21"/>
      <c r="AB1353" s="21"/>
      <c r="AC1353" s="21"/>
      <c r="AD1353" s="21"/>
    </row>
    <row r="1354" spans="1:30">
      <c r="A1354" s="21"/>
      <c r="B1354" s="21"/>
      <c r="C1354" s="21"/>
      <c r="D1354" s="21"/>
      <c r="E1354" s="21"/>
      <c r="F1354" s="21"/>
      <c r="G1354" s="21"/>
      <c r="H1354" s="21"/>
      <c r="I1354" s="21"/>
      <c r="J1354" s="21"/>
      <c r="K1354" s="21"/>
      <c r="L1354" s="21"/>
      <c r="M1354" s="21"/>
      <c r="N1354" s="21"/>
      <c r="O1354" s="21"/>
      <c r="P1354" s="21"/>
      <c r="Q1354" s="21"/>
      <c r="R1354" s="21"/>
      <c r="S1354" s="21"/>
      <c r="T1354" s="21"/>
      <c r="U1354" s="21"/>
      <c r="V1354" s="21"/>
      <c r="W1354" s="21"/>
      <c r="X1354" s="21"/>
      <c r="Y1354" s="21"/>
      <c r="Z1354" s="21"/>
      <c r="AA1354" s="21"/>
      <c r="AB1354" s="21"/>
      <c r="AC1354" s="21"/>
      <c r="AD1354" s="21"/>
    </row>
    <row r="1355" spans="1:30">
      <c r="A1355" s="21"/>
      <c r="B1355" s="21"/>
      <c r="C1355" s="21"/>
      <c r="D1355" s="21"/>
      <c r="E1355" s="21"/>
      <c r="F1355" s="21"/>
      <c r="G1355" s="21"/>
      <c r="H1355" s="21"/>
      <c r="I1355" s="21"/>
      <c r="J1355" s="21"/>
      <c r="K1355" s="21"/>
      <c r="L1355" s="21"/>
      <c r="M1355" s="21"/>
      <c r="N1355" s="21"/>
      <c r="O1355" s="21"/>
      <c r="P1355" s="21"/>
      <c r="Q1355" s="21"/>
      <c r="R1355" s="21"/>
      <c r="S1355" s="21"/>
      <c r="T1355" s="21"/>
      <c r="U1355" s="21"/>
      <c r="V1355" s="21"/>
      <c r="W1355" s="21"/>
      <c r="X1355" s="21"/>
      <c r="Y1355" s="21"/>
      <c r="Z1355" s="21"/>
      <c r="AA1355" s="21"/>
      <c r="AB1355" s="21"/>
      <c r="AC1355" s="21"/>
      <c r="AD1355" s="21"/>
    </row>
    <row r="1356" spans="1:30">
      <c r="A1356" s="21"/>
      <c r="B1356" s="21"/>
      <c r="C1356" s="21"/>
      <c r="D1356" s="21"/>
      <c r="E1356" s="21"/>
      <c r="F1356" s="21"/>
      <c r="G1356" s="21"/>
      <c r="H1356" s="21"/>
      <c r="I1356" s="21"/>
      <c r="J1356" s="21"/>
      <c r="K1356" s="21"/>
      <c r="L1356" s="21"/>
      <c r="M1356" s="21"/>
      <c r="N1356" s="21"/>
      <c r="O1356" s="21"/>
      <c r="P1356" s="21"/>
      <c r="Q1356" s="21"/>
      <c r="R1356" s="21"/>
      <c r="S1356" s="21"/>
      <c r="T1356" s="21"/>
      <c r="U1356" s="21"/>
      <c r="V1356" s="21"/>
      <c r="W1356" s="21"/>
      <c r="X1356" s="21"/>
      <c r="Y1356" s="21"/>
      <c r="Z1356" s="21"/>
      <c r="AA1356" s="21"/>
      <c r="AB1356" s="21"/>
      <c r="AC1356" s="21"/>
      <c r="AD1356" s="21"/>
    </row>
    <row r="1357" spans="1:30">
      <c r="A1357" s="21"/>
      <c r="B1357" s="21"/>
      <c r="C1357" s="21"/>
      <c r="D1357" s="21"/>
      <c r="E1357" s="21"/>
      <c r="F1357" s="21"/>
      <c r="G1357" s="21"/>
      <c r="H1357" s="21"/>
      <c r="I1357" s="21"/>
      <c r="J1357" s="21"/>
      <c r="K1357" s="21"/>
      <c r="L1357" s="21"/>
      <c r="M1357" s="21"/>
      <c r="N1357" s="21"/>
      <c r="O1357" s="21"/>
      <c r="P1357" s="21"/>
      <c r="Q1357" s="21"/>
      <c r="R1357" s="21"/>
      <c r="S1357" s="21"/>
      <c r="T1357" s="21"/>
      <c r="U1357" s="21"/>
      <c r="V1357" s="21"/>
      <c r="W1357" s="21"/>
      <c r="X1357" s="21"/>
      <c r="Y1357" s="21"/>
      <c r="Z1357" s="21"/>
      <c r="AA1357" s="21"/>
      <c r="AB1357" s="21"/>
      <c r="AC1357" s="21"/>
      <c r="AD1357" s="21"/>
    </row>
    <row r="1358" spans="1:30">
      <c r="A1358" s="21"/>
      <c r="B1358" s="21"/>
      <c r="C1358" s="21"/>
      <c r="D1358" s="21"/>
      <c r="E1358" s="21"/>
      <c r="F1358" s="21"/>
      <c r="G1358" s="21"/>
      <c r="H1358" s="21"/>
      <c r="I1358" s="21"/>
      <c r="J1358" s="21"/>
      <c r="K1358" s="21"/>
      <c r="L1358" s="21"/>
      <c r="M1358" s="21"/>
      <c r="N1358" s="21"/>
      <c r="O1358" s="21"/>
      <c r="P1358" s="21"/>
      <c r="Q1358" s="21"/>
      <c r="R1358" s="21"/>
      <c r="S1358" s="21"/>
      <c r="T1358" s="21"/>
      <c r="U1358" s="21"/>
      <c r="V1358" s="21"/>
      <c r="W1358" s="21"/>
      <c r="X1358" s="21"/>
      <c r="Y1358" s="21"/>
      <c r="Z1358" s="21"/>
      <c r="AA1358" s="21"/>
      <c r="AB1358" s="21"/>
      <c r="AC1358" s="21"/>
      <c r="AD1358" s="21"/>
    </row>
    <row r="1359" spans="1:30">
      <c r="A1359" s="21"/>
      <c r="B1359" s="21"/>
      <c r="C1359" s="21"/>
      <c r="D1359" s="21"/>
      <c r="E1359" s="21"/>
      <c r="F1359" s="21"/>
      <c r="G1359" s="21"/>
      <c r="H1359" s="21"/>
      <c r="I1359" s="21"/>
      <c r="J1359" s="21"/>
      <c r="K1359" s="21"/>
      <c r="L1359" s="21"/>
      <c r="M1359" s="21"/>
      <c r="N1359" s="21"/>
      <c r="O1359" s="21"/>
      <c r="P1359" s="21"/>
      <c r="Q1359" s="21"/>
      <c r="R1359" s="21"/>
      <c r="S1359" s="21"/>
      <c r="T1359" s="21"/>
      <c r="U1359" s="21"/>
      <c r="V1359" s="21"/>
      <c r="W1359" s="21"/>
      <c r="X1359" s="21"/>
      <c r="Y1359" s="21"/>
      <c r="Z1359" s="21"/>
      <c r="AA1359" s="21"/>
      <c r="AB1359" s="21"/>
      <c r="AC1359" s="21"/>
      <c r="AD1359" s="21"/>
    </row>
    <row r="1360" spans="1:30">
      <c r="A1360" s="21"/>
      <c r="B1360" s="21"/>
      <c r="C1360" s="21"/>
      <c r="D1360" s="21"/>
      <c r="E1360" s="21"/>
      <c r="F1360" s="21"/>
      <c r="G1360" s="21"/>
      <c r="H1360" s="21"/>
      <c r="I1360" s="21"/>
      <c r="J1360" s="21"/>
      <c r="K1360" s="21"/>
      <c r="L1360" s="21"/>
      <c r="M1360" s="21"/>
      <c r="N1360" s="21"/>
      <c r="O1360" s="21"/>
      <c r="P1360" s="21"/>
      <c r="Q1360" s="21"/>
      <c r="R1360" s="21"/>
      <c r="S1360" s="21"/>
      <c r="T1360" s="21"/>
      <c r="U1360" s="21"/>
      <c r="V1360" s="21"/>
      <c r="W1360" s="21"/>
      <c r="X1360" s="21"/>
      <c r="Y1360" s="21"/>
      <c r="Z1360" s="21"/>
      <c r="AA1360" s="21"/>
      <c r="AB1360" s="21"/>
      <c r="AC1360" s="21"/>
      <c r="AD1360" s="21"/>
    </row>
    <row r="1361" spans="1:30">
      <c r="A1361" s="21"/>
      <c r="B1361" s="21"/>
      <c r="C1361" s="21"/>
      <c r="D1361" s="21"/>
      <c r="E1361" s="21"/>
      <c r="F1361" s="21"/>
      <c r="G1361" s="21"/>
      <c r="H1361" s="21"/>
      <c r="I1361" s="21"/>
      <c r="J1361" s="21"/>
      <c r="K1361" s="21"/>
      <c r="L1361" s="21"/>
      <c r="M1361" s="21"/>
      <c r="N1361" s="21"/>
      <c r="O1361" s="21"/>
      <c r="P1361" s="21"/>
      <c r="Q1361" s="21"/>
      <c r="R1361" s="21"/>
      <c r="S1361" s="21"/>
      <c r="T1361" s="21"/>
      <c r="U1361" s="21"/>
      <c r="V1361" s="21"/>
      <c r="W1361" s="21"/>
      <c r="X1361" s="21"/>
      <c r="Y1361" s="21"/>
      <c r="Z1361" s="21"/>
      <c r="AA1361" s="21"/>
      <c r="AB1361" s="21"/>
      <c r="AC1361" s="21"/>
      <c r="AD1361" s="21"/>
    </row>
    <row r="1362" spans="1:30">
      <c r="A1362" s="21"/>
      <c r="B1362" s="21"/>
      <c r="C1362" s="21"/>
      <c r="D1362" s="21"/>
      <c r="E1362" s="21"/>
      <c r="F1362" s="21"/>
      <c r="G1362" s="21"/>
      <c r="H1362" s="21"/>
      <c r="I1362" s="21"/>
      <c r="J1362" s="21"/>
      <c r="K1362" s="21"/>
      <c r="L1362" s="21"/>
      <c r="M1362" s="21"/>
      <c r="N1362" s="21"/>
      <c r="O1362" s="21"/>
      <c r="P1362" s="21"/>
      <c r="Q1362" s="21"/>
      <c r="R1362" s="21"/>
      <c r="S1362" s="21"/>
      <c r="T1362" s="21"/>
      <c r="U1362" s="21"/>
      <c r="V1362" s="21"/>
      <c r="W1362" s="21"/>
      <c r="X1362" s="21"/>
      <c r="Y1362" s="21"/>
      <c r="Z1362" s="21"/>
      <c r="AA1362" s="21"/>
      <c r="AB1362" s="21"/>
      <c r="AC1362" s="21"/>
      <c r="AD1362" s="21"/>
    </row>
    <row r="1363" spans="1:30">
      <c r="A1363" s="21"/>
      <c r="B1363" s="21"/>
      <c r="C1363" s="21"/>
      <c r="D1363" s="21"/>
      <c r="E1363" s="21"/>
      <c r="F1363" s="21"/>
      <c r="G1363" s="21"/>
      <c r="H1363" s="21"/>
      <c r="I1363" s="21"/>
      <c r="J1363" s="21"/>
      <c r="K1363" s="21"/>
      <c r="L1363" s="21"/>
      <c r="M1363" s="21"/>
      <c r="N1363" s="21"/>
      <c r="O1363" s="21"/>
      <c r="P1363" s="21"/>
      <c r="Q1363" s="21"/>
      <c r="R1363" s="21"/>
      <c r="S1363" s="21"/>
      <c r="T1363" s="21"/>
      <c r="U1363" s="21"/>
      <c r="V1363" s="21"/>
      <c r="W1363" s="21"/>
      <c r="X1363" s="21"/>
      <c r="Y1363" s="21"/>
      <c r="Z1363" s="21"/>
      <c r="AA1363" s="21"/>
      <c r="AB1363" s="21"/>
      <c r="AC1363" s="21"/>
      <c r="AD1363" s="21"/>
    </row>
    <row r="1364" spans="1:30">
      <c r="A1364" s="21"/>
      <c r="B1364" s="21"/>
      <c r="C1364" s="21"/>
      <c r="D1364" s="21"/>
      <c r="E1364" s="21"/>
      <c r="F1364" s="21"/>
      <c r="G1364" s="21"/>
      <c r="H1364" s="21"/>
      <c r="I1364" s="21"/>
      <c r="J1364" s="21"/>
      <c r="K1364" s="21"/>
      <c r="L1364" s="21"/>
      <c r="M1364" s="21"/>
      <c r="N1364" s="21"/>
      <c r="O1364" s="21"/>
      <c r="P1364" s="21"/>
      <c r="Q1364" s="21"/>
      <c r="R1364" s="21"/>
      <c r="S1364" s="21"/>
      <c r="T1364" s="21"/>
      <c r="U1364" s="21"/>
      <c r="V1364" s="21"/>
      <c r="W1364" s="21"/>
      <c r="X1364" s="21"/>
      <c r="Y1364" s="21"/>
      <c r="Z1364" s="21"/>
      <c r="AA1364" s="21"/>
      <c r="AB1364" s="21"/>
      <c r="AC1364" s="21"/>
      <c r="AD1364" s="21"/>
    </row>
    <row r="1365" spans="1:30">
      <c r="A1365" s="21"/>
      <c r="B1365" s="21"/>
      <c r="C1365" s="21"/>
      <c r="D1365" s="21"/>
      <c r="E1365" s="21"/>
      <c r="F1365" s="21"/>
      <c r="G1365" s="21"/>
      <c r="H1365" s="21"/>
      <c r="I1365" s="21"/>
      <c r="J1365" s="21"/>
      <c r="K1365" s="21"/>
      <c r="L1365" s="21"/>
      <c r="M1365" s="21"/>
      <c r="N1365" s="21"/>
      <c r="O1365" s="21"/>
      <c r="P1365" s="21"/>
      <c r="Q1365" s="21"/>
      <c r="R1365" s="21"/>
      <c r="S1365" s="21"/>
      <c r="T1365" s="21"/>
      <c r="U1365" s="21"/>
      <c r="V1365" s="21"/>
      <c r="W1365" s="21"/>
      <c r="X1365" s="21"/>
      <c r="Y1365" s="21"/>
      <c r="Z1365" s="21"/>
      <c r="AA1365" s="21"/>
      <c r="AB1365" s="21"/>
      <c r="AC1365" s="21"/>
      <c r="AD1365" s="21"/>
    </row>
    <row r="1366" spans="1:30">
      <c r="A1366" s="21"/>
      <c r="B1366" s="21"/>
      <c r="C1366" s="21"/>
      <c r="D1366" s="21"/>
      <c r="E1366" s="21"/>
      <c r="F1366" s="21"/>
      <c r="G1366" s="21"/>
      <c r="H1366" s="21"/>
      <c r="I1366" s="21"/>
      <c r="J1366" s="21"/>
      <c r="K1366" s="21"/>
      <c r="L1366" s="21"/>
      <c r="M1366" s="21"/>
      <c r="N1366" s="21"/>
      <c r="O1366" s="21"/>
      <c r="P1366" s="21"/>
      <c r="Q1366" s="21"/>
      <c r="R1366" s="21"/>
      <c r="S1366" s="21"/>
      <c r="T1366" s="21"/>
      <c r="U1366" s="21"/>
      <c r="V1366" s="21"/>
      <c r="W1366" s="21"/>
      <c r="X1366" s="21"/>
      <c r="Y1366" s="21"/>
      <c r="Z1366" s="21"/>
      <c r="AA1366" s="21"/>
      <c r="AB1366" s="21"/>
      <c r="AC1366" s="21"/>
      <c r="AD1366" s="21"/>
    </row>
    <row r="1367" spans="1:30">
      <c r="A1367" s="21"/>
      <c r="B1367" s="21"/>
      <c r="C1367" s="21"/>
      <c r="D1367" s="21"/>
      <c r="E1367" s="21"/>
      <c r="F1367" s="21"/>
      <c r="G1367" s="21"/>
      <c r="H1367" s="21"/>
      <c r="I1367" s="21"/>
      <c r="J1367" s="21"/>
      <c r="K1367" s="21"/>
      <c r="L1367" s="21"/>
      <c r="M1367" s="21"/>
      <c r="N1367" s="21"/>
      <c r="O1367" s="21"/>
      <c r="P1367" s="21"/>
      <c r="Q1367" s="21"/>
      <c r="R1367" s="21"/>
      <c r="S1367" s="21"/>
      <c r="T1367" s="21"/>
      <c r="U1367" s="21"/>
      <c r="V1367" s="21"/>
      <c r="W1367" s="21"/>
      <c r="X1367" s="21"/>
      <c r="Y1367" s="21"/>
      <c r="Z1367" s="21"/>
      <c r="AA1367" s="21"/>
      <c r="AB1367" s="21"/>
      <c r="AC1367" s="21"/>
      <c r="AD1367" s="21"/>
    </row>
    <row r="1368" spans="1:30">
      <c r="A1368" s="21"/>
      <c r="B1368" s="21"/>
      <c r="C1368" s="21"/>
      <c r="D1368" s="21"/>
      <c r="E1368" s="21"/>
      <c r="F1368" s="21"/>
      <c r="G1368" s="21"/>
      <c r="H1368" s="21"/>
      <c r="I1368" s="21"/>
      <c r="J1368" s="21"/>
      <c r="K1368" s="21"/>
      <c r="L1368" s="21"/>
      <c r="M1368" s="21"/>
      <c r="N1368" s="21"/>
      <c r="O1368" s="21"/>
      <c r="P1368" s="21"/>
      <c r="Q1368" s="21"/>
      <c r="R1368" s="21"/>
      <c r="S1368" s="21"/>
      <c r="T1368" s="21"/>
      <c r="U1368" s="21"/>
      <c r="V1368" s="21"/>
      <c r="W1368" s="21"/>
      <c r="X1368" s="21"/>
      <c r="Y1368" s="21"/>
      <c r="Z1368" s="21"/>
      <c r="AA1368" s="21"/>
      <c r="AB1368" s="21"/>
      <c r="AC1368" s="21"/>
      <c r="AD1368" s="21"/>
    </row>
    <row r="1369" spans="1:30">
      <c r="A1369" s="21"/>
      <c r="B1369" s="21"/>
      <c r="C1369" s="21"/>
      <c r="D1369" s="21"/>
      <c r="E1369" s="21"/>
      <c r="F1369" s="21"/>
      <c r="G1369" s="21"/>
      <c r="H1369" s="21"/>
      <c r="I1369" s="21"/>
      <c r="J1369" s="21"/>
      <c r="K1369" s="21"/>
      <c r="L1369" s="21"/>
      <c r="M1369" s="21"/>
      <c r="N1369" s="21"/>
      <c r="O1369" s="21"/>
      <c r="P1369" s="21"/>
      <c r="Q1369" s="21"/>
      <c r="R1369" s="21"/>
      <c r="S1369" s="21"/>
      <c r="T1369" s="21"/>
      <c r="U1369" s="21"/>
      <c r="V1369" s="21"/>
      <c r="W1369" s="21"/>
      <c r="X1369" s="21"/>
      <c r="Y1369" s="21"/>
      <c r="Z1369" s="21"/>
      <c r="AA1369" s="21"/>
      <c r="AB1369" s="21"/>
      <c r="AC1369" s="21"/>
      <c r="AD1369" s="21"/>
    </row>
    <row r="1370" spans="1:30">
      <c r="A1370" s="21"/>
      <c r="B1370" s="21"/>
      <c r="C1370" s="21"/>
      <c r="D1370" s="21"/>
      <c r="E1370" s="21"/>
      <c r="F1370" s="21"/>
      <c r="G1370" s="21"/>
      <c r="H1370" s="21"/>
      <c r="I1370" s="21"/>
      <c r="J1370" s="21"/>
      <c r="K1370" s="21"/>
      <c r="L1370" s="21"/>
      <c r="M1370" s="21"/>
      <c r="N1370" s="21"/>
      <c r="O1370" s="21"/>
      <c r="P1370" s="21"/>
      <c r="Q1370" s="21"/>
      <c r="R1370" s="21"/>
      <c r="S1370" s="21"/>
      <c r="T1370" s="21"/>
      <c r="U1370" s="21"/>
      <c r="V1370" s="21"/>
      <c r="W1370" s="21"/>
      <c r="X1370" s="21"/>
      <c r="Y1370" s="21"/>
      <c r="Z1370" s="21"/>
      <c r="AA1370" s="21"/>
      <c r="AB1370" s="21"/>
      <c r="AC1370" s="21"/>
      <c r="AD1370" s="21"/>
    </row>
    <row r="1371" spans="1:30">
      <c r="A1371" s="21"/>
      <c r="B1371" s="21"/>
      <c r="C1371" s="21"/>
      <c r="D1371" s="21"/>
      <c r="E1371" s="21"/>
      <c r="F1371" s="21"/>
      <c r="G1371" s="21"/>
      <c r="H1371" s="21"/>
      <c r="I1371" s="21"/>
      <c r="J1371" s="21"/>
      <c r="K1371" s="21"/>
      <c r="L1371" s="21"/>
      <c r="M1371" s="21"/>
      <c r="N1371" s="21"/>
      <c r="O1371" s="21"/>
      <c r="P1371" s="21"/>
      <c r="Q1371" s="21"/>
      <c r="R1371" s="21"/>
      <c r="S1371" s="21"/>
      <c r="T1371" s="21"/>
      <c r="U1371" s="21"/>
      <c r="V1371" s="21"/>
      <c r="W1371" s="21"/>
      <c r="X1371" s="21"/>
      <c r="Y1371" s="21"/>
      <c r="Z1371" s="21"/>
      <c r="AA1371" s="21"/>
      <c r="AB1371" s="21"/>
      <c r="AC1371" s="21"/>
      <c r="AD1371" s="21"/>
    </row>
    <row r="1372" spans="1:30">
      <c r="A1372" s="21"/>
      <c r="B1372" s="21"/>
      <c r="C1372" s="21"/>
      <c r="D1372" s="21"/>
      <c r="E1372" s="21"/>
      <c r="F1372" s="21"/>
      <c r="G1372" s="21"/>
      <c r="H1372" s="21"/>
      <c r="I1372" s="21"/>
      <c r="J1372" s="21"/>
      <c r="K1372" s="21"/>
      <c r="L1372" s="21"/>
      <c r="M1372" s="21"/>
      <c r="N1372" s="21"/>
      <c r="O1372" s="21"/>
      <c r="P1372" s="21"/>
      <c r="Q1372" s="21"/>
      <c r="R1372" s="21"/>
      <c r="S1372" s="21"/>
      <c r="T1372" s="21"/>
      <c r="U1372" s="21"/>
      <c r="V1372" s="21"/>
      <c r="W1372" s="21"/>
      <c r="X1372" s="21"/>
      <c r="Y1372" s="21"/>
      <c r="Z1372" s="21"/>
      <c r="AA1372" s="21"/>
      <c r="AB1372" s="21"/>
      <c r="AC1372" s="21"/>
      <c r="AD1372" s="21"/>
    </row>
    <row r="1373" spans="1:30">
      <c r="A1373" s="21"/>
      <c r="B1373" s="21"/>
      <c r="C1373" s="21"/>
      <c r="D1373" s="21"/>
      <c r="E1373" s="21"/>
      <c r="F1373" s="21"/>
      <c r="G1373" s="21"/>
      <c r="H1373" s="21"/>
      <c r="I1373" s="21"/>
      <c r="J1373" s="21"/>
      <c r="K1373" s="21"/>
      <c r="L1373" s="21"/>
      <c r="M1373" s="21"/>
      <c r="N1373" s="21"/>
      <c r="O1373" s="21"/>
      <c r="P1373" s="21"/>
      <c r="Q1373" s="21"/>
      <c r="R1373" s="21"/>
      <c r="S1373" s="21"/>
      <c r="T1373" s="21"/>
      <c r="U1373" s="21"/>
      <c r="V1373" s="21"/>
      <c r="W1373" s="21"/>
      <c r="X1373" s="21"/>
      <c r="Y1373" s="21"/>
      <c r="Z1373" s="21"/>
      <c r="AA1373" s="21"/>
      <c r="AB1373" s="21"/>
      <c r="AC1373" s="21"/>
      <c r="AD1373" s="21"/>
    </row>
    <row r="1374" spans="1:30">
      <c r="A1374" s="21"/>
      <c r="B1374" s="21"/>
      <c r="C1374" s="21"/>
      <c r="D1374" s="21"/>
      <c r="E1374" s="21"/>
      <c r="F1374" s="21"/>
      <c r="G1374" s="21"/>
      <c r="H1374" s="21"/>
      <c r="I1374" s="21"/>
      <c r="J1374" s="21"/>
      <c r="K1374" s="21"/>
      <c r="L1374" s="21"/>
      <c r="M1374" s="21"/>
      <c r="N1374" s="21"/>
      <c r="O1374" s="21"/>
      <c r="P1374" s="21"/>
      <c r="Q1374" s="21"/>
      <c r="R1374" s="21"/>
      <c r="S1374" s="21"/>
      <c r="T1374" s="21"/>
      <c r="U1374" s="21"/>
      <c r="V1374" s="21"/>
      <c r="W1374" s="21"/>
      <c r="X1374" s="21"/>
      <c r="Y1374" s="21"/>
      <c r="Z1374" s="21"/>
      <c r="AA1374" s="21"/>
      <c r="AB1374" s="21"/>
      <c r="AC1374" s="21"/>
      <c r="AD1374" s="21"/>
    </row>
    <row r="1375" spans="1:30">
      <c r="A1375" s="21"/>
      <c r="B1375" s="21"/>
      <c r="C1375" s="21"/>
      <c r="D1375" s="21"/>
      <c r="E1375" s="21"/>
      <c r="F1375" s="21"/>
      <c r="G1375" s="21"/>
      <c r="H1375" s="21"/>
      <c r="I1375" s="21"/>
      <c r="J1375" s="21"/>
      <c r="K1375" s="21"/>
      <c r="L1375" s="21"/>
      <c r="M1375" s="21"/>
      <c r="N1375" s="21"/>
      <c r="O1375" s="21"/>
      <c r="P1375" s="21"/>
      <c r="Q1375" s="21"/>
      <c r="R1375" s="21"/>
      <c r="S1375" s="21"/>
      <c r="T1375" s="21"/>
      <c r="U1375" s="21"/>
      <c r="V1375" s="21"/>
      <c r="W1375" s="21"/>
      <c r="X1375" s="21"/>
      <c r="Y1375" s="21"/>
      <c r="Z1375" s="21"/>
      <c r="AA1375" s="21"/>
      <c r="AB1375" s="21"/>
      <c r="AC1375" s="21"/>
      <c r="AD1375" s="21"/>
    </row>
    <row r="1376" spans="1:30">
      <c r="A1376" s="21"/>
      <c r="B1376" s="21"/>
      <c r="C1376" s="21"/>
      <c r="D1376" s="21"/>
      <c r="E1376" s="21"/>
      <c r="F1376" s="21"/>
      <c r="G1376" s="21"/>
      <c r="H1376" s="21"/>
      <c r="I1376" s="21"/>
      <c r="J1376" s="21"/>
      <c r="K1376" s="21"/>
      <c r="L1376" s="21"/>
      <c r="M1376" s="21"/>
      <c r="N1376" s="21"/>
      <c r="O1376" s="21"/>
      <c r="P1376" s="21"/>
      <c r="Q1376" s="21"/>
      <c r="R1376" s="21"/>
      <c r="S1376" s="21"/>
      <c r="T1376" s="21"/>
      <c r="U1376" s="21"/>
      <c r="V1376" s="21"/>
      <c r="W1376" s="21"/>
      <c r="X1376" s="21"/>
      <c r="Y1376" s="21"/>
      <c r="Z1376" s="21"/>
      <c r="AA1376" s="21"/>
      <c r="AB1376" s="21"/>
      <c r="AC1376" s="21"/>
      <c r="AD1376" s="21"/>
    </row>
    <row r="1377" spans="1:30">
      <c r="A1377" s="21"/>
      <c r="B1377" s="21"/>
      <c r="C1377" s="21"/>
      <c r="D1377" s="21"/>
      <c r="E1377" s="21"/>
      <c r="F1377" s="21"/>
      <c r="G1377" s="21"/>
      <c r="H1377" s="21"/>
      <c r="I1377" s="21"/>
      <c r="J1377" s="21"/>
      <c r="K1377" s="21"/>
      <c r="L1377" s="21"/>
      <c r="M1377" s="21"/>
      <c r="N1377" s="21"/>
      <c r="O1377" s="21"/>
      <c r="P1377" s="21"/>
      <c r="Q1377" s="21"/>
      <c r="R1377" s="21"/>
      <c r="S1377" s="21"/>
      <c r="T1377" s="21"/>
      <c r="U1377" s="21"/>
      <c r="V1377" s="21"/>
      <c r="W1377" s="21"/>
      <c r="X1377" s="21"/>
      <c r="Y1377" s="21"/>
      <c r="Z1377" s="21"/>
      <c r="AA1377" s="21"/>
      <c r="AB1377" s="21"/>
      <c r="AC1377" s="21"/>
      <c r="AD1377" s="21"/>
    </row>
    <row r="1378" spans="1:30">
      <c r="A1378" s="21"/>
      <c r="B1378" s="21"/>
      <c r="C1378" s="21"/>
      <c r="D1378" s="21"/>
      <c r="E1378" s="21"/>
      <c r="F1378" s="21"/>
      <c r="G1378" s="21"/>
      <c r="H1378" s="21"/>
      <c r="I1378" s="21"/>
      <c r="J1378" s="21"/>
      <c r="K1378" s="21"/>
      <c r="L1378" s="21"/>
      <c r="M1378" s="21"/>
      <c r="N1378" s="21"/>
      <c r="O1378" s="21"/>
      <c r="P1378" s="21"/>
      <c r="Q1378" s="21"/>
      <c r="R1378" s="21"/>
      <c r="S1378" s="21"/>
      <c r="T1378" s="21"/>
      <c r="U1378" s="21"/>
      <c r="V1378" s="21"/>
      <c r="W1378" s="21"/>
      <c r="X1378" s="21"/>
      <c r="Y1378" s="21"/>
      <c r="Z1378" s="21"/>
      <c r="AA1378" s="21"/>
      <c r="AB1378" s="21"/>
      <c r="AC1378" s="21"/>
      <c r="AD1378" s="21"/>
    </row>
    <row r="1379" spans="1:30">
      <c r="A1379" s="21"/>
      <c r="B1379" s="21"/>
      <c r="C1379" s="21"/>
      <c r="D1379" s="21"/>
      <c r="E1379" s="21"/>
      <c r="F1379" s="21"/>
      <c r="G1379" s="21"/>
      <c r="H1379" s="21"/>
      <c r="I1379" s="21"/>
      <c r="J1379" s="21"/>
      <c r="K1379" s="21"/>
      <c r="L1379" s="21"/>
      <c r="M1379" s="21"/>
      <c r="N1379" s="21"/>
      <c r="O1379" s="21"/>
      <c r="P1379" s="21"/>
      <c r="Q1379" s="21"/>
      <c r="R1379" s="21"/>
      <c r="S1379" s="21"/>
      <c r="T1379" s="21"/>
      <c r="U1379" s="21"/>
      <c r="V1379" s="21"/>
      <c r="W1379" s="21"/>
      <c r="X1379" s="21"/>
      <c r="Y1379" s="21"/>
      <c r="Z1379" s="21"/>
      <c r="AA1379" s="21"/>
      <c r="AB1379" s="21"/>
      <c r="AC1379" s="21"/>
      <c r="AD1379" s="21"/>
    </row>
    <row r="1380" spans="1:30">
      <c r="A1380" s="21"/>
      <c r="B1380" s="21"/>
      <c r="C1380" s="21"/>
      <c r="D1380" s="21"/>
      <c r="E1380" s="21"/>
      <c r="F1380" s="21"/>
      <c r="G1380" s="21"/>
      <c r="H1380" s="21"/>
      <c r="I1380" s="21"/>
      <c r="J1380" s="21"/>
      <c r="K1380" s="21"/>
      <c r="L1380" s="21"/>
      <c r="M1380" s="21"/>
      <c r="N1380" s="21"/>
      <c r="O1380" s="21"/>
      <c r="P1380" s="21"/>
      <c r="Q1380" s="21"/>
      <c r="R1380" s="21"/>
      <c r="S1380" s="21"/>
      <c r="T1380" s="21"/>
      <c r="U1380" s="21"/>
      <c r="V1380" s="21"/>
      <c r="W1380" s="21"/>
      <c r="X1380" s="21"/>
      <c r="Y1380" s="21"/>
      <c r="Z1380" s="21"/>
      <c r="AA1380" s="21"/>
      <c r="AB1380" s="21"/>
      <c r="AC1380" s="21"/>
      <c r="AD1380" s="21"/>
    </row>
    <row r="1381" spans="1:30">
      <c r="A1381" s="21"/>
      <c r="B1381" s="21"/>
      <c r="C1381" s="21"/>
      <c r="D1381" s="21"/>
      <c r="E1381" s="21"/>
      <c r="F1381" s="21"/>
      <c r="G1381" s="21"/>
      <c r="H1381" s="21"/>
      <c r="I1381" s="21"/>
      <c r="J1381" s="21"/>
      <c r="K1381" s="21"/>
      <c r="L1381" s="21"/>
      <c r="M1381" s="21"/>
      <c r="N1381" s="21"/>
      <c r="O1381" s="21"/>
      <c r="P1381" s="21"/>
      <c r="Q1381" s="21"/>
      <c r="R1381" s="21"/>
      <c r="S1381" s="21"/>
      <c r="T1381" s="21"/>
      <c r="U1381" s="21"/>
      <c r="V1381" s="21"/>
      <c r="W1381" s="21"/>
      <c r="X1381" s="21"/>
      <c r="Y1381" s="21"/>
      <c r="Z1381" s="21"/>
      <c r="AA1381" s="21"/>
      <c r="AB1381" s="21"/>
      <c r="AC1381" s="21"/>
      <c r="AD1381" s="21"/>
    </row>
    <row r="1382" spans="1:30">
      <c r="A1382" s="21"/>
      <c r="B1382" s="21"/>
      <c r="C1382" s="21"/>
      <c r="D1382" s="21"/>
      <c r="E1382" s="21"/>
      <c r="F1382" s="21"/>
      <c r="G1382" s="21"/>
      <c r="H1382" s="21"/>
      <c r="I1382" s="21"/>
      <c r="J1382" s="21"/>
      <c r="K1382" s="21"/>
      <c r="L1382" s="21"/>
      <c r="M1382" s="21"/>
      <c r="N1382" s="21"/>
      <c r="O1382" s="21"/>
      <c r="P1382" s="21"/>
      <c r="Q1382" s="21"/>
      <c r="R1382" s="21"/>
      <c r="S1382" s="21"/>
      <c r="T1382" s="21"/>
      <c r="U1382" s="21"/>
      <c r="V1382" s="21"/>
      <c r="W1382" s="21"/>
      <c r="X1382" s="21"/>
      <c r="Y1382" s="21"/>
      <c r="Z1382" s="21"/>
      <c r="AA1382" s="21"/>
      <c r="AB1382" s="21"/>
      <c r="AC1382" s="21"/>
      <c r="AD1382" s="21"/>
    </row>
    <row r="1383" spans="1:30">
      <c r="A1383" s="21"/>
      <c r="B1383" s="21"/>
      <c r="C1383" s="21"/>
      <c r="D1383" s="21"/>
      <c r="E1383" s="21"/>
      <c r="F1383" s="21"/>
      <c r="G1383" s="21"/>
      <c r="H1383" s="21"/>
      <c r="I1383" s="21"/>
      <c r="J1383" s="21"/>
      <c r="K1383" s="21"/>
      <c r="L1383" s="21"/>
      <c r="M1383" s="21"/>
      <c r="N1383" s="21"/>
      <c r="O1383" s="21"/>
      <c r="P1383" s="21"/>
      <c r="Q1383" s="21"/>
      <c r="R1383" s="21"/>
      <c r="S1383" s="21"/>
      <c r="T1383" s="21"/>
      <c r="U1383" s="21"/>
      <c r="V1383" s="21"/>
      <c r="W1383" s="21"/>
      <c r="X1383" s="21"/>
      <c r="Y1383" s="21"/>
      <c r="Z1383" s="21"/>
      <c r="AA1383" s="21"/>
      <c r="AB1383" s="21"/>
      <c r="AC1383" s="21"/>
      <c r="AD1383" s="21"/>
    </row>
    <row r="1384" spans="1:30">
      <c r="A1384" s="21"/>
      <c r="B1384" s="21"/>
      <c r="C1384" s="21"/>
      <c r="D1384" s="21"/>
      <c r="E1384" s="21"/>
      <c r="F1384" s="21"/>
      <c r="G1384" s="21"/>
      <c r="H1384" s="21"/>
      <c r="I1384" s="21"/>
      <c r="J1384" s="21"/>
      <c r="K1384" s="21"/>
      <c r="L1384" s="21"/>
      <c r="M1384" s="21"/>
      <c r="N1384" s="21"/>
      <c r="O1384" s="21"/>
      <c r="P1384" s="21"/>
      <c r="Q1384" s="21"/>
      <c r="R1384" s="21"/>
      <c r="S1384" s="21"/>
      <c r="T1384" s="21"/>
      <c r="U1384" s="21"/>
      <c r="V1384" s="21"/>
      <c r="W1384" s="21"/>
      <c r="X1384" s="21"/>
      <c r="Y1384" s="21"/>
      <c r="Z1384" s="21"/>
      <c r="AA1384" s="21"/>
      <c r="AB1384" s="21"/>
      <c r="AC1384" s="21"/>
      <c r="AD1384" s="21"/>
    </row>
    <row r="1385" spans="1:30">
      <c r="A1385" s="21"/>
      <c r="B1385" s="21"/>
      <c r="C1385" s="21"/>
      <c r="D1385" s="21"/>
      <c r="E1385" s="21"/>
      <c r="F1385" s="21"/>
      <c r="G1385" s="21"/>
      <c r="H1385" s="21"/>
      <c r="I1385" s="21"/>
      <c r="J1385" s="21"/>
      <c r="K1385" s="21"/>
      <c r="L1385" s="21"/>
      <c r="M1385" s="21"/>
      <c r="N1385" s="21"/>
      <c r="O1385" s="21"/>
      <c r="P1385" s="21"/>
      <c r="Q1385" s="21"/>
      <c r="R1385" s="21"/>
      <c r="S1385" s="21"/>
      <c r="T1385" s="21"/>
      <c r="U1385" s="21"/>
      <c r="V1385" s="21"/>
      <c r="W1385" s="21"/>
      <c r="X1385" s="21"/>
      <c r="Y1385" s="21"/>
      <c r="Z1385" s="21"/>
      <c r="AA1385" s="21"/>
      <c r="AB1385" s="21"/>
      <c r="AC1385" s="21"/>
      <c r="AD1385" s="21"/>
    </row>
    <row r="1386" spans="1:30">
      <c r="A1386" s="21"/>
      <c r="B1386" s="21"/>
      <c r="C1386" s="21"/>
      <c r="D1386" s="21"/>
      <c r="E1386" s="21"/>
      <c r="F1386" s="21"/>
      <c r="G1386" s="21"/>
      <c r="H1386" s="21"/>
      <c r="I1386" s="21"/>
      <c r="J1386" s="21"/>
      <c r="K1386" s="21"/>
      <c r="L1386" s="21"/>
      <c r="M1386" s="21"/>
      <c r="N1386" s="21"/>
      <c r="O1386" s="21"/>
      <c r="P1386" s="21"/>
      <c r="Q1386" s="21"/>
      <c r="R1386" s="21"/>
      <c r="S1386" s="21"/>
      <c r="T1386" s="21"/>
      <c r="U1386" s="21"/>
      <c r="V1386" s="21"/>
      <c r="W1386" s="21"/>
      <c r="X1386" s="21"/>
      <c r="Y1386" s="21"/>
      <c r="Z1386" s="21"/>
      <c r="AA1386" s="21"/>
      <c r="AB1386" s="21"/>
      <c r="AC1386" s="21"/>
      <c r="AD1386" s="21"/>
    </row>
    <row r="1387" spans="1:30">
      <c r="A1387" s="21"/>
      <c r="B1387" s="21"/>
      <c r="C1387" s="21"/>
      <c r="D1387" s="21"/>
      <c r="E1387" s="21"/>
      <c r="F1387" s="21"/>
      <c r="G1387" s="21"/>
      <c r="H1387" s="21"/>
      <c r="I1387" s="21"/>
      <c r="J1387" s="21"/>
      <c r="K1387" s="21"/>
      <c r="L1387" s="21"/>
      <c r="M1387" s="21"/>
      <c r="N1387" s="21"/>
      <c r="O1387" s="21"/>
      <c r="P1387" s="21"/>
      <c r="Q1387" s="21"/>
      <c r="R1387" s="21"/>
      <c r="S1387" s="21"/>
      <c r="T1387" s="21"/>
      <c r="U1387" s="21"/>
      <c r="V1387" s="21"/>
      <c r="W1387" s="21"/>
      <c r="X1387" s="21"/>
      <c r="Y1387" s="21"/>
      <c r="Z1387" s="21"/>
      <c r="AA1387" s="21"/>
      <c r="AB1387" s="21"/>
      <c r="AC1387" s="21"/>
      <c r="AD1387" s="21"/>
    </row>
    <row r="1388" spans="1:30">
      <c r="A1388" s="21"/>
      <c r="B1388" s="21"/>
      <c r="C1388" s="21"/>
      <c r="D1388" s="21"/>
      <c r="E1388" s="21"/>
      <c r="F1388" s="21"/>
      <c r="G1388" s="21"/>
      <c r="H1388" s="21"/>
      <c r="I1388" s="21"/>
      <c r="J1388" s="21"/>
      <c r="K1388" s="21"/>
      <c r="L1388" s="21"/>
      <c r="M1388" s="21"/>
      <c r="N1388" s="21"/>
      <c r="O1388" s="21"/>
      <c r="P1388" s="21"/>
      <c r="Q1388" s="21"/>
      <c r="R1388" s="21"/>
      <c r="S1388" s="21"/>
      <c r="T1388" s="21"/>
      <c r="U1388" s="21"/>
      <c r="V1388" s="21"/>
      <c r="W1388" s="21"/>
      <c r="X1388" s="21"/>
      <c r="Y1388" s="21"/>
      <c r="Z1388" s="21"/>
      <c r="AA1388" s="21"/>
      <c r="AB1388" s="21"/>
      <c r="AC1388" s="21"/>
      <c r="AD1388" s="21"/>
    </row>
    <row r="1389" spans="1:30">
      <c r="A1389" s="21"/>
      <c r="B1389" s="21"/>
      <c r="C1389" s="21"/>
      <c r="D1389" s="21"/>
      <c r="E1389" s="21"/>
      <c r="F1389" s="21"/>
      <c r="G1389" s="21"/>
      <c r="H1389" s="21"/>
      <c r="I1389" s="21"/>
      <c r="J1389" s="21"/>
      <c r="K1389" s="21"/>
      <c r="L1389" s="21"/>
      <c r="M1389" s="21"/>
      <c r="N1389" s="21"/>
      <c r="O1389" s="21"/>
      <c r="P1389" s="21"/>
      <c r="Q1389" s="21"/>
      <c r="R1389" s="21"/>
      <c r="S1389" s="21"/>
      <c r="T1389" s="21"/>
      <c r="U1389" s="21"/>
      <c r="V1389" s="21"/>
      <c r="W1389" s="21"/>
      <c r="X1389" s="21"/>
      <c r="Y1389" s="21"/>
      <c r="Z1389" s="21"/>
      <c r="AA1389" s="21"/>
      <c r="AB1389" s="21"/>
      <c r="AC1389" s="21"/>
      <c r="AD1389" s="21"/>
    </row>
    <row r="1390" spans="1:30">
      <c r="A1390" s="21"/>
      <c r="B1390" s="21"/>
      <c r="C1390" s="21"/>
      <c r="D1390" s="21"/>
      <c r="E1390" s="21"/>
      <c r="F1390" s="21"/>
      <c r="G1390" s="21"/>
      <c r="H1390" s="21"/>
      <c r="I1390" s="21"/>
      <c r="J1390" s="21"/>
      <c r="K1390" s="21"/>
      <c r="L1390" s="21"/>
      <c r="M1390" s="21"/>
      <c r="N1390" s="21"/>
      <c r="O1390" s="21"/>
      <c r="P1390" s="21"/>
      <c r="Q1390" s="21"/>
      <c r="R1390" s="21"/>
      <c r="S1390" s="21"/>
      <c r="T1390" s="21"/>
      <c r="U1390" s="21"/>
      <c r="V1390" s="21"/>
      <c r="W1390" s="21"/>
      <c r="X1390" s="21"/>
      <c r="Y1390" s="21"/>
      <c r="Z1390" s="21"/>
      <c r="AA1390" s="21"/>
      <c r="AB1390" s="21"/>
      <c r="AC1390" s="21"/>
      <c r="AD1390" s="21"/>
    </row>
    <row r="1391" spans="1:30">
      <c r="A1391" s="21"/>
      <c r="B1391" s="21"/>
      <c r="C1391" s="21"/>
      <c r="D1391" s="21"/>
      <c r="E1391" s="21"/>
      <c r="F1391" s="21"/>
      <c r="G1391" s="21"/>
      <c r="H1391" s="21"/>
      <c r="I1391" s="21"/>
      <c r="J1391" s="21"/>
      <c r="K1391" s="21"/>
      <c r="L1391" s="21"/>
      <c r="M1391" s="21"/>
      <c r="N1391" s="21"/>
      <c r="O1391" s="21"/>
      <c r="P1391" s="21"/>
      <c r="Q1391" s="21"/>
      <c r="R1391" s="21"/>
      <c r="S1391" s="21"/>
      <c r="T1391" s="21"/>
      <c r="U1391" s="21"/>
      <c r="V1391" s="21"/>
      <c r="W1391" s="21"/>
      <c r="X1391" s="21"/>
      <c r="Y1391" s="21"/>
      <c r="Z1391" s="21"/>
      <c r="AA1391" s="21"/>
      <c r="AB1391" s="21"/>
      <c r="AC1391" s="21"/>
      <c r="AD1391" s="21"/>
    </row>
    <row r="1392" spans="1:30">
      <c r="A1392" s="21"/>
      <c r="B1392" s="21"/>
      <c r="C1392" s="21"/>
      <c r="D1392" s="21"/>
      <c r="E1392" s="21"/>
      <c r="F1392" s="21"/>
      <c r="G1392" s="21"/>
      <c r="H1392" s="21"/>
      <c r="I1392" s="21"/>
      <c r="J1392" s="21"/>
      <c r="K1392" s="21"/>
      <c r="L1392" s="21"/>
      <c r="M1392" s="21"/>
      <c r="N1392" s="21"/>
      <c r="O1392" s="21"/>
      <c r="P1392" s="21"/>
      <c r="Q1392" s="21"/>
      <c r="R1392" s="21"/>
      <c r="S1392" s="21"/>
      <c r="T1392" s="21"/>
      <c r="U1392" s="21"/>
      <c r="V1392" s="21"/>
      <c r="W1392" s="21"/>
      <c r="X1392" s="21"/>
      <c r="Y1392" s="21"/>
      <c r="Z1392" s="21"/>
      <c r="AA1392" s="21"/>
      <c r="AB1392" s="21"/>
      <c r="AC1392" s="21"/>
      <c r="AD1392" s="21"/>
    </row>
    <row r="1393" spans="1:30">
      <c r="A1393" s="21"/>
      <c r="B1393" s="21"/>
      <c r="C1393" s="21"/>
      <c r="D1393" s="21"/>
      <c r="E1393" s="21"/>
      <c r="F1393" s="21"/>
      <c r="G1393" s="21"/>
      <c r="H1393" s="21"/>
      <c r="I1393" s="21"/>
      <c r="J1393" s="21"/>
      <c r="K1393" s="21"/>
      <c r="L1393" s="21"/>
      <c r="M1393" s="21"/>
      <c r="N1393" s="21"/>
      <c r="O1393" s="21"/>
      <c r="P1393" s="21"/>
      <c r="Q1393" s="21"/>
      <c r="R1393" s="21"/>
      <c r="S1393" s="21"/>
      <c r="T1393" s="21"/>
      <c r="U1393" s="21"/>
      <c r="V1393" s="21"/>
      <c r="W1393" s="21"/>
      <c r="X1393" s="21"/>
      <c r="Y1393" s="21"/>
      <c r="Z1393" s="21"/>
      <c r="AA1393" s="21"/>
      <c r="AB1393" s="21"/>
      <c r="AC1393" s="21"/>
      <c r="AD1393" s="21"/>
    </row>
    <row r="1394" spans="1:30">
      <c r="A1394" s="21"/>
      <c r="B1394" s="21"/>
      <c r="C1394" s="21"/>
      <c r="D1394" s="21"/>
      <c r="E1394" s="21"/>
      <c r="F1394" s="21"/>
      <c r="G1394" s="21"/>
      <c r="H1394" s="21"/>
      <c r="I1394" s="21"/>
      <c r="J1394" s="21"/>
      <c r="K1394" s="21"/>
      <c r="L1394" s="21"/>
      <c r="M1394" s="21"/>
      <c r="N1394" s="21"/>
      <c r="O1394" s="21"/>
      <c r="P1394" s="21"/>
      <c r="Q1394" s="21"/>
      <c r="R1394" s="21"/>
      <c r="S1394" s="21"/>
      <c r="T1394" s="21"/>
      <c r="U1394" s="21"/>
      <c r="V1394" s="21"/>
      <c r="W1394" s="21"/>
      <c r="X1394" s="21"/>
      <c r="Y1394" s="21"/>
      <c r="Z1394" s="21"/>
      <c r="AA1394" s="21"/>
      <c r="AB1394" s="21"/>
      <c r="AC1394" s="21"/>
      <c r="AD1394" s="21"/>
    </row>
    <row r="1395" spans="1:30">
      <c r="A1395" s="21"/>
      <c r="B1395" s="21"/>
      <c r="C1395" s="21"/>
      <c r="D1395" s="21"/>
      <c r="E1395" s="21"/>
      <c r="F1395" s="21"/>
      <c r="G1395" s="21"/>
      <c r="H1395" s="21"/>
      <c r="I1395" s="21"/>
      <c r="J1395" s="21"/>
      <c r="K1395" s="21"/>
      <c r="L1395" s="21"/>
      <c r="M1395" s="21"/>
      <c r="N1395" s="21"/>
      <c r="O1395" s="21"/>
      <c r="P1395" s="21"/>
      <c r="Q1395" s="21"/>
      <c r="R1395" s="21"/>
      <c r="S1395" s="21"/>
      <c r="T1395" s="21"/>
      <c r="U1395" s="21"/>
      <c r="V1395" s="21"/>
      <c r="W1395" s="21"/>
      <c r="X1395" s="21"/>
      <c r="Y1395" s="21"/>
      <c r="Z1395" s="21"/>
      <c r="AA1395" s="21"/>
      <c r="AB1395" s="21"/>
      <c r="AC1395" s="21"/>
      <c r="AD1395" s="21"/>
    </row>
    <row r="1396" spans="1:30">
      <c r="A1396" s="21"/>
      <c r="B1396" s="21"/>
      <c r="C1396" s="21"/>
      <c r="D1396" s="21"/>
      <c r="E1396" s="21"/>
      <c r="F1396" s="21"/>
      <c r="G1396" s="21"/>
      <c r="H1396" s="21"/>
      <c r="I1396" s="21"/>
      <c r="J1396" s="21"/>
      <c r="K1396" s="21"/>
      <c r="L1396" s="21"/>
      <c r="M1396" s="21"/>
      <c r="N1396" s="21"/>
      <c r="O1396" s="21"/>
      <c r="P1396" s="21"/>
      <c r="Q1396" s="21"/>
      <c r="R1396" s="21"/>
      <c r="S1396" s="21"/>
      <c r="T1396" s="21"/>
      <c r="U1396" s="21"/>
      <c r="V1396" s="21"/>
      <c r="W1396" s="21"/>
      <c r="X1396" s="21"/>
      <c r="Y1396" s="21"/>
      <c r="Z1396" s="21"/>
      <c r="AA1396" s="21"/>
      <c r="AB1396" s="21"/>
      <c r="AC1396" s="21"/>
      <c r="AD1396" s="21"/>
    </row>
    <row r="1397" spans="1:30">
      <c r="A1397" s="21"/>
      <c r="B1397" s="21"/>
      <c r="C1397" s="21"/>
      <c r="D1397" s="21"/>
      <c r="E1397" s="21"/>
      <c r="F1397" s="21"/>
      <c r="G1397" s="21"/>
      <c r="H1397" s="21"/>
      <c r="I1397" s="21"/>
      <c r="J1397" s="21"/>
      <c r="K1397" s="21"/>
      <c r="L1397" s="21"/>
      <c r="M1397" s="21"/>
      <c r="N1397" s="21"/>
      <c r="O1397" s="21"/>
      <c r="P1397" s="21"/>
      <c r="Q1397" s="21"/>
      <c r="R1397" s="21"/>
      <c r="S1397" s="21"/>
      <c r="T1397" s="21"/>
      <c r="U1397" s="21"/>
      <c r="V1397" s="21"/>
      <c r="W1397" s="21"/>
      <c r="X1397" s="21"/>
      <c r="Y1397" s="21"/>
      <c r="Z1397" s="21"/>
      <c r="AA1397" s="21"/>
      <c r="AB1397" s="21"/>
      <c r="AC1397" s="21"/>
      <c r="AD1397" s="21"/>
    </row>
    <row r="1398" spans="1:30">
      <c r="A1398" s="21"/>
      <c r="B1398" s="21"/>
      <c r="C1398" s="21"/>
      <c r="D1398" s="21"/>
      <c r="E1398" s="21"/>
      <c r="F1398" s="21"/>
      <c r="G1398" s="21"/>
      <c r="H1398" s="21"/>
      <c r="I1398" s="21"/>
      <c r="J1398" s="21"/>
      <c r="K1398" s="21"/>
      <c r="L1398" s="21"/>
      <c r="M1398" s="21"/>
      <c r="N1398" s="21"/>
      <c r="O1398" s="21"/>
      <c r="P1398" s="21"/>
      <c r="Q1398" s="21"/>
      <c r="R1398" s="21"/>
      <c r="S1398" s="21"/>
      <c r="T1398" s="21"/>
      <c r="U1398" s="21"/>
      <c r="V1398" s="21"/>
      <c r="W1398" s="21"/>
      <c r="X1398" s="21"/>
      <c r="Y1398" s="21"/>
      <c r="Z1398" s="21"/>
      <c r="AA1398" s="21"/>
      <c r="AB1398" s="21"/>
      <c r="AC1398" s="21"/>
      <c r="AD1398" s="21"/>
    </row>
    <row r="1399" spans="1:30">
      <c r="A1399" s="21"/>
      <c r="B1399" s="21"/>
      <c r="C1399" s="21"/>
      <c r="D1399" s="21"/>
      <c r="E1399" s="21"/>
      <c r="F1399" s="21"/>
      <c r="G1399" s="21"/>
      <c r="H1399" s="21"/>
      <c r="I1399" s="21"/>
      <c r="J1399" s="21"/>
      <c r="K1399" s="21"/>
      <c r="L1399" s="21"/>
      <c r="M1399" s="21"/>
      <c r="N1399" s="21"/>
      <c r="O1399" s="21"/>
      <c r="P1399" s="21"/>
      <c r="Q1399" s="21"/>
      <c r="R1399" s="21"/>
      <c r="S1399" s="21"/>
      <c r="T1399" s="21"/>
      <c r="U1399" s="21"/>
      <c r="V1399" s="21"/>
      <c r="W1399" s="21"/>
      <c r="X1399" s="21"/>
      <c r="Y1399" s="21"/>
      <c r="Z1399" s="21"/>
      <c r="AA1399" s="21"/>
      <c r="AB1399" s="21"/>
      <c r="AC1399" s="21"/>
      <c r="AD1399" s="21"/>
    </row>
    <row r="1400" spans="1:30">
      <c r="A1400" s="21"/>
      <c r="B1400" s="21"/>
      <c r="C1400" s="21"/>
      <c r="D1400" s="21"/>
      <c r="E1400" s="21"/>
      <c r="F1400" s="21"/>
      <c r="G1400" s="21"/>
      <c r="H1400" s="21"/>
      <c r="I1400" s="21"/>
      <c r="J1400" s="21"/>
      <c r="K1400" s="21"/>
      <c r="L1400" s="21"/>
      <c r="M1400" s="21"/>
      <c r="N1400" s="21"/>
      <c r="O1400" s="21"/>
      <c r="P1400" s="21"/>
      <c r="Q1400" s="21"/>
      <c r="R1400" s="21"/>
      <c r="S1400" s="21"/>
      <c r="T1400" s="21"/>
      <c r="U1400" s="21"/>
      <c r="V1400" s="21"/>
      <c r="W1400" s="21"/>
      <c r="X1400" s="21"/>
      <c r="Y1400" s="21"/>
      <c r="Z1400" s="21"/>
      <c r="AA1400" s="21"/>
      <c r="AB1400" s="21"/>
      <c r="AC1400" s="21"/>
      <c r="AD1400" s="21"/>
    </row>
    <row r="1401" spans="1:30">
      <c r="A1401" s="21"/>
      <c r="B1401" s="21"/>
      <c r="C1401" s="21"/>
      <c r="D1401" s="21"/>
      <c r="E1401" s="21"/>
      <c r="F1401" s="21"/>
      <c r="G1401" s="21"/>
      <c r="H1401" s="21"/>
      <c r="I1401" s="21"/>
      <c r="J1401" s="21"/>
      <c r="K1401" s="21"/>
      <c r="L1401" s="21"/>
      <c r="M1401" s="21"/>
      <c r="N1401" s="21"/>
      <c r="O1401" s="21"/>
      <c r="P1401" s="21"/>
      <c r="Q1401" s="21"/>
      <c r="R1401" s="21"/>
      <c r="S1401" s="21"/>
      <c r="T1401" s="21"/>
      <c r="U1401" s="21"/>
      <c r="V1401" s="21"/>
      <c r="W1401" s="21"/>
      <c r="X1401" s="21"/>
      <c r="Y1401" s="21"/>
      <c r="Z1401" s="21"/>
      <c r="AA1401" s="21"/>
      <c r="AB1401" s="21"/>
      <c r="AC1401" s="21"/>
      <c r="AD1401" s="21"/>
    </row>
    <row r="1402" spans="1:30">
      <c r="A1402" s="21"/>
      <c r="B1402" s="21"/>
      <c r="C1402" s="21"/>
      <c r="D1402" s="21"/>
      <c r="E1402" s="21"/>
      <c r="F1402" s="21"/>
      <c r="G1402" s="21"/>
      <c r="H1402" s="21"/>
      <c r="I1402" s="21"/>
      <c r="J1402" s="21"/>
      <c r="K1402" s="21"/>
      <c r="L1402" s="21"/>
      <c r="M1402" s="21"/>
      <c r="N1402" s="21"/>
      <c r="O1402" s="21"/>
      <c r="P1402" s="21"/>
      <c r="Q1402" s="21"/>
      <c r="R1402" s="21"/>
      <c r="S1402" s="21"/>
      <c r="T1402" s="21"/>
      <c r="U1402" s="21"/>
      <c r="V1402" s="21"/>
      <c r="W1402" s="21"/>
      <c r="X1402" s="21"/>
      <c r="Y1402" s="21"/>
      <c r="Z1402" s="21"/>
      <c r="AA1402" s="21"/>
      <c r="AB1402" s="21"/>
      <c r="AC1402" s="21"/>
      <c r="AD1402" s="21"/>
    </row>
    <row r="1403" spans="1:30">
      <c r="A1403" s="21"/>
      <c r="B1403" s="21"/>
      <c r="C1403" s="21"/>
      <c r="D1403" s="21"/>
      <c r="E1403" s="21"/>
      <c r="F1403" s="21"/>
      <c r="G1403" s="21"/>
      <c r="H1403" s="21"/>
      <c r="I1403" s="21"/>
      <c r="J1403" s="21"/>
      <c r="K1403" s="21"/>
      <c r="L1403" s="21"/>
      <c r="M1403" s="21"/>
      <c r="N1403" s="21"/>
      <c r="O1403" s="21"/>
      <c r="P1403" s="21"/>
      <c r="Q1403" s="21"/>
      <c r="R1403" s="21"/>
      <c r="S1403" s="21"/>
      <c r="T1403" s="21"/>
      <c r="U1403" s="21"/>
      <c r="V1403" s="21"/>
      <c r="W1403" s="21"/>
      <c r="X1403" s="21"/>
      <c r="Y1403" s="21"/>
      <c r="Z1403" s="21"/>
      <c r="AA1403" s="21"/>
      <c r="AB1403" s="21"/>
      <c r="AC1403" s="21"/>
      <c r="AD1403" s="21"/>
    </row>
    <row r="1404" spans="1:30">
      <c r="A1404" s="21"/>
      <c r="B1404" s="21"/>
      <c r="C1404" s="21"/>
      <c r="D1404" s="21"/>
      <c r="E1404" s="21"/>
      <c r="F1404" s="21"/>
      <c r="G1404" s="21"/>
      <c r="H1404" s="21"/>
      <c r="I1404" s="21"/>
      <c r="J1404" s="21"/>
      <c r="K1404" s="21"/>
      <c r="L1404" s="21"/>
      <c r="M1404" s="21"/>
      <c r="N1404" s="21"/>
      <c r="O1404" s="21"/>
      <c r="P1404" s="21"/>
      <c r="Q1404" s="21"/>
      <c r="R1404" s="21"/>
      <c r="S1404" s="21"/>
      <c r="T1404" s="21"/>
      <c r="U1404" s="21"/>
      <c r="V1404" s="21"/>
      <c r="W1404" s="21"/>
      <c r="X1404" s="21"/>
      <c r="Y1404" s="21"/>
      <c r="Z1404" s="21"/>
      <c r="AA1404" s="21"/>
      <c r="AB1404" s="21"/>
      <c r="AC1404" s="21"/>
      <c r="AD1404" s="21"/>
    </row>
    <row r="1405" spans="1:30">
      <c r="A1405" s="21"/>
      <c r="B1405" s="21"/>
      <c r="C1405" s="21"/>
      <c r="D1405" s="21"/>
      <c r="E1405" s="21"/>
      <c r="F1405" s="21"/>
      <c r="G1405" s="21"/>
      <c r="H1405" s="21"/>
      <c r="I1405" s="21"/>
      <c r="J1405" s="21"/>
      <c r="K1405" s="21"/>
      <c r="L1405" s="21"/>
      <c r="M1405" s="21"/>
      <c r="N1405" s="21"/>
      <c r="O1405" s="21"/>
      <c r="P1405" s="21"/>
      <c r="Q1405" s="21"/>
      <c r="R1405" s="21"/>
      <c r="S1405" s="21"/>
      <c r="T1405" s="21"/>
      <c r="U1405" s="21"/>
      <c r="V1405" s="21"/>
      <c r="W1405" s="21"/>
      <c r="X1405" s="21"/>
      <c r="Y1405" s="21"/>
      <c r="Z1405" s="21"/>
      <c r="AA1405" s="21"/>
      <c r="AB1405" s="21"/>
      <c r="AC1405" s="21"/>
      <c r="AD1405" s="21"/>
    </row>
    <row r="1406" spans="1:30">
      <c r="A1406" s="21"/>
      <c r="B1406" s="21"/>
      <c r="C1406" s="21"/>
      <c r="D1406" s="21"/>
      <c r="E1406" s="21"/>
      <c r="F1406" s="21"/>
      <c r="G1406" s="21"/>
      <c r="H1406" s="21"/>
      <c r="I1406" s="21"/>
      <c r="J1406" s="21"/>
      <c r="K1406" s="21"/>
      <c r="L1406" s="21"/>
      <c r="M1406" s="21"/>
      <c r="N1406" s="21"/>
      <c r="O1406" s="21"/>
      <c r="P1406" s="21"/>
      <c r="Q1406" s="21"/>
      <c r="R1406" s="21"/>
      <c r="S1406" s="21"/>
      <c r="T1406" s="21"/>
      <c r="U1406" s="21"/>
      <c r="V1406" s="21"/>
      <c r="W1406" s="21"/>
      <c r="X1406" s="21"/>
      <c r="Y1406" s="21"/>
      <c r="Z1406" s="21"/>
      <c r="AA1406" s="21"/>
      <c r="AB1406" s="21"/>
      <c r="AC1406" s="21"/>
      <c r="AD1406" s="21"/>
    </row>
    <row r="1407" spans="1:30">
      <c r="A1407" s="21"/>
      <c r="B1407" s="21"/>
      <c r="C1407" s="21"/>
      <c r="D1407" s="21"/>
      <c r="E1407" s="21"/>
      <c r="F1407" s="21"/>
      <c r="G1407" s="21"/>
      <c r="H1407" s="21"/>
      <c r="I1407" s="21"/>
      <c r="J1407" s="21"/>
      <c r="K1407" s="21"/>
      <c r="L1407" s="21"/>
      <c r="M1407" s="21"/>
      <c r="N1407" s="21"/>
      <c r="O1407" s="21"/>
      <c r="P1407" s="21"/>
      <c r="Q1407" s="21"/>
      <c r="R1407" s="21"/>
      <c r="S1407" s="21"/>
      <c r="T1407" s="21"/>
      <c r="U1407" s="21"/>
      <c r="V1407" s="21"/>
      <c r="W1407" s="21"/>
      <c r="X1407" s="21"/>
      <c r="Y1407" s="21"/>
      <c r="Z1407" s="21"/>
      <c r="AA1407" s="21"/>
      <c r="AB1407" s="21"/>
      <c r="AC1407" s="21"/>
      <c r="AD1407" s="21"/>
    </row>
    <row r="1408" spans="1:30">
      <c r="A1408" s="21"/>
      <c r="B1408" s="21"/>
      <c r="C1408" s="21"/>
      <c r="D1408" s="21"/>
      <c r="E1408" s="21"/>
      <c r="F1408" s="21"/>
      <c r="G1408" s="21"/>
      <c r="H1408" s="21"/>
      <c r="I1408" s="21"/>
      <c r="J1408" s="21"/>
      <c r="K1408" s="21"/>
      <c r="L1408" s="21"/>
      <c r="M1408" s="21"/>
      <c r="N1408" s="21"/>
      <c r="O1408" s="21"/>
      <c r="P1408" s="21"/>
      <c r="Q1408" s="21"/>
      <c r="R1408" s="21"/>
      <c r="S1408" s="21"/>
      <c r="T1408" s="21"/>
      <c r="U1408" s="21"/>
      <c r="V1408" s="21"/>
      <c r="W1408" s="21"/>
      <c r="X1408" s="21"/>
      <c r="Y1408" s="21"/>
      <c r="Z1408" s="21"/>
      <c r="AA1408" s="21"/>
      <c r="AB1408" s="21"/>
      <c r="AC1408" s="21"/>
      <c r="AD1408" s="21"/>
    </row>
    <row r="1409" spans="1:30">
      <c r="A1409" s="21"/>
      <c r="B1409" s="21"/>
      <c r="C1409" s="21"/>
      <c r="D1409" s="21"/>
      <c r="E1409" s="21"/>
      <c r="F1409" s="21"/>
      <c r="G1409" s="21"/>
      <c r="H1409" s="21"/>
      <c r="I1409" s="21"/>
      <c r="J1409" s="21"/>
      <c r="K1409" s="21"/>
      <c r="L1409" s="21"/>
      <c r="M1409" s="21"/>
      <c r="N1409" s="21"/>
      <c r="O1409" s="21"/>
      <c r="P1409" s="21"/>
      <c r="Q1409" s="21"/>
      <c r="R1409" s="21"/>
      <c r="S1409" s="21"/>
      <c r="T1409" s="21"/>
      <c r="U1409" s="21"/>
      <c r="V1409" s="21"/>
      <c r="W1409" s="21"/>
      <c r="X1409" s="21"/>
      <c r="Y1409" s="21"/>
      <c r="Z1409" s="21"/>
      <c r="AA1409" s="21"/>
      <c r="AB1409" s="21"/>
      <c r="AC1409" s="21"/>
      <c r="AD1409" s="21"/>
    </row>
    <row r="1410" spans="1:30">
      <c r="A1410" s="21"/>
      <c r="B1410" s="21"/>
      <c r="C1410" s="21"/>
      <c r="D1410" s="21"/>
      <c r="E1410" s="21"/>
      <c r="F1410" s="21"/>
      <c r="G1410" s="21"/>
      <c r="H1410" s="21"/>
      <c r="I1410" s="21"/>
      <c r="J1410" s="21"/>
      <c r="K1410" s="21"/>
      <c r="L1410" s="21"/>
      <c r="M1410" s="21"/>
      <c r="N1410" s="21"/>
      <c r="O1410" s="21"/>
      <c r="P1410" s="21"/>
      <c r="Q1410" s="21"/>
      <c r="R1410" s="21"/>
      <c r="S1410" s="21"/>
      <c r="T1410" s="21"/>
      <c r="U1410" s="21"/>
      <c r="V1410" s="21"/>
      <c r="W1410" s="21"/>
      <c r="X1410" s="21"/>
      <c r="Y1410" s="21"/>
      <c r="Z1410" s="21"/>
      <c r="AA1410" s="21"/>
      <c r="AB1410" s="21"/>
      <c r="AC1410" s="21"/>
      <c r="AD1410" s="21"/>
    </row>
    <row r="1411" spans="1:30">
      <c r="A1411" s="21"/>
      <c r="B1411" s="21"/>
      <c r="C1411" s="21"/>
      <c r="D1411" s="21"/>
      <c r="E1411" s="21"/>
      <c r="F1411" s="21"/>
      <c r="G1411" s="21"/>
      <c r="H1411" s="21"/>
      <c r="I1411" s="21"/>
      <c r="J1411" s="21"/>
      <c r="K1411" s="21"/>
      <c r="L1411" s="21"/>
      <c r="M1411" s="21"/>
      <c r="N1411" s="21"/>
      <c r="O1411" s="21"/>
      <c r="P1411" s="21"/>
      <c r="Q1411" s="21"/>
      <c r="R1411" s="21"/>
      <c r="S1411" s="21"/>
      <c r="T1411" s="21"/>
      <c r="U1411" s="21"/>
      <c r="V1411" s="21"/>
      <c r="W1411" s="21"/>
      <c r="X1411" s="21"/>
      <c r="Y1411" s="21"/>
      <c r="Z1411" s="21"/>
      <c r="AA1411" s="21"/>
      <c r="AB1411" s="21"/>
      <c r="AC1411" s="21"/>
      <c r="AD1411" s="21"/>
    </row>
    <row r="1412" spans="1:30">
      <c r="A1412" s="21"/>
      <c r="B1412" s="21"/>
      <c r="C1412" s="21"/>
      <c r="D1412" s="21"/>
      <c r="E1412" s="21"/>
      <c r="F1412" s="21"/>
      <c r="G1412" s="21"/>
      <c r="H1412" s="21"/>
      <c r="I1412" s="21"/>
      <c r="J1412" s="21"/>
      <c r="K1412" s="21"/>
      <c r="L1412" s="21"/>
      <c r="M1412" s="21"/>
      <c r="N1412" s="21"/>
      <c r="O1412" s="21"/>
      <c r="P1412" s="21"/>
      <c r="Q1412" s="21"/>
      <c r="R1412" s="21"/>
      <c r="S1412" s="21"/>
      <c r="T1412" s="21"/>
      <c r="U1412" s="21"/>
      <c r="V1412" s="21"/>
      <c r="W1412" s="21"/>
      <c r="X1412" s="21"/>
      <c r="Y1412" s="21"/>
      <c r="Z1412" s="21"/>
      <c r="AA1412" s="21"/>
      <c r="AB1412" s="21"/>
      <c r="AC1412" s="21"/>
      <c r="AD1412" s="21"/>
    </row>
    <row r="1413" spans="1:30">
      <c r="A1413" s="21"/>
      <c r="B1413" s="21"/>
      <c r="C1413" s="21"/>
      <c r="D1413" s="21"/>
      <c r="E1413" s="21"/>
      <c r="F1413" s="21"/>
      <c r="G1413" s="21"/>
      <c r="H1413" s="21"/>
      <c r="I1413" s="21"/>
      <c r="J1413" s="21"/>
      <c r="K1413" s="21"/>
      <c r="L1413" s="21"/>
      <c r="M1413" s="21"/>
      <c r="N1413" s="21"/>
      <c r="O1413" s="21"/>
      <c r="P1413" s="21"/>
      <c r="Q1413" s="21"/>
      <c r="R1413" s="21"/>
      <c r="S1413" s="21"/>
      <c r="T1413" s="21"/>
      <c r="U1413" s="21"/>
      <c r="V1413" s="21"/>
      <c r="W1413" s="21"/>
      <c r="X1413" s="21"/>
      <c r="Y1413" s="21"/>
      <c r="Z1413" s="21"/>
      <c r="AA1413" s="21"/>
      <c r="AB1413" s="21"/>
      <c r="AC1413" s="21"/>
      <c r="AD1413" s="21"/>
    </row>
    <row r="1414" spans="1:30">
      <c r="A1414" s="21"/>
      <c r="B1414" s="21"/>
      <c r="C1414" s="21"/>
      <c r="D1414" s="21"/>
      <c r="E1414" s="21"/>
      <c r="F1414" s="21"/>
      <c r="G1414" s="21"/>
      <c r="H1414" s="21"/>
      <c r="I1414" s="21"/>
      <c r="J1414" s="21"/>
      <c r="K1414" s="21"/>
      <c r="L1414" s="21"/>
      <c r="M1414" s="21"/>
      <c r="N1414" s="21"/>
      <c r="O1414" s="21"/>
      <c r="P1414" s="21"/>
      <c r="Q1414" s="21"/>
      <c r="R1414" s="21"/>
      <c r="S1414" s="21"/>
      <c r="T1414" s="21"/>
      <c r="U1414" s="21"/>
      <c r="V1414" s="21"/>
      <c r="W1414" s="21"/>
      <c r="X1414" s="21"/>
      <c r="Y1414" s="21"/>
      <c r="Z1414" s="21"/>
      <c r="AA1414" s="21"/>
      <c r="AB1414" s="21"/>
      <c r="AC1414" s="21"/>
      <c r="AD1414" s="21"/>
    </row>
    <row r="1415" spans="1:30">
      <c r="A1415" s="21"/>
      <c r="B1415" s="21"/>
      <c r="C1415" s="21"/>
      <c r="D1415" s="21"/>
      <c r="E1415" s="21"/>
      <c r="F1415" s="21"/>
      <c r="G1415" s="21"/>
      <c r="H1415" s="21"/>
      <c r="I1415" s="21"/>
      <c r="J1415" s="21"/>
      <c r="K1415" s="21"/>
      <c r="L1415" s="21"/>
      <c r="M1415" s="21"/>
      <c r="N1415" s="21"/>
      <c r="O1415" s="21"/>
      <c r="P1415" s="21"/>
      <c r="Q1415" s="21"/>
      <c r="R1415" s="21"/>
      <c r="S1415" s="21"/>
      <c r="T1415" s="21"/>
      <c r="U1415" s="21"/>
      <c r="V1415" s="21"/>
      <c r="W1415" s="21"/>
      <c r="X1415" s="21"/>
      <c r="Y1415" s="21"/>
      <c r="Z1415" s="21"/>
      <c r="AA1415" s="21"/>
      <c r="AB1415" s="21"/>
      <c r="AC1415" s="21"/>
      <c r="AD1415" s="21"/>
    </row>
    <row r="1416" spans="1:30">
      <c r="A1416" s="21"/>
      <c r="B1416" s="21"/>
      <c r="C1416" s="21"/>
      <c r="D1416" s="21"/>
      <c r="E1416" s="21"/>
      <c r="F1416" s="21"/>
      <c r="G1416" s="21"/>
      <c r="H1416" s="21"/>
      <c r="I1416" s="21"/>
      <c r="J1416" s="21"/>
      <c r="K1416" s="21"/>
      <c r="L1416" s="21"/>
      <c r="M1416" s="21"/>
      <c r="N1416" s="21"/>
      <c r="O1416" s="21"/>
      <c r="P1416" s="21"/>
      <c r="Q1416" s="21"/>
      <c r="R1416" s="21"/>
      <c r="S1416" s="21"/>
      <c r="T1416" s="21"/>
      <c r="U1416" s="21"/>
      <c r="V1416" s="21"/>
      <c r="W1416" s="21"/>
      <c r="X1416" s="21"/>
      <c r="Y1416" s="21"/>
      <c r="Z1416" s="21"/>
      <c r="AA1416" s="21"/>
      <c r="AB1416" s="21"/>
      <c r="AC1416" s="21"/>
      <c r="AD1416" s="21"/>
    </row>
    <row r="1417" spans="1:30">
      <c r="A1417" s="21"/>
      <c r="B1417" s="21"/>
      <c r="C1417" s="21"/>
      <c r="D1417" s="21"/>
      <c r="E1417" s="21"/>
      <c r="F1417" s="21"/>
      <c r="G1417" s="21"/>
      <c r="H1417" s="21"/>
      <c r="I1417" s="21"/>
      <c r="J1417" s="21"/>
      <c r="K1417" s="21"/>
      <c r="L1417" s="21"/>
      <c r="M1417" s="21"/>
      <c r="N1417" s="21"/>
      <c r="O1417" s="21"/>
      <c r="P1417" s="21"/>
      <c r="Q1417" s="21"/>
      <c r="R1417" s="21"/>
      <c r="S1417" s="21"/>
      <c r="T1417" s="21"/>
      <c r="U1417" s="21"/>
      <c r="V1417" s="21"/>
      <c r="W1417" s="21"/>
      <c r="X1417" s="21"/>
      <c r="Y1417" s="21"/>
      <c r="Z1417" s="21"/>
      <c r="AA1417" s="21"/>
      <c r="AB1417" s="21"/>
      <c r="AC1417" s="21"/>
      <c r="AD1417" s="21"/>
    </row>
    <row r="1418" spans="1:30">
      <c r="A1418" s="21"/>
      <c r="B1418" s="21"/>
      <c r="C1418" s="21"/>
      <c r="D1418" s="21"/>
      <c r="E1418" s="21"/>
      <c r="F1418" s="21"/>
      <c r="G1418" s="21"/>
      <c r="H1418" s="21"/>
      <c r="I1418" s="21"/>
      <c r="J1418" s="21"/>
      <c r="K1418" s="21"/>
      <c r="L1418" s="21"/>
      <c r="M1418" s="21"/>
      <c r="N1418" s="21"/>
      <c r="O1418" s="21"/>
      <c r="P1418" s="21"/>
      <c r="Q1418" s="21"/>
      <c r="R1418" s="21"/>
      <c r="S1418" s="21"/>
      <c r="T1418" s="21"/>
      <c r="U1418" s="21"/>
      <c r="V1418" s="21"/>
      <c r="W1418" s="21"/>
      <c r="X1418" s="21"/>
      <c r="Y1418" s="21"/>
      <c r="Z1418" s="21"/>
      <c r="AA1418" s="21"/>
      <c r="AB1418" s="21"/>
      <c r="AC1418" s="21"/>
      <c r="AD1418" s="21"/>
    </row>
    <row r="1419" spans="1:30">
      <c r="A1419" s="21"/>
      <c r="B1419" s="21"/>
      <c r="C1419" s="21"/>
      <c r="D1419" s="21"/>
      <c r="E1419" s="21"/>
      <c r="F1419" s="21"/>
      <c r="G1419" s="21"/>
      <c r="H1419" s="21"/>
      <c r="I1419" s="21"/>
      <c r="J1419" s="21"/>
      <c r="K1419" s="21"/>
      <c r="L1419" s="21"/>
      <c r="M1419" s="21"/>
      <c r="N1419" s="21"/>
      <c r="O1419" s="21"/>
      <c r="P1419" s="21"/>
      <c r="Q1419" s="21"/>
      <c r="R1419" s="21"/>
      <c r="S1419" s="21"/>
      <c r="T1419" s="21"/>
      <c r="U1419" s="21"/>
      <c r="V1419" s="21"/>
      <c r="W1419" s="21"/>
      <c r="X1419" s="21"/>
      <c r="Y1419" s="21"/>
      <c r="Z1419" s="21"/>
      <c r="AA1419" s="21"/>
      <c r="AB1419" s="21"/>
      <c r="AC1419" s="21"/>
      <c r="AD1419" s="21"/>
    </row>
    <row r="1420" spans="1:30">
      <c r="A1420" s="21"/>
      <c r="B1420" s="21"/>
      <c r="C1420" s="21"/>
      <c r="D1420" s="21"/>
      <c r="E1420" s="21"/>
      <c r="F1420" s="21"/>
      <c r="G1420" s="21"/>
      <c r="H1420" s="21"/>
      <c r="I1420" s="21"/>
      <c r="J1420" s="21"/>
      <c r="K1420" s="21"/>
      <c r="L1420" s="21"/>
      <c r="M1420" s="21"/>
      <c r="N1420" s="21"/>
      <c r="O1420" s="21"/>
      <c r="P1420" s="21"/>
      <c r="Q1420" s="21"/>
      <c r="R1420" s="21"/>
      <c r="S1420" s="21"/>
      <c r="T1420" s="21"/>
      <c r="U1420" s="21"/>
      <c r="V1420" s="21"/>
      <c r="W1420" s="21"/>
      <c r="X1420" s="21"/>
      <c r="Y1420" s="21"/>
      <c r="Z1420" s="21"/>
      <c r="AA1420" s="21"/>
      <c r="AB1420" s="21"/>
      <c r="AC1420" s="21"/>
      <c r="AD1420" s="21"/>
    </row>
    <row r="1421" spans="1:30">
      <c r="A1421" s="21"/>
      <c r="B1421" s="21"/>
      <c r="C1421" s="21"/>
      <c r="D1421" s="21"/>
      <c r="E1421" s="21"/>
      <c r="F1421" s="21"/>
      <c r="G1421" s="21"/>
      <c r="H1421" s="21"/>
      <c r="I1421" s="21"/>
      <c r="J1421" s="21"/>
      <c r="K1421" s="21"/>
      <c r="L1421" s="21"/>
      <c r="M1421" s="21"/>
      <c r="N1421" s="21"/>
      <c r="O1421" s="21"/>
      <c r="P1421" s="21"/>
      <c r="Q1421" s="21"/>
      <c r="R1421" s="21"/>
      <c r="S1421" s="21"/>
      <c r="T1421" s="21"/>
      <c r="U1421" s="21"/>
      <c r="V1421" s="21"/>
      <c r="W1421" s="21"/>
      <c r="X1421" s="21"/>
      <c r="Y1421" s="21"/>
      <c r="Z1421" s="21"/>
      <c r="AA1421" s="21"/>
      <c r="AB1421" s="21"/>
      <c r="AC1421" s="21"/>
      <c r="AD1421" s="21"/>
    </row>
    <row r="1422" spans="1:30">
      <c r="A1422" s="21"/>
      <c r="B1422" s="21"/>
      <c r="C1422" s="21"/>
      <c r="D1422" s="21"/>
      <c r="E1422" s="21"/>
      <c r="F1422" s="21"/>
      <c r="G1422" s="21"/>
      <c r="H1422" s="21"/>
      <c r="I1422" s="21"/>
      <c r="J1422" s="21"/>
      <c r="K1422" s="21"/>
      <c r="L1422" s="21"/>
      <c r="M1422" s="21"/>
      <c r="N1422" s="21"/>
      <c r="O1422" s="21"/>
      <c r="P1422" s="21"/>
      <c r="Q1422" s="21"/>
      <c r="R1422" s="21"/>
      <c r="S1422" s="21"/>
      <c r="T1422" s="21"/>
      <c r="U1422" s="21"/>
      <c r="V1422" s="21"/>
      <c r="W1422" s="21"/>
      <c r="X1422" s="21"/>
      <c r="Y1422" s="21"/>
      <c r="Z1422" s="21"/>
      <c r="AA1422" s="21"/>
      <c r="AB1422" s="21"/>
      <c r="AC1422" s="21"/>
      <c r="AD1422" s="21"/>
    </row>
    <row r="1423" spans="1:30">
      <c r="A1423" s="21"/>
      <c r="B1423" s="21"/>
      <c r="C1423" s="21"/>
      <c r="D1423" s="21"/>
      <c r="E1423" s="21"/>
      <c r="F1423" s="21"/>
      <c r="G1423" s="21"/>
      <c r="H1423" s="21"/>
      <c r="I1423" s="21"/>
      <c r="J1423" s="21"/>
      <c r="K1423" s="21"/>
      <c r="L1423" s="21"/>
      <c r="M1423" s="21"/>
      <c r="N1423" s="21"/>
      <c r="O1423" s="21"/>
      <c r="P1423" s="21"/>
      <c r="Q1423" s="21"/>
      <c r="R1423" s="21"/>
      <c r="S1423" s="21"/>
      <c r="T1423" s="21"/>
      <c r="U1423" s="21"/>
      <c r="V1423" s="21"/>
      <c r="W1423" s="21"/>
      <c r="X1423" s="21"/>
      <c r="Y1423" s="21"/>
      <c r="Z1423" s="21"/>
      <c r="AA1423" s="21"/>
      <c r="AB1423" s="21"/>
      <c r="AC1423" s="21"/>
      <c r="AD1423" s="21"/>
    </row>
    <row r="1424" spans="1:30">
      <c r="A1424" s="21"/>
      <c r="B1424" s="21"/>
      <c r="C1424" s="21"/>
      <c r="D1424" s="21"/>
      <c r="E1424" s="21"/>
      <c r="F1424" s="21"/>
      <c r="G1424" s="21"/>
      <c r="H1424" s="21"/>
      <c r="I1424" s="21"/>
      <c r="J1424" s="21"/>
      <c r="K1424" s="21"/>
      <c r="L1424" s="21"/>
      <c r="M1424" s="21"/>
      <c r="N1424" s="21"/>
      <c r="O1424" s="21"/>
      <c r="P1424" s="21"/>
      <c r="Q1424" s="21"/>
      <c r="R1424" s="21"/>
      <c r="S1424" s="21"/>
      <c r="T1424" s="21"/>
      <c r="U1424" s="21"/>
      <c r="V1424" s="21"/>
      <c r="W1424" s="21"/>
      <c r="X1424" s="21"/>
      <c r="Y1424" s="21"/>
      <c r="Z1424" s="21"/>
      <c r="AA1424" s="21"/>
      <c r="AB1424" s="21"/>
      <c r="AC1424" s="21"/>
      <c r="AD1424" s="21"/>
    </row>
    <row r="1425" spans="1:30">
      <c r="A1425" s="21"/>
      <c r="B1425" s="21"/>
      <c r="C1425" s="21"/>
      <c r="D1425" s="21"/>
      <c r="E1425" s="21"/>
      <c r="F1425" s="21"/>
      <c r="G1425" s="21"/>
      <c r="H1425" s="21"/>
      <c r="I1425" s="21"/>
      <c r="J1425" s="21"/>
      <c r="K1425" s="21"/>
      <c r="L1425" s="21"/>
      <c r="M1425" s="21"/>
      <c r="N1425" s="21"/>
      <c r="O1425" s="21"/>
      <c r="P1425" s="21"/>
      <c r="Q1425" s="21"/>
      <c r="R1425" s="21"/>
      <c r="S1425" s="21"/>
      <c r="T1425" s="21"/>
      <c r="U1425" s="21"/>
      <c r="V1425" s="21"/>
      <c r="W1425" s="21"/>
      <c r="X1425" s="21"/>
      <c r="Y1425" s="21"/>
      <c r="Z1425" s="21"/>
      <c r="AA1425" s="21"/>
      <c r="AB1425" s="21"/>
      <c r="AC1425" s="21"/>
      <c r="AD1425" s="21"/>
    </row>
    <row r="1426" spans="1:30">
      <c r="A1426" s="21"/>
      <c r="B1426" s="21"/>
      <c r="C1426" s="21"/>
      <c r="D1426" s="21"/>
      <c r="E1426" s="21"/>
      <c r="F1426" s="21"/>
      <c r="G1426" s="21"/>
      <c r="H1426" s="21"/>
      <c r="I1426" s="21"/>
      <c r="J1426" s="21"/>
      <c r="K1426" s="21"/>
      <c r="L1426" s="21"/>
      <c r="M1426" s="21"/>
      <c r="N1426" s="21"/>
      <c r="O1426" s="21"/>
      <c r="P1426" s="21"/>
      <c r="Q1426" s="21"/>
      <c r="R1426" s="21"/>
      <c r="S1426" s="21"/>
      <c r="T1426" s="21"/>
      <c r="U1426" s="21"/>
      <c r="V1426" s="21"/>
      <c r="W1426" s="21"/>
      <c r="X1426" s="21"/>
      <c r="Y1426" s="21"/>
      <c r="Z1426" s="21"/>
      <c r="AA1426" s="21"/>
      <c r="AB1426" s="21"/>
      <c r="AC1426" s="21"/>
      <c r="AD1426" s="21"/>
    </row>
    <row r="1427" spans="1:30">
      <c r="A1427" s="21"/>
      <c r="B1427" s="21"/>
      <c r="C1427" s="21"/>
      <c r="D1427" s="21"/>
      <c r="E1427" s="21"/>
      <c r="F1427" s="21"/>
      <c r="G1427" s="21"/>
      <c r="H1427" s="21"/>
      <c r="I1427" s="21"/>
      <c r="J1427" s="21"/>
      <c r="K1427" s="21"/>
      <c r="L1427" s="21"/>
      <c r="M1427" s="21"/>
      <c r="N1427" s="21"/>
      <c r="O1427" s="21"/>
      <c r="P1427" s="21"/>
      <c r="Q1427" s="21"/>
      <c r="R1427" s="21"/>
      <c r="S1427" s="21"/>
      <c r="T1427" s="21"/>
      <c r="U1427" s="21"/>
      <c r="V1427" s="21"/>
      <c r="W1427" s="21"/>
      <c r="X1427" s="21"/>
      <c r="Y1427" s="21"/>
      <c r="Z1427" s="21"/>
      <c r="AA1427" s="21"/>
      <c r="AB1427" s="21"/>
      <c r="AC1427" s="21"/>
      <c r="AD1427" s="21"/>
    </row>
    <row r="1428" spans="1:30">
      <c r="A1428" s="21"/>
      <c r="B1428" s="21"/>
      <c r="C1428" s="21"/>
      <c r="D1428" s="21"/>
      <c r="E1428" s="21"/>
      <c r="F1428" s="21"/>
      <c r="G1428" s="21"/>
      <c r="H1428" s="21"/>
      <c r="I1428" s="21"/>
      <c r="J1428" s="21"/>
      <c r="K1428" s="21"/>
      <c r="L1428" s="21"/>
      <c r="M1428" s="21"/>
      <c r="N1428" s="21"/>
      <c r="O1428" s="21"/>
      <c r="P1428" s="21"/>
      <c r="Q1428" s="21"/>
      <c r="R1428" s="21"/>
      <c r="S1428" s="21"/>
      <c r="T1428" s="21"/>
      <c r="U1428" s="21"/>
      <c r="V1428" s="21"/>
      <c r="W1428" s="21"/>
      <c r="X1428" s="21"/>
      <c r="Y1428" s="21"/>
      <c r="Z1428" s="21"/>
      <c r="AA1428" s="21"/>
      <c r="AB1428" s="21"/>
      <c r="AC1428" s="21"/>
      <c r="AD1428" s="21"/>
    </row>
    <row r="1429" spans="1:30">
      <c r="A1429" s="21"/>
      <c r="B1429" s="21"/>
      <c r="C1429" s="21"/>
      <c r="D1429" s="21"/>
      <c r="E1429" s="21"/>
      <c r="F1429" s="21"/>
      <c r="G1429" s="21"/>
      <c r="H1429" s="21"/>
      <c r="I1429" s="21"/>
      <c r="J1429" s="21"/>
      <c r="K1429" s="21"/>
      <c r="L1429" s="21"/>
      <c r="M1429" s="21"/>
      <c r="N1429" s="21"/>
      <c r="O1429" s="21"/>
      <c r="P1429" s="21"/>
      <c r="Q1429" s="21"/>
      <c r="R1429" s="21"/>
      <c r="S1429" s="21"/>
      <c r="T1429" s="21"/>
      <c r="U1429" s="21"/>
      <c r="V1429" s="21"/>
      <c r="W1429" s="21"/>
      <c r="X1429" s="21"/>
      <c r="Y1429" s="21"/>
      <c r="Z1429" s="21"/>
      <c r="AA1429" s="21"/>
      <c r="AB1429" s="21"/>
      <c r="AC1429" s="21"/>
      <c r="AD1429" s="21"/>
    </row>
    <row r="1430" spans="1:30">
      <c r="A1430" s="21"/>
      <c r="B1430" s="21"/>
      <c r="C1430" s="21"/>
      <c r="D1430" s="21"/>
      <c r="E1430" s="21"/>
      <c r="F1430" s="21"/>
      <c r="G1430" s="21"/>
      <c r="H1430" s="21"/>
      <c r="I1430" s="21"/>
      <c r="J1430" s="21"/>
      <c r="K1430" s="21"/>
      <c r="L1430" s="21"/>
      <c r="M1430" s="21"/>
      <c r="N1430" s="21"/>
      <c r="O1430" s="21"/>
      <c r="P1430" s="21"/>
      <c r="Q1430" s="21"/>
      <c r="R1430" s="21"/>
      <c r="S1430" s="21"/>
      <c r="T1430" s="21"/>
      <c r="U1430" s="21"/>
      <c r="V1430" s="21"/>
      <c r="W1430" s="21"/>
      <c r="X1430" s="21"/>
      <c r="Y1430" s="21"/>
      <c r="Z1430" s="21"/>
      <c r="AA1430" s="21"/>
      <c r="AB1430" s="21"/>
      <c r="AC1430" s="21"/>
      <c r="AD1430" s="21"/>
    </row>
    <row r="1431" spans="1:30">
      <c r="A1431" s="21"/>
      <c r="B1431" s="21"/>
      <c r="C1431" s="21"/>
      <c r="D1431" s="21"/>
      <c r="E1431" s="21"/>
      <c r="F1431" s="21"/>
      <c r="G1431" s="21"/>
      <c r="H1431" s="21"/>
      <c r="I1431" s="21"/>
      <c r="J1431" s="21"/>
      <c r="K1431" s="21"/>
      <c r="L1431" s="21"/>
      <c r="M1431" s="21"/>
      <c r="N1431" s="21"/>
      <c r="O1431" s="21"/>
      <c r="P1431" s="21"/>
      <c r="Q1431" s="21"/>
      <c r="R1431" s="21"/>
      <c r="S1431" s="21"/>
      <c r="T1431" s="21"/>
      <c r="U1431" s="21"/>
      <c r="V1431" s="21"/>
      <c r="W1431" s="21"/>
      <c r="X1431" s="21"/>
      <c r="Y1431" s="21"/>
      <c r="Z1431" s="21"/>
      <c r="AA1431" s="21"/>
      <c r="AB1431" s="21"/>
      <c r="AC1431" s="21"/>
      <c r="AD1431" s="21"/>
    </row>
    <row r="1432" spans="1:30">
      <c r="A1432" s="21"/>
      <c r="B1432" s="21"/>
      <c r="C1432" s="21"/>
      <c r="D1432" s="21"/>
      <c r="E1432" s="21"/>
      <c r="F1432" s="21"/>
      <c r="G1432" s="21"/>
      <c r="H1432" s="21"/>
      <c r="I1432" s="21"/>
      <c r="J1432" s="21"/>
      <c r="K1432" s="21"/>
      <c r="L1432" s="21"/>
      <c r="M1432" s="21"/>
      <c r="N1432" s="21"/>
      <c r="O1432" s="21"/>
      <c r="P1432" s="21"/>
      <c r="Q1432" s="21"/>
      <c r="R1432" s="21"/>
      <c r="S1432" s="21"/>
      <c r="T1432" s="21"/>
      <c r="U1432" s="21"/>
      <c r="V1432" s="21"/>
      <c r="W1432" s="21"/>
      <c r="X1432" s="21"/>
      <c r="Y1432" s="21"/>
      <c r="Z1432" s="21"/>
      <c r="AA1432" s="21"/>
      <c r="AB1432" s="21"/>
      <c r="AC1432" s="21"/>
      <c r="AD1432" s="21"/>
    </row>
    <row r="1433" spans="1:30">
      <c r="A1433" s="21"/>
      <c r="B1433" s="21"/>
      <c r="C1433" s="21"/>
      <c r="D1433" s="21"/>
      <c r="E1433" s="21"/>
      <c r="F1433" s="21"/>
      <c r="G1433" s="21"/>
      <c r="H1433" s="21"/>
      <c r="I1433" s="21"/>
      <c r="J1433" s="21"/>
      <c r="K1433" s="21"/>
      <c r="L1433" s="21"/>
      <c r="M1433" s="21"/>
      <c r="N1433" s="21"/>
      <c r="O1433" s="21"/>
      <c r="P1433" s="21"/>
      <c r="Q1433" s="21"/>
      <c r="R1433" s="21"/>
      <c r="S1433" s="21"/>
      <c r="T1433" s="21"/>
      <c r="U1433" s="21"/>
      <c r="V1433" s="21"/>
      <c r="W1433" s="21"/>
      <c r="X1433" s="21"/>
      <c r="Y1433" s="21"/>
      <c r="Z1433" s="21"/>
      <c r="AA1433" s="21"/>
      <c r="AB1433" s="21"/>
      <c r="AC1433" s="21"/>
      <c r="AD1433" s="21"/>
    </row>
    <row r="1434" spans="1:30">
      <c r="A1434" s="21"/>
      <c r="B1434" s="21"/>
      <c r="C1434" s="21"/>
      <c r="D1434" s="21"/>
      <c r="E1434" s="21"/>
      <c r="F1434" s="21"/>
      <c r="G1434" s="21"/>
      <c r="H1434" s="21"/>
      <c r="I1434" s="21"/>
      <c r="J1434" s="21"/>
      <c r="K1434" s="21"/>
      <c r="L1434" s="21"/>
      <c r="M1434" s="21"/>
      <c r="N1434" s="21"/>
      <c r="O1434" s="21"/>
      <c r="P1434" s="21"/>
      <c r="Q1434" s="21"/>
      <c r="R1434" s="21"/>
      <c r="S1434" s="21"/>
      <c r="T1434" s="21"/>
      <c r="U1434" s="21"/>
      <c r="V1434" s="21"/>
      <c r="W1434" s="21"/>
      <c r="X1434" s="21"/>
      <c r="Y1434" s="21"/>
      <c r="Z1434" s="21"/>
      <c r="AA1434" s="21"/>
      <c r="AB1434" s="21"/>
      <c r="AC1434" s="21"/>
      <c r="AD1434" s="21"/>
    </row>
    <row r="1435" spans="1:30">
      <c r="A1435" s="21"/>
      <c r="B1435" s="21"/>
      <c r="C1435" s="21"/>
      <c r="D1435" s="21"/>
      <c r="E1435" s="21"/>
      <c r="F1435" s="21"/>
      <c r="G1435" s="21"/>
      <c r="H1435" s="21"/>
      <c r="I1435" s="21"/>
      <c r="J1435" s="21"/>
      <c r="K1435" s="21"/>
      <c r="L1435" s="21"/>
      <c r="M1435" s="21"/>
      <c r="N1435" s="21"/>
      <c r="O1435" s="21"/>
      <c r="P1435" s="21"/>
      <c r="Q1435" s="21"/>
      <c r="R1435" s="21"/>
      <c r="S1435" s="21"/>
      <c r="T1435" s="21"/>
      <c r="U1435" s="21"/>
      <c r="V1435" s="21"/>
      <c r="W1435" s="21"/>
      <c r="X1435" s="21"/>
      <c r="Y1435" s="21"/>
      <c r="Z1435" s="21"/>
      <c r="AA1435" s="21"/>
      <c r="AB1435" s="21"/>
      <c r="AC1435" s="21"/>
      <c r="AD1435" s="21"/>
    </row>
    <row r="1436" spans="1:30">
      <c r="A1436" s="21"/>
      <c r="B1436" s="21"/>
      <c r="C1436" s="21"/>
      <c r="D1436" s="21"/>
      <c r="E1436" s="21"/>
      <c r="F1436" s="21"/>
      <c r="G1436" s="21"/>
      <c r="H1436" s="21"/>
      <c r="I1436" s="21"/>
      <c r="J1436" s="21"/>
      <c r="K1436" s="21"/>
      <c r="L1436" s="21"/>
      <c r="M1436" s="21"/>
      <c r="N1436" s="21"/>
      <c r="O1436" s="21"/>
      <c r="P1436" s="21"/>
      <c r="Q1436" s="21"/>
      <c r="R1436" s="21"/>
      <c r="S1436" s="21"/>
      <c r="T1436" s="21"/>
      <c r="U1436" s="21"/>
      <c r="V1436" s="21"/>
      <c r="W1436" s="21"/>
      <c r="X1436" s="21"/>
      <c r="Y1436" s="21"/>
      <c r="Z1436" s="21"/>
      <c r="AA1436" s="21"/>
      <c r="AB1436" s="21"/>
      <c r="AC1436" s="21"/>
      <c r="AD1436" s="21"/>
    </row>
    <row r="1437" spans="1:30">
      <c r="A1437" s="21"/>
      <c r="B1437" s="21"/>
      <c r="C1437" s="21"/>
      <c r="D1437" s="21"/>
      <c r="E1437" s="21"/>
      <c r="F1437" s="21"/>
      <c r="G1437" s="21"/>
      <c r="H1437" s="21"/>
      <c r="I1437" s="21"/>
      <c r="J1437" s="21"/>
      <c r="K1437" s="21"/>
      <c r="L1437" s="21"/>
      <c r="M1437" s="21"/>
      <c r="N1437" s="21"/>
      <c r="O1437" s="21"/>
      <c r="P1437" s="21"/>
      <c r="Q1437" s="21"/>
      <c r="R1437" s="21"/>
      <c r="S1437" s="21"/>
      <c r="T1437" s="21"/>
      <c r="U1437" s="21"/>
      <c r="V1437" s="21"/>
      <c r="W1437" s="21"/>
      <c r="X1437" s="21"/>
      <c r="Y1437" s="21"/>
      <c r="Z1437" s="21"/>
      <c r="AA1437" s="21"/>
      <c r="AB1437" s="21"/>
      <c r="AC1437" s="21"/>
      <c r="AD1437" s="21"/>
    </row>
    <row r="1438" spans="1:30">
      <c r="A1438" s="21"/>
      <c r="B1438" s="21"/>
      <c r="C1438" s="21"/>
      <c r="D1438" s="21"/>
      <c r="E1438" s="21"/>
      <c r="F1438" s="21"/>
      <c r="G1438" s="21"/>
      <c r="H1438" s="21"/>
      <c r="I1438" s="21"/>
      <c r="J1438" s="21"/>
      <c r="K1438" s="21"/>
      <c r="L1438" s="21"/>
      <c r="M1438" s="21"/>
      <c r="N1438" s="21"/>
      <c r="O1438" s="21"/>
      <c r="P1438" s="21"/>
      <c r="Q1438" s="21"/>
      <c r="R1438" s="21"/>
      <c r="S1438" s="21"/>
      <c r="T1438" s="21"/>
      <c r="U1438" s="21"/>
      <c r="V1438" s="21"/>
      <c r="W1438" s="21"/>
      <c r="X1438" s="21"/>
      <c r="Y1438" s="21"/>
      <c r="Z1438" s="21"/>
      <c r="AA1438" s="21"/>
      <c r="AB1438" s="21"/>
      <c r="AC1438" s="21"/>
      <c r="AD1438" s="21"/>
    </row>
    <row r="1439" spans="1:30">
      <c r="A1439" s="21"/>
      <c r="B1439" s="21"/>
      <c r="C1439" s="21"/>
      <c r="D1439" s="21"/>
      <c r="E1439" s="21"/>
      <c r="F1439" s="21"/>
      <c r="G1439" s="21"/>
      <c r="H1439" s="21"/>
      <c r="I1439" s="21"/>
      <c r="J1439" s="21"/>
      <c r="K1439" s="21"/>
      <c r="L1439" s="21"/>
      <c r="M1439" s="21"/>
      <c r="N1439" s="21"/>
      <c r="O1439" s="21"/>
      <c r="P1439" s="21"/>
      <c r="Q1439" s="21"/>
      <c r="R1439" s="21"/>
      <c r="S1439" s="21"/>
      <c r="T1439" s="21"/>
      <c r="U1439" s="21"/>
      <c r="V1439" s="21"/>
      <c r="W1439" s="21"/>
      <c r="X1439" s="21"/>
      <c r="Y1439" s="21"/>
      <c r="Z1439" s="21"/>
      <c r="AA1439" s="21"/>
      <c r="AB1439" s="21"/>
      <c r="AC1439" s="21"/>
      <c r="AD1439" s="21"/>
    </row>
    <row r="1440" spans="1:30">
      <c r="A1440" s="21"/>
      <c r="B1440" s="21"/>
      <c r="C1440" s="21"/>
      <c r="D1440" s="21"/>
      <c r="E1440" s="21"/>
      <c r="F1440" s="21"/>
      <c r="G1440" s="21"/>
      <c r="H1440" s="21"/>
      <c r="I1440" s="21"/>
      <c r="J1440" s="21"/>
      <c r="K1440" s="21"/>
      <c r="L1440" s="21"/>
      <c r="M1440" s="21"/>
      <c r="N1440" s="21"/>
      <c r="O1440" s="21"/>
      <c r="P1440" s="21"/>
      <c r="Q1440" s="21"/>
      <c r="R1440" s="21"/>
      <c r="S1440" s="21"/>
      <c r="T1440" s="21"/>
      <c r="U1440" s="21"/>
      <c r="V1440" s="21"/>
      <c r="W1440" s="21"/>
      <c r="X1440" s="21"/>
      <c r="Y1440" s="21"/>
      <c r="Z1440" s="21"/>
      <c r="AA1440" s="21"/>
      <c r="AB1440" s="21"/>
      <c r="AC1440" s="21"/>
      <c r="AD1440" s="21"/>
    </row>
    <row r="1441" spans="1:30">
      <c r="A1441" s="21"/>
      <c r="B1441" s="21"/>
      <c r="C1441" s="21"/>
      <c r="D1441" s="21"/>
      <c r="E1441" s="21"/>
      <c r="F1441" s="21"/>
      <c r="G1441" s="21"/>
      <c r="H1441" s="21"/>
      <c r="I1441" s="21"/>
      <c r="J1441" s="21"/>
      <c r="K1441" s="21"/>
      <c r="L1441" s="21"/>
      <c r="M1441" s="21"/>
      <c r="N1441" s="21"/>
      <c r="O1441" s="21"/>
      <c r="P1441" s="21"/>
      <c r="Q1441" s="21"/>
      <c r="R1441" s="21"/>
      <c r="S1441" s="21"/>
      <c r="T1441" s="21"/>
      <c r="U1441" s="21"/>
      <c r="V1441" s="21"/>
      <c r="W1441" s="21"/>
      <c r="X1441" s="21"/>
      <c r="Y1441" s="21"/>
      <c r="Z1441" s="21"/>
      <c r="AA1441" s="21"/>
      <c r="AB1441" s="21"/>
      <c r="AC1441" s="21"/>
      <c r="AD1441" s="21"/>
    </row>
    <row r="1442" spans="1:30">
      <c r="A1442" s="21"/>
      <c r="B1442" s="21"/>
      <c r="C1442" s="21"/>
      <c r="D1442" s="21"/>
      <c r="E1442" s="21"/>
      <c r="F1442" s="21"/>
      <c r="G1442" s="21"/>
      <c r="H1442" s="21"/>
      <c r="I1442" s="21"/>
      <c r="J1442" s="21"/>
      <c r="K1442" s="21"/>
      <c r="L1442" s="21"/>
      <c r="M1442" s="21"/>
      <c r="N1442" s="21"/>
      <c r="O1442" s="21"/>
      <c r="P1442" s="21"/>
      <c r="Q1442" s="21"/>
      <c r="R1442" s="21"/>
      <c r="S1442" s="21"/>
      <c r="T1442" s="21"/>
      <c r="U1442" s="21"/>
      <c r="V1442" s="21"/>
      <c r="W1442" s="21"/>
      <c r="X1442" s="21"/>
      <c r="Y1442" s="21"/>
      <c r="Z1442" s="21"/>
      <c r="AA1442" s="21"/>
      <c r="AB1442" s="21"/>
      <c r="AC1442" s="21"/>
      <c r="AD1442" s="21"/>
    </row>
    <row r="1443" spans="1:30">
      <c r="A1443" s="21"/>
      <c r="B1443" s="21"/>
      <c r="C1443" s="21"/>
      <c r="D1443" s="21"/>
      <c r="E1443" s="21"/>
      <c r="F1443" s="21"/>
      <c r="G1443" s="21"/>
      <c r="H1443" s="21"/>
      <c r="I1443" s="21"/>
      <c r="J1443" s="21"/>
      <c r="K1443" s="21"/>
      <c r="L1443" s="21"/>
      <c r="M1443" s="21"/>
      <c r="N1443" s="21"/>
      <c r="O1443" s="21"/>
      <c r="P1443" s="21"/>
      <c r="Q1443" s="21"/>
      <c r="R1443" s="21"/>
      <c r="S1443" s="21"/>
      <c r="T1443" s="21"/>
      <c r="U1443" s="21"/>
      <c r="V1443" s="21"/>
      <c r="W1443" s="21"/>
      <c r="X1443" s="21"/>
      <c r="Y1443" s="21"/>
      <c r="Z1443" s="21"/>
      <c r="AA1443" s="21"/>
      <c r="AB1443" s="21"/>
      <c r="AC1443" s="21"/>
      <c r="AD1443" s="21"/>
    </row>
    <row r="1444" spans="1:30">
      <c r="A1444" s="21"/>
      <c r="B1444" s="21"/>
      <c r="C1444" s="21"/>
      <c r="D1444" s="21"/>
      <c r="E1444" s="21"/>
      <c r="F1444" s="21"/>
      <c r="G1444" s="21"/>
      <c r="H1444" s="21"/>
      <c r="I1444" s="21"/>
      <c r="J1444" s="21"/>
      <c r="K1444" s="21"/>
      <c r="L1444" s="21"/>
      <c r="M1444" s="21"/>
      <c r="N1444" s="21"/>
      <c r="O1444" s="21"/>
      <c r="P1444" s="21"/>
      <c r="Q1444" s="21"/>
      <c r="R1444" s="21"/>
      <c r="S1444" s="21"/>
      <c r="T1444" s="21"/>
      <c r="U1444" s="21"/>
      <c r="V1444" s="21"/>
      <c r="W1444" s="21"/>
      <c r="X1444" s="21"/>
      <c r="Y1444" s="21"/>
      <c r="Z1444" s="21"/>
      <c r="AA1444" s="21"/>
      <c r="AB1444" s="21"/>
      <c r="AC1444" s="21"/>
      <c r="AD1444" s="21"/>
    </row>
    <row r="1445" spans="1:30">
      <c r="A1445" s="21"/>
      <c r="B1445" s="21"/>
      <c r="C1445" s="21"/>
      <c r="D1445" s="21"/>
      <c r="E1445" s="21"/>
      <c r="F1445" s="21"/>
      <c r="G1445" s="21"/>
      <c r="H1445" s="21"/>
      <c r="I1445" s="21"/>
      <c r="J1445" s="21"/>
      <c r="K1445" s="21"/>
      <c r="L1445" s="21"/>
      <c r="M1445" s="21"/>
      <c r="N1445" s="21"/>
      <c r="O1445" s="21"/>
      <c r="P1445" s="21"/>
      <c r="Q1445" s="21"/>
      <c r="R1445" s="21"/>
      <c r="S1445" s="21"/>
      <c r="T1445" s="21"/>
      <c r="U1445" s="21"/>
      <c r="V1445" s="21"/>
      <c r="W1445" s="21"/>
      <c r="X1445" s="21"/>
      <c r="Y1445" s="21"/>
      <c r="Z1445" s="21"/>
      <c r="AA1445" s="21"/>
      <c r="AB1445" s="21"/>
      <c r="AC1445" s="21"/>
      <c r="AD1445" s="21"/>
    </row>
    <row r="1446" spans="1:30">
      <c r="A1446" s="21"/>
      <c r="B1446" s="21"/>
      <c r="C1446" s="21"/>
      <c r="D1446" s="21"/>
      <c r="E1446" s="21"/>
      <c r="F1446" s="21"/>
      <c r="G1446" s="21"/>
      <c r="H1446" s="21"/>
      <c r="I1446" s="21"/>
      <c r="J1446" s="21"/>
      <c r="K1446" s="21"/>
      <c r="L1446" s="21"/>
      <c r="M1446" s="21"/>
      <c r="N1446" s="21"/>
      <c r="O1446" s="21"/>
      <c r="P1446" s="21"/>
      <c r="Q1446" s="21"/>
      <c r="R1446" s="21"/>
      <c r="S1446" s="21"/>
      <c r="T1446" s="21"/>
      <c r="U1446" s="21"/>
      <c r="V1446" s="21"/>
      <c r="W1446" s="21"/>
      <c r="X1446" s="21"/>
      <c r="Y1446" s="21"/>
      <c r="Z1446" s="21"/>
      <c r="AA1446" s="21"/>
      <c r="AB1446" s="21"/>
      <c r="AC1446" s="21"/>
      <c r="AD1446" s="21"/>
    </row>
    <row r="1447" spans="1:30">
      <c r="A1447" s="21"/>
      <c r="B1447" s="21"/>
      <c r="C1447" s="21"/>
      <c r="D1447" s="21"/>
      <c r="E1447" s="21"/>
      <c r="F1447" s="21"/>
      <c r="G1447" s="21"/>
      <c r="H1447" s="21"/>
      <c r="I1447" s="21"/>
      <c r="J1447" s="21"/>
      <c r="K1447" s="21"/>
      <c r="L1447" s="21"/>
      <c r="M1447" s="21"/>
      <c r="N1447" s="21"/>
      <c r="O1447" s="21"/>
      <c r="P1447" s="21"/>
      <c r="Q1447" s="21"/>
      <c r="R1447" s="21"/>
      <c r="S1447" s="21"/>
      <c r="T1447" s="21"/>
      <c r="U1447" s="21"/>
      <c r="V1447" s="21"/>
      <c r="W1447" s="21"/>
      <c r="X1447" s="21"/>
      <c r="Y1447" s="21"/>
      <c r="Z1447" s="21"/>
      <c r="AA1447" s="21"/>
      <c r="AB1447" s="21"/>
      <c r="AC1447" s="21"/>
      <c r="AD1447" s="21"/>
    </row>
    <row r="1448" spans="1:30">
      <c r="A1448" s="21"/>
      <c r="B1448" s="21"/>
      <c r="C1448" s="21"/>
      <c r="D1448" s="21"/>
      <c r="E1448" s="21"/>
      <c r="F1448" s="21"/>
      <c r="G1448" s="21"/>
      <c r="H1448" s="21"/>
      <c r="I1448" s="21"/>
      <c r="J1448" s="21"/>
      <c r="K1448" s="21"/>
      <c r="L1448" s="21"/>
      <c r="M1448" s="21"/>
      <c r="N1448" s="21"/>
      <c r="O1448" s="21"/>
      <c r="P1448" s="21"/>
      <c r="Q1448" s="21"/>
      <c r="R1448" s="21"/>
      <c r="S1448" s="21"/>
      <c r="T1448" s="21"/>
      <c r="U1448" s="21"/>
      <c r="V1448" s="21"/>
      <c r="W1448" s="21"/>
      <c r="X1448" s="21"/>
      <c r="Y1448" s="21"/>
      <c r="Z1448" s="21"/>
      <c r="AA1448" s="21"/>
      <c r="AB1448" s="21"/>
      <c r="AC1448" s="21"/>
      <c r="AD1448" s="21"/>
    </row>
    <row r="1449" spans="1:30">
      <c r="A1449" s="21"/>
      <c r="B1449" s="21"/>
      <c r="C1449" s="21"/>
      <c r="D1449" s="21"/>
      <c r="E1449" s="21"/>
      <c r="F1449" s="21"/>
      <c r="G1449" s="21"/>
      <c r="H1449" s="21"/>
      <c r="I1449" s="21"/>
      <c r="J1449" s="21"/>
      <c r="K1449" s="21"/>
      <c r="L1449" s="21"/>
      <c r="M1449" s="21"/>
      <c r="N1449" s="21"/>
      <c r="O1449" s="21"/>
      <c r="P1449" s="21"/>
      <c r="Q1449" s="21"/>
      <c r="R1449" s="21"/>
      <c r="S1449" s="21"/>
      <c r="T1449" s="21"/>
      <c r="U1449" s="21"/>
      <c r="V1449" s="21"/>
      <c r="W1449" s="21"/>
      <c r="X1449" s="21"/>
      <c r="Y1449" s="21"/>
      <c r="Z1449" s="21"/>
      <c r="AA1449" s="21"/>
      <c r="AB1449" s="21"/>
      <c r="AC1449" s="21"/>
      <c r="AD1449" s="21"/>
    </row>
    <row r="1450" spans="1:30">
      <c r="A1450" s="21"/>
      <c r="B1450" s="21"/>
      <c r="C1450" s="21"/>
      <c r="D1450" s="21"/>
      <c r="E1450" s="21"/>
      <c r="F1450" s="21"/>
      <c r="G1450" s="21"/>
      <c r="H1450" s="21"/>
      <c r="I1450" s="21"/>
      <c r="J1450" s="21"/>
      <c r="K1450" s="21"/>
      <c r="L1450" s="21"/>
      <c r="M1450" s="21"/>
      <c r="N1450" s="21"/>
      <c r="O1450" s="21"/>
      <c r="P1450" s="21"/>
      <c r="Q1450" s="21"/>
      <c r="R1450" s="21"/>
      <c r="S1450" s="21"/>
      <c r="T1450" s="21"/>
      <c r="U1450" s="21"/>
      <c r="V1450" s="21"/>
      <c r="W1450" s="21"/>
      <c r="X1450" s="21"/>
      <c r="Y1450" s="21"/>
      <c r="Z1450" s="21"/>
      <c r="AA1450" s="21"/>
      <c r="AB1450" s="21"/>
      <c r="AC1450" s="21"/>
      <c r="AD1450" s="21"/>
    </row>
    <row r="1451" spans="1:30">
      <c r="A1451" s="21"/>
      <c r="B1451" s="21"/>
      <c r="C1451" s="21"/>
      <c r="D1451" s="21"/>
      <c r="E1451" s="21"/>
      <c r="F1451" s="21"/>
      <c r="G1451" s="21"/>
      <c r="H1451" s="21"/>
      <c r="I1451" s="21"/>
      <c r="J1451" s="21"/>
      <c r="K1451" s="21"/>
      <c r="L1451" s="21"/>
      <c r="M1451" s="21"/>
      <c r="N1451" s="21"/>
      <c r="O1451" s="21"/>
      <c r="P1451" s="21"/>
      <c r="Q1451" s="21"/>
      <c r="R1451" s="21"/>
      <c r="S1451" s="21"/>
      <c r="T1451" s="21"/>
      <c r="U1451" s="21"/>
      <c r="V1451" s="21"/>
      <c r="W1451" s="21"/>
      <c r="X1451" s="21"/>
      <c r="Y1451" s="21"/>
      <c r="Z1451" s="21"/>
      <c r="AA1451" s="21"/>
      <c r="AB1451" s="21"/>
      <c r="AC1451" s="21"/>
      <c r="AD1451" s="21"/>
    </row>
    <row r="1452" spans="1:30">
      <c r="A1452" s="21"/>
      <c r="B1452" s="21"/>
      <c r="C1452" s="21"/>
      <c r="D1452" s="21"/>
      <c r="E1452" s="21"/>
      <c r="F1452" s="21"/>
      <c r="G1452" s="21"/>
      <c r="H1452" s="21"/>
      <c r="I1452" s="21"/>
      <c r="J1452" s="21"/>
      <c r="K1452" s="21"/>
      <c r="L1452" s="21"/>
      <c r="M1452" s="21"/>
      <c r="N1452" s="21"/>
      <c r="O1452" s="21"/>
      <c r="P1452" s="21"/>
      <c r="Q1452" s="21"/>
      <c r="R1452" s="21"/>
      <c r="S1452" s="21"/>
      <c r="T1452" s="21"/>
      <c r="U1452" s="21"/>
      <c r="V1452" s="21"/>
      <c r="W1452" s="21"/>
      <c r="X1452" s="21"/>
      <c r="Y1452" s="21"/>
      <c r="Z1452" s="21"/>
      <c r="AA1452" s="21"/>
      <c r="AB1452" s="21"/>
      <c r="AC1452" s="21"/>
      <c r="AD1452" s="21"/>
    </row>
    <row r="1453" spans="1:30">
      <c r="A1453" s="21"/>
      <c r="B1453" s="21"/>
      <c r="C1453" s="21"/>
      <c r="D1453" s="21"/>
      <c r="E1453" s="21"/>
      <c r="F1453" s="21"/>
      <c r="G1453" s="21"/>
      <c r="H1453" s="21"/>
      <c r="I1453" s="21"/>
      <c r="J1453" s="21"/>
      <c r="K1453" s="21"/>
      <c r="L1453" s="21"/>
      <c r="M1453" s="21"/>
      <c r="N1453" s="21"/>
      <c r="O1453" s="21"/>
      <c r="P1453" s="21"/>
      <c r="Q1453" s="21"/>
      <c r="R1453" s="21"/>
      <c r="S1453" s="21"/>
      <c r="T1453" s="21"/>
      <c r="U1453" s="21"/>
      <c r="V1453" s="21"/>
      <c r="W1453" s="21"/>
      <c r="X1453" s="21"/>
      <c r="Y1453" s="21"/>
      <c r="Z1453" s="21"/>
      <c r="AA1453" s="21"/>
      <c r="AB1453" s="21"/>
      <c r="AC1453" s="21"/>
      <c r="AD1453" s="21"/>
    </row>
    <row r="1454" spans="1:30">
      <c r="A1454" s="21"/>
      <c r="B1454" s="21"/>
      <c r="C1454" s="21"/>
      <c r="D1454" s="21"/>
      <c r="E1454" s="21"/>
      <c r="F1454" s="21"/>
      <c r="G1454" s="21"/>
      <c r="H1454" s="21"/>
      <c r="I1454" s="21"/>
      <c r="J1454" s="21"/>
      <c r="K1454" s="21"/>
      <c r="L1454" s="21"/>
      <c r="M1454" s="21"/>
      <c r="N1454" s="21"/>
      <c r="O1454" s="21"/>
      <c r="P1454" s="21"/>
      <c r="Q1454" s="21"/>
      <c r="R1454" s="21"/>
      <c r="S1454" s="21"/>
      <c r="T1454" s="21"/>
      <c r="U1454" s="21"/>
      <c r="V1454" s="21"/>
      <c r="W1454" s="21"/>
      <c r="X1454" s="21"/>
      <c r="Y1454" s="21"/>
      <c r="Z1454" s="21"/>
      <c r="AA1454" s="21"/>
      <c r="AB1454" s="21"/>
      <c r="AC1454" s="21"/>
      <c r="AD1454" s="21"/>
    </row>
    <row r="1455" spans="1:30">
      <c r="A1455" s="21"/>
      <c r="B1455" s="21"/>
      <c r="C1455" s="21"/>
      <c r="D1455" s="21"/>
      <c r="E1455" s="21"/>
      <c r="F1455" s="21"/>
      <c r="G1455" s="21"/>
      <c r="H1455" s="21"/>
      <c r="I1455" s="21"/>
      <c r="J1455" s="21"/>
      <c r="K1455" s="21"/>
      <c r="L1455" s="21"/>
      <c r="M1455" s="21"/>
      <c r="N1455" s="21"/>
      <c r="O1455" s="21"/>
      <c r="P1455" s="21"/>
      <c r="Q1455" s="21"/>
      <c r="R1455" s="21"/>
      <c r="S1455" s="21"/>
      <c r="T1455" s="21"/>
      <c r="U1455" s="21"/>
      <c r="V1455" s="21"/>
      <c r="W1455" s="21"/>
      <c r="X1455" s="21"/>
      <c r="Y1455" s="21"/>
      <c r="Z1455" s="21"/>
      <c r="AA1455" s="21"/>
      <c r="AB1455" s="21"/>
      <c r="AC1455" s="21"/>
      <c r="AD1455" s="21"/>
    </row>
    <row r="1456" spans="1:30">
      <c r="A1456" s="21"/>
      <c r="B1456" s="21"/>
      <c r="C1456" s="21"/>
      <c r="D1456" s="21"/>
      <c r="E1456" s="21"/>
      <c r="F1456" s="21"/>
      <c r="G1456" s="21"/>
      <c r="H1456" s="21"/>
      <c r="I1456" s="21"/>
      <c r="J1456" s="21"/>
      <c r="K1456" s="21"/>
      <c r="L1456" s="21"/>
      <c r="M1456" s="21"/>
      <c r="N1456" s="21"/>
      <c r="O1456" s="21"/>
      <c r="P1456" s="21"/>
      <c r="Q1456" s="21"/>
      <c r="R1456" s="21"/>
      <c r="S1456" s="21"/>
      <c r="T1456" s="21"/>
      <c r="U1456" s="21"/>
      <c r="V1456" s="21"/>
      <c r="W1456" s="21"/>
      <c r="X1456" s="21"/>
      <c r="Y1456" s="21"/>
      <c r="Z1456" s="21"/>
      <c r="AA1456" s="21"/>
      <c r="AB1456" s="21"/>
      <c r="AC1456" s="21"/>
      <c r="AD1456" s="21"/>
    </row>
    <row r="1457" spans="1:30">
      <c r="A1457" s="21"/>
      <c r="B1457" s="21"/>
      <c r="C1457" s="21"/>
      <c r="D1457" s="21"/>
      <c r="E1457" s="21"/>
      <c r="F1457" s="21"/>
      <c r="G1457" s="21"/>
      <c r="H1457" s="21"/>
      <c r="I1457" s="21"/>
      <c r="J1457" s="21"/>
      <c r="K1457" s="21"/>
      <c r="L1457" s="21"/>
      <c r="M1457" s="21"/>
      <c r="N1457" s="21"/>
      <c r="O1457" s="21"/>
      <c r="P1457" s="21"/>
      <c r="Q1457" s="21"/>
      <c r="R1457" s="21"/>
      <c r="S1457" s="21"/>
      <c r="T1457" s="21"/>
      <c r="U1457" s="21"/>
      <c r="V1457" s="21"/>
      <c r="W1457" s="21"/>
      <c r="X1457" s="21"/>
      <c r="Y1457" s="21"/>
      <c r="Z1457" s="21"/>
      <c r="AA1457" s="21"/>
      <c r="AB1457" s="21"/>
      <c r="AC1457" s="21"/>
      <c r="AD1457" s="21"/>
    </row>
    <row r="1458" spans="1:30">
      <c r="A1458" s="21"/>
      <c r="B1458" s="21"/>
      <c r="C1458" s="21"/>
      <c r="D1458" s="21"/>
      <c r="E1458" s="21"/>
      <c r="F1458" s="21"/>
      <c r="G1458" s="21"/>
      <c r="H1458" s="21"/>
      <c r="I1458" s="21"/>
      <c r="J1458" s="21"/>
      <c r="K1458" s="21"/>
      <c r="L1458" s="21"/>
      <c r="M1458" s="21"/>
      <c r="N1458" s="21"/>
      <c r="O1458" s="21"/>
      <c r="P1458" s="21"/>
      <c r="Q1458" s="21"/>
      <c r="R1458" s="21"/>
      <c r="S1458" s="21"/>
      <c r="T1458" s="21"/>
      <c r="U1458" s="21"/>
      <c r="V1458" s="21"/>
      <c r="W1458" s="21"/>
      <c r="X1458" s="21"/>
      <c r="Y1458" s="21"/>
      <c r="Z1458" s="21"/>
      <c r="AA1458" s="21"/>
      <c r="AB1458" s="21"/>
      <c r="AC1458" s="21"/>
      <c r="AD1458" s="21"/>
    </row>
    <row r="1459" spans="1:30">
      <c r="A1459" s="21"/>
      <c r="B1459" s="21"/>
      <c r="C1459" s="21"/>
      <c r="D1459" s="21"/>
      <c r="E1459" s="21"/>
      <c r="F1459" s="21"/>
      <c r="G1459" s="21"/>
      <c r="H1459" s="21"/>
      <c r="I1459" s="21"/>
      <c r="J1459" s="21"/>
      <c r="K1459" s="21"/>
      <c r="L1459" s="21"/>
      <c r="M1459" s="21"/>
      <c r="N1459" s="21"/>
      <c r="O1459" s="21"/>
      <c r="P1459" s="21"/>
      <c r="Q1459" s="21"/>
      <c r="R1459" s="21"/>
      <c r="S1459" s="21"/>
      <c r="T1459" s="21"/>
      <c r="U1459" s="21"/>
      <c r="V1459" s="21"/>
      <c r="W1459" s="21"/>
      <c r="X1459" s="21"/>
      <c r="Y1459" s="21"/>
      <c r="Z1459" s="21"/>
      <c r="AA1459" s="21"/>
      <c r="AB1459" s="21"/>
      <c r="AC1459" s="21"/>
      <c r="AD1459" s="21"/>
    </row>
    <row r="1460" spans="1:30">
      <c r="A1460" s="21"/>
      <c r="B1460" s="21"/>
      <c r="C1460" s="21"/>
      <c r="D1460" s="21"/>
      <c r="E1460" s="21"/>
      <c r="F1460" s="21"/>
      <c r="G1460" s="21"/>
      <c r="H1460" s="21"/>
      <c r="I1460" s="21"/>
      <c r="J1460" s="21"/>
      <c r="K1460" s="21"/>
      <c r="L1460" s="21"/>
      <c r="M1460" s="21"/>
      <c r="N1460" s="21"/>
      <c r="O1460" s="21"/>
      <c r="P1460" s="21"/>
      <c r="Q1460" s="21"/>
      <c r="R1460" s="21"/>
      <c r="S1460" s="21"/>
      <c r="T1460" s="21"/>
      <c r="U1460" s="21"/>
      <c r="V1460" s="21"/>
      <c r="W1460" s="21"/>
      <c r="X1460" s="21"/>
      <c r="Y1460" s="21"/>
      <c r="Z1460" s="21"/>
      <c r="AA1460" s="21"/>
      <c r="AB1460" s="21"/>
      <c r="AC1460" s="21"/>
      <c r="AD1460" s="21"/>
    </row>
    <row r="1461" spans="1:30">
      <c r="A1461" s="21"/>
      <c r="B1461" s="21"/>
      <c r="C1461" s="21"/>
      <c r="D1461" s="21"/>
      <c r="E1461" s="21"/>
      <c r="F1461" s="21"/>
      <c r="G1461" s="21"/>
      <c r="H1461" s="21"/>
      <c r="I1461" s="21"/>
      <c r="J1461" s="21"/>
      <c r="K1461" s="21"/>
      <c r="L1461" s="21"/>
      <c r="M1461" s="21"/>
      <c r="N1461" s="21"/>
      <c r="O1461" s="21"/>
      <c r="P1461" s="21"/>
      <c r="Q1461" s="21"/>
      <c r="R1461" s="21"/>
      <c r="S1461" s="21"/>
      <c r="T1461" s="21"/>
      <c r="U1461" s="21"/>
      <c r="V1461" s="21"/>
      <c r="W1461" s="21"/>
      <c r="X1461" s="21"/>
      <c r="Y1461" s="21"/>
      <c r="Z1461" s="21"/>
      <c r="AA1461" s="21"/>
      <c r="AB1461" s="21"/>
      <c r="AC1461" s="21"/>
      <c r="AD1461" s="21"/>
    </row>
    <row r="1462" spans="1:30">
      <c r="A1462" s="21"/>
      <c r="B1462" s="21"/>
      <c r="C1462" s="21"/>
      <c r="D1462" s="21"/>
      <c r="E1462" s="21"/>
      <c r="F1462" s="21"/>
      <c r="G1462" s="21"/>
      <c r="H1462" s="21"/>
      <c r="I1462" s="21"/>
      <c r="J1462" s="21"/>
      <c r="K1462" s="21"/>
      <c r="L1462" s="21"/>
      <c r="M1462" s="21"/>
      <c r="N1462" s="21"/>
      <c r="O1462" s="21"/>
      <c r="P1462" s="21"/>
      <c r="Q1462" s="21"/>
      <c r="R1462" s="21"/>
      <c r="S1462" s="21"/>
      <c r="T1462" s="21"/>
      <c r="U1462" s="21"/>
      <c r="V1462" s="21"/>
      <c r="W1462" s="21"/>
      <c r="X1462" s="21"/>
      <c r="Y1462" s="21"/>
      <c r="Z1462" s="21"/>
      <c r="AA1462" s="21"/>
      <c r="AB1462" s="21"/>
      <c r="AC1462" s="21"/>
      <c r="AD1462" s="21"/>
    </row>
    <row r="1463" spans="1:30">
      <c r="A1463" s="21"/>
      <c r="B1463" s="21"/>
      <c r="C1463" s="21"/>
      <c r="D1463" s="21"/>
      <c r="E1463" s="21"/>
      <c r="F1463" s="21"/>
      <c r="G1463" s="21"/>
      <c r="H1463" s="21"/>
      <c r="I1463" s="21"/>
      <c r="J1463" s="21"/>
      <c r="K1463" s="21"/>
      <c r="L1463" s="21"/>
      <c r="M1463" s="21"/>
      <c r="N1463" s="21"/>
      <c r="O1463" s="21"/>
      <c r="P1463" s="21"/>
      <c r="Q1463" s="21"/>
      <c r="R1463" s="21"/>
      <c r="S1463" s="21"/>
      <c r="T1463" s="21"/>
      <c r="U1463" s="21"/>
      <c r="V1463" s="21"/>
      <c r="W1463" s="21"/>
      <c r="X1463" s="21"/>
      <c r="Y1463" s="21"/>
      <c r="Z1463" s="21"/>
      <c r="AA1463" s="21"/>
      <c r="AB1463" s="21"/>
      <c r="AC1463" s="21"/>
      <c r="AD1463" s="21"/>
    </row>
    <row r="1464" spans="1:30">
      <c r="A1464" s="21"/>
      <c r="B1464" s="21"/>
      <c r="C1464" s="21"/>
      <c r="D1464" s="21"/>
      <c r="E1464" s="21"/>
      <c r="F1464" s="21"/>
      <c r="G1464" s="21"/>
      <c r="H1464" s="21"/>
      <c r="I1464" s="21"/>
      <c r="J1464" s="21"/>
      <c r="K1464" s="21"/>
      <c r="L1464" s="21"/>
      <c r="M1464" s="21"/>
      <c r="N1464" s="21"/>
      <c r="O1464" s="21"/>
      <c r="P1464" s="21"/>
      <c r="Q1464" s="21"/>
      <c r="R1464" s="21"/>
      <c r="S1464" s="21"/>
      <c r="T1464" s="21"/>
      <c r="U1464" s="21"/>
      <c r="V1464" s="21"/>
      <c r="W1464" s="21"/>
      <c r="X1464" s="21"/>
      <c r="Y1464" s="21"/>
      <c r="Z1464" s="21"/>
      <c r="AA1464" s="21"/>
      <c r="AB1464" s="21"/>
      <c r="AC1464" s="21"/>
      <c r="AD1464" s="21"/>
    </row>
    <row r="1465" spans="1:30">
      <c r="A1465" s="21"/>
      <c r="B1465" s="21"/>
      <c r="C1465" s="21"/>
      <c r="D1465" s="21"/>
      <c r="E1465" s="21"/>
      <c r="F1465" s="21"/>
      <c r="G1465" s="21"/>
      <c r="H1465" s="21"/>
      <c r="I1465" s="21"/>
      <c r="J1465" s="21"/>
      <c r="K1465" s="21"/>
      <c r="L1465" s="21"/>
      <c r="M1465" s="21"/>
      <c r="N1465" s="21"/>
      <c r="O1465" s="21"/>
      <c r="P1465" s="21"/>
      <c r="Q1465" s="21"/>
      <c r="R1465" s="21"/>
      <c r="S1465" s="21"/>
      <c r="T1465" s="21"/>
      <c r="U1465" s="21"/>
      <c r="V1465" s="21"/>
      <c r="W1465" s="21"/>
      <c r="X1465" s="21"/>
      <c r="Y1465" s="21"/>
      <c r="Z1465" s="21"/>
      <c r="AA1465" s="21"/>
      <c r="AB1465" s="21"/>
      <c r="AC1465" s="21"/>
      <c r="AD1465" s="21"/>
    </row>
    <row r="1466" spans="1:30">
      <c r="A1466" s="21"/>
      <c r="B1466" s="21"/>
      <c r="C1466" s="21"/>
      <c r="D1466" s="21"/>
      <c r="E1466" s="21"/>
      <c r="F1466" s="21"/>
      <c r="G1466" s="21"/>
      <c r="H1466" s="21"/>
      <c r="I1466" s="21"/>
      <c r="J1466" s="21"/>
      <c r="K1466" s="21"/>
      <c r="L1466" s="21"/>
      <c r="M1466" s="21"/>
      <c r="N1466" s="21"/>
      <c r="O1466" s="21"/>
      <c r="P1466" s="21"/>
      <c r="Q1466" s="21"/>
      <c r="R1466" s="21"/>
      <c r="S1466" s="21"/>
      <c r="T1466" s="21"/>
      <c r="U1466" s="21"/>
      <c r="V1466" s="21"/>
      <c r="W1466" s="21"/>
      <c r="X1466" s="21"/>
      <c r="Y1466" s="21"/>
      <c r="Z1466" s="21"/>
      <c r="AA1466" s="21"/>
      <c r="AB1466" s="21"/>
      <c r="AC1466" s="21"/>
      <c r="AD1466" s="21"/>
    </row>
    <row r="1467" spans="1:30">
      <c r="A1467" s="21"/>
      <c r="B1467" s="21"/>
      <c r="C1467" s="21"/>
      <c r="D1467" s="21"/>
      <c r="E1467" s="21"/>
      <c r="F1467" s="21"/>
      <c r="G1467" s="21"/>
      <c r="H1467" s="21"/>
      <c r="I1467" s="21"/>
      <c r="J1467" s="21"/>
      <c r="K1467" s="21"/>
      <c r="L1467" s="21"/>
      <c r="M1467" s="21"/>
      <c r="N1467" s="21"/>
      <c r="O1467" s="21"/>
      <c r="P1467" s="21"/>
      <c r="Q1467" s="21"/>
      <c r="R1467" s="21"/>
      <c r="S1467" s="21"/>
      <c r="T1467" s="21"/>
      <c r="U1467" s="21"/>
      <c r="V1467" s="21"/>
      <c r="W1467" s="21"/>
      <c r="X1467" s="21"/>
      <c r="Y1467" s="21"/>
      <c r="Z1467" s="21"/>
      <c r="AA1467" s="21"/>
      <c r="AB1467" s="21"/>
      <c r="AC1467" s="21"/>
      <c r="AD1467" s="21"/>
    </row>
    <row r="1468" spans="1:30">
      <c r="A1468" s="21"/>
      <c r="B1468" s="21"/>
      <c r="C1468" s="21"/>
      <c r="D1468" s="21"/>
      <c r="E1468" s="21"/>
      <c r="F1468" s="21"/>
      <c r="G1468" s="21"/>
      <c r="H1468" s="21"/>
      <c r="I1468" s="21"/>
      <c r="J1468" s="21"/>
      <c r="K1468" s="21"/>
      <c r="L1468" s="21"/>
      <c r="M1468" s="21"/>
      <c r="N1468" s="21"/>
      <c r="O1468" s="21"/>
      <c r="P1468" s="21"/>
      <c r="Q1468" s="21"/>
      <c r="R1468" s="21"/>
      <c r="S1468" s="21"/>
      <c r="T1468" s="21"/>
      <c r="U1468" s="21"/>
      <c r="V1468" s="21"/>
      <c r="W1468" s="21"/>
      <c r="X1468" s="21"/>
      <c r="Y1468" s="21"/>
      <c r="Z1468" s="21"/>
      <c r="AA1468" s="21"/>
      <c r="AB1468" s="21"/>
      <c r="AC1468" s="21"/>
      <c r="AD1468" s="21"/>
    </row>
    <row r="1469" spans="1:30">
      <c r="A1469" s="21"/>
      <c r="B1469" s="21"/>
      <c r="C1469" s="21"/>
      <c r="D1469" s="21"/>
      <c r="E1469" s="21"/>
      <c r="F1469" s="21"/>
      <c r="G1469" s="21"/>
      <c r="H1469" s="21"/>
      <c r="I1469" s="21"/>
      <c r="J1469" s="21"/>
      <c r="K1469" s="21"/>
      <c r="L1469" s="21"/>
      <c r="M1469" s="21"/>
      <c r="N1469" s="21"/>
      <c r="O1469" s="21"/>
      <c r="P1469" s="21"/>
      <c r="Q1469" s="21"/>
      <c r="R1469" s="21"/>
      <c r="S1469" s="21"/>
      <c r="T1469" s="21"/>
      <c r="U1469" s="21"/>
      <c r="V1469" s="21"/>
      <c r="W1469" s="21"/>
      <c r="X1469" s="21"/>
      <c r="Y1469" s="21"/>
      <c r="Z1469" s="21"/>
      <c r="AA1469" s="21"/>
      <c r="AB1469" s="21"/>
      <c r="AC1469" s="21"/>
      <c r="AD1469" s="21"/>
    </row>
    <row r="1470" spans="1:30">
      <c r="A1470" s="21"/>
      <c r="B1470" s="21"/>
      <c r="C1470" s="21"/>
      <c r="D1470" s="21"/>
      <c r="E1470" s="21"/>
      <c r="F1470" s="21"/>
      <c r="G1470" s="21"/>
      <c r="H1470" s="21"/>
      <c r="I1470" s="21"/>
      <c r="J1470" s="21"/>
      <c r="K1470" s="21"/>
      <c r="L1470" s="21"/>
      <c r="M1470" s="21"/>
      <c r="N1470" s="21"/>
      <c r="O1470" s="21"/>
      <c r="P1470" s="21"/>
      <c r="Q1470" s="21"/>
      <c r="R1470" s="21"/>
      <c r="S1470" s="21"/>
      <c r="T1470" s="21"/>
      <c r="U1470" s="21"/>
      <c r="V1470" s="21"/>
      <c r="W1470" s="21"/>
      <c r="X1470" s="21"/>
      <c r="Y1470" s="21"/>
      <c r="Z1470" s="21"/>
      <c r="AA1470" s="21"/>
      <c r="AB1470" s="21"/>
      <c r="AC1470" s="21"/>
      <c r="AD1470" s="21"/>
    </row>
    <row r="1471" spans="1:30">
      <c r="A1471" s="21"/>
      <c r="B1471" s="21"/>
      <c r="C1471" s="21"/>
      <c r="D1471" s="21"/>
      <c r="E1471" s="21"/>
      <c r="F1471" s="21"/>
      <c r="G1471" s="21"/>
      <c r="H1471" s="21"/>
      <c r="I1471" s="21"/>
      <c r="J1471" s="21"/>
      <c r="K1471" s="21"/>
      <c r="L1471" s="21"/>
      <c r="M1471" s="21"/>
      <c r="N1471" s="21"/>
      <c r="O1471" s="21"/>
      <c r="P1471" s="21"/>
      <c r="Q1471" s="21"/>
      <c r="R1471" s="21"/>
      <c r="S1471" s="21"/>
      <c r="T1471" s="21"/>
      <c r="U1471" s="21"/>
      <c r="V1471" s="21"/>
      <c r="W1471" s="21"/>
      <c r="X1471" s="21"/>
      <c r="Y1471" s="21"/>
      <c r="Z1471" s="21"/>
      <c r="AA1471" s="21"/>
      <c r="AB1471" s="21"/>
      <c r="AC1471" s="21"/>
      <c r="AD1471" s="21"/>
    </row>
    <row r="1472" spans="1:30">
      <c r="A1472" s="21"/>
      <c r="B1472" s="21"/>
      <c r="C1472" s="21"/>
      <c r="D1472" s="21"/>
      <c r="E1472" s="21"/>
      <c r="F1472" s="21"/>
      <c r="G1472" s="21"/>
      <c r="H1472" s="21"/>
      <c r="I1472" s="21"/>
      <c r="J1472" s="21"/>
      <c r="K1472" s="21"/>
      <c r="L1472" s="21"/>
      <c r="M1472" s="21"/>
      <c r="N1472" s="21"/>
      <c r="O1472" s="21"/>
      <c r="P1472" s="21"/>
      <c r="Q1472" s="21"/>
      <c r="R1472" s="21"/>
      <c r="S1472" s="21"/>
      <c r="T1472" s="21"/>
      <c r="U1472" s="21"/>
      <c r="V1472" s="21"/>
      <c r="W1472" s="21"/>
      <c r="X1472" s="21"/>
      <c r="Y1472" s="21"/>
      <c r="Z1472" s="21"/>
      <c r="AA1472" s="21"/>
      <c r="AB1472" s="21"/>
      <c r="AC1472" s="21"/>
      <c r="AD1472" s="21"/>
    </row>
    <row r="1473" spans="1:30">
      <c r="A1473" s="21"/>
      <c r="B1473" s="21"/>
      <c r="C1473" s="21"/>
      <c r="D1473" s="21"/>
      <c r="E1473" s="21"/>
      <c r="F1473" s="21"/>
      <c r="G1473" s="21"/>
      <c r="H1473" s="21"/>
      <c r="I1473" s="21"/>
      <c r="J1473" s="21"/>
      <c r="K1473" s="21"/>
      <c r="L1473" s="21"/>
      <c r="M1473" s="21"/>
      <c r="N1473" s="21"/>
      <c r="O1473" s="21"/>
      <c r="P1473" s="21"/>
      <c r="Q1473" s="21"/>
      <c r="R1473" s="21"/>
      <c r="S1473" s="21"/>
      <c r="T1473" s="21"/>
      <c r="U1473" s="21"/>
      <c r="V1473" s="21"/>
      <c r="W1473" s="21"/>
      <c r="X1473" s="21"/>
      <c r="Y1473" s="21"/>
      <c r="Z1473" s="21"/>
      <c r="AA1473" s="21"/>
      <c r="AB1473" s="21"/>
      <c r="AC1473" s="21"/>
      <c r="AD1473" s="21"/>
    </row>
    <row r="1474" spans="1:30">
      <c r="A1474" s="21"/>
      <c r="B1474" s="21"/>
      <c r="C1474" s="21"/>
      <c r="D1474" s="21"/>
      <c r="E1474" s="21"/>
      <c r="F1474" s="21"/>
      <c r="G1474" s="21"/>
      <c r="H1474" s="21"/>
      <c r="I1474" s="21"/>
      <c r="J1474" s="21"/>
      <c r="K1474" s="21"/>
      <c r="L1474" s="21"/>
      <c r="M1474" s="21"/>
      <c r="N1474" s="21"/>
      <c r="O1474" s="21"/>
      <c r="P1474" s="21"/>
      <c r="Q1474" s="21"/>
      <c r="R1474" s="21"/>
      <c r="S1474" s="21"/>
      <c r="T1474" s="21"/>
      <c r="U1474" s="21"/>
      <c r="V1474" s="21"/>
      <c r="W1474" s="21"/>
      <c r="X1474" s="21"/>
      <c r="Y1474" s="21"/>
      <c r="Z1474" s="21"/>
      <c r="AA1474" s="21"/>
      <c r="AB1474" s="21"/>
      <c r="AC1474" s="21"/>
      <c r="AD1474" s="21"/>
    </row>
    <row r="1475" spans="1:30">
      <c r="A1475" s="21"/>
      <c r="B1475" s="21"/>
      <c r="C1475" s="21"/>
      <c r="D1475" s="21"/>
      <c r="E1475" s="21"/>
      <c r="F1475" s="21"/>
      <c r="G1475" s="21"/>
      <c r="H1475" s="21"/>
      <c r="I1475" s="21"/>
      <c r="J1475" s="21"/>
      <c r="K1475" s="21"/>
      <c r="L1475" s="21"/>
      <c r="M1475" s="21"/>
      <c r="N1475" s="21"/>
      <c r="O1475" s="21"/>
      <c r="P1475" s="21"/>
      <c r="Q1475" s="21"/>
      <c r="R1475" s="21"/>
      <c r="S1475" s="21"/>
      <c r="T1475" s="21"/>
      <c r="U1475" s="21"/>
      <c r="V1475" s="21"/>
      <c r="W1475" s="21"/>
      <c r="X1475" s="21"/>
      <c r="Y1475" s="21"/>
      <c r="Z1475" s="21"/>
      <c r="AA1475" s="21"/>
      <c r="AB1475" s="21"/>
      <c r="AC1475" s="21"/>
      <c r="AD1475" s="21"/>
    </row>
    <row r="1476" spans="1:30">
      <c r="A1476" s="21"/>
      <c r="B1476" s="21"/>
      <c r="C1476" s="21"/>
      <c r="D1476" s="21"/>
      <c r="E1476" s="21"/>
      <c r="F1476" s="21"/>
      <c r="G1476" s="21"/>
      <c r="H1476" s="21"/>
      <c r="I1476" s="21"/>
      <c r="J1476" s="21"/>
      <c r="K1476" s="21"/>
      <c r="L1476" s="21"/>
      <c r="M1476" s="21"/>
      <c r="N1476" s="21"/>
      <c r="O1476" s="21"/>
      <c r="P1476" s="21"/>
      <c r="Q1476" s="21"/>
      <c r="R1476" s="21"/>
      <c r="S1476" s="21"/>
      <c r="T1476" s="21"/>
      <c r="U1476" s="21"/>
      <c r="V1476" s="21"/>
      <c r="W1476" s="21"/>
      <c r="X1476" s="21"/>
      <c r="Y1476" s="21"/>
      <c r="Z1476" s="21"/>
      <c r="AA1476" s="21"/>
      <c r="AB1476" s="21"/>
      <c r="AC1476" s="21"/>
      <c r="AD1476" s="21"/>
    </row>
    <row r="1477" spans="1:30">
      <c r="A1477" s="21"/>
      <c r="B1477" s="21"/>
      <c r="C1477" s="21"/>
      <c r="D1477" s="21"/>
      <c r="E1477" s="21"/>
      <c r="F1477" s="21"/>
      <c r="G1477" s="21"/>
      <c r="H1477" s="21"/>
      <c r="I1477" s="21"/>
      <c r="J1477" s="21"/>
      <c r="K1477" s="21"/>
      <c r="L1477" s="21"/>
      <c r="M1477" s="21"/>
      <c r="N1477" s="21"/>
      <c r="O1477" s="21"/>
      <c r="P1477" s="21"/>
      <c r="Q1477" s="21"/>
      <c r="R1477" s="21"/>
      <c r="S1477" s="21"/>
      <c r="T1477" s="21"/>
      <c r="U1477" s="21"/>
      <c r="V1477" s="21"/>
      <c r="W1477" s="21"/>
      <c r="X1477" s="21"/>
      <c r="Y1477" s="21"/>
      <c r="Z1477" s="21"/>
      <c r="AA1477" s="21"/>
      <c r="AB1477" s="21"/>
      <c r="AC1477" s="21"/>
      <c r="AD1477" s="21"/>
    </row>
    <row r="1478" spans="1:30">
      <c r="A1478" s="21"/>
      <c r="B1478" s="21"/>
      <c r="C1478" s="21"/>
      <c r="D1478" s="21"/>
      <c r="E1478" s="21"/>
      <c r="F1478" s="21"/>
      <c r="G1478" s="21"/>
      <c r="H1478" s="21"/>
      <c r="I1478" s="21"/>
      <c r="J1478" s="21"/>
      <c r="K1478" s="21"/>
      <c r="L1478" s="21"/>
      <c r="M1478" s="21"/>
      <c r="N1478" s="21"/>
      <c r="O1478" s="21"/>
      <c r="P1478" s="21"/>
      <c r="Q1478" s="21"/>
      <c r="R1478" s="21"/>
      <c r="S1478" s="21"/>
      <c r="T1478" s="21"/>
      <c r="U1478" s="21"/>
      <c r="V1478" s="21"/>
      <c r="W1478" s="21"/>
      <c r="X1478" s="21"/>
      <c r="Y1478" s="21"/>
      <c r="Z1478" s="21"/>
      <c r="AA1478" s="21"/>
      <c r="AB1478" s="21"/>
      <c r="AC1478" s="21"/>
      <c r="AD1478" s="21"/>
    </row>
    <row r="1479" spans="1:30">
      <c r="A1479" s="21"/>
      <c r="B1479" s="21"/>
      <c r="C1479" s="21"/>
      <c r="D1479" s="21"/>
      <c r="E1479" s="21"/>
      <c r="F1479" s="21"/>
      <c r="G1479" s="21"/>
      <c r="H1479" s="21"/>
      <c r="I1479" s="21"/>
      <c r="J1479" s="21"/>
      <c r="K1479" s="21"/>
      <c r="L1479" s="21"/>
      <c r="M1479" s="21"/>
      <c r="N1479" s="21"/>
      <c r="O1479" s="21"/>
      <c r="P1479" s="21"/>
      <c r="Q1479" s="21"/>
      <c r="R1479" s="21"/>
      <c r="S1479" s="21"/>
      <c r="T1479" s="21"/>
      <c r="U1479" s="21"/>
      <c r="V1479" s="21"/>
      <c r="W1479" s="21"/>
      <c r="X1479" s="21"/>
      <c r="Y1479" s="21"/>
      <c r="Z1479" s="21"/>
      <c r="AA1479" s="21"/>
      <c r="AB1479" s="21"/>
      <c r="AC1479" s="21"/>
      <c r="AD1479" s="21"/>
    </row>
    <row r="1480" spans="1:30">
      <c r="A1480" s="21"/>
      <c r="B1480" s="21"/>
      <c r="C1480" s="21"/>
      <c r="D1480" s="21"/>
      <c r="E1480" s="21"/>
      <c r="F1480" s="21"/>
      <c r="G1480" s="21"/>
      <c r="H1480" s="21"/>
      <c r="I1480" s="21"/>
      <c r="J1480" s="21"/>
      <c r="K1480" s="21"/>
      <c r="L1480" s="21"/>
      <c r="M1480" s="21"/>
      <c r="N1480" s="21"/>
      <c r="O1480" s="21"/>
      <c r="P1480" s="21"/>
      <c r="Q1480" s="21"/>
      <c r="R1480" s="21"/>
      <c r="S1480" s="21"/>
      <c r="T1480" s="21"/>
      <c r="U1480" s="21"/>
      <c r="V1480" s="21"/>
      <c r="W1480" s="21"/>
      <c r="X1480" s="21"/>
      <c r="Y1480" s="21"/>
      <c r="Z1480" s="21"/>
      <c r="AA1480" s="21"/>
      <c r="AB1480" s="21"/>
      <c r="AC1480" s="21"/>
      <c r="AD1480" s="21"/>
    </row>
    <row r="1481" spans="1:30">
      <c r="A1481" s="21"/>
      <c r="B1481" s="21"/>
      <c r="C1481" s="21"/>
      <c r="D1481" s="21"/>
      <c r="E1481" s="21"/>
      <c r="F1481" s="21"/>
      <c r="G1481" s="21"/>
      <c r="H1481" s="21"/>
      <c r="I1481" s="21"/>
      <c r="J1481" s="21"/>
      <c r="K1481" s="21"/>
      <c r="L1481" s="21"/>
      <c r="M1481" s="21"/>
      <c r="N1481" s="21"/>
      <c r="O1481" s="21"/>
      <c r="P1481" s="21"/>
      <c r="Q1481" s="21"/>
      <c r="R1481" s="21"/>
      <c r="S1481" s="21"/>
      <c r="T1481" s="21"/>
      <c r="U1481" s="21"/>
      <c r="V1481" s="21"/>
      <c r="W1481" s="21"/>
      <c r="X1481" s="21"/>
      <c r="Y1481" s="21"/>
      <c r="Z1481" s="21"/>
      <c r="AA1481" s="21"/>
      <c r="AB1481" s="21"/>
      <c r="AC1481" s="21"/>
      <c r="AD1481" s="21"/>
    </row>
    <row r="1482" spans="1:30">
      <c r="A1482" s="21"/>
      <c r="B1482" s="21"/>
      <c r="C1482" s="21"/>
      <c r="D1482" s="21"/>
      <c r="E1482" s="21"/>
      <c r="F1482" s="21"/>
      <c r="G1482" s="21"/>
      <c r="H1482" s="21"/>
      <c r="I1482" s="21"/>
      <c r="J1482" s="21"/>
      <c r="K1482" s="21"/>
      <c r="L1482" s="21"/>
      <c r="M1482" s="21"/>
      <c r="N1482" s="21"/>
      <c r="O1482" s="21"/>
      <c r="P1482" s="21"/>
      <c r="Q1482" s="21"/>
      <c r="R1482" s="21"/>
      <c r="S1482" s="21"/>
      <c r="T1482" s="21"/>
      <c r="U1482" s="21"/>
      <c r="V1482" s="21"/>
      <c r="W1482" s="21"/>
      <c r="X1482" s="21"/>
      <c r="Y1482" s="21"/>
      <c r="Z1482" s="21"/>
      <c r="AA1482" s="21"/>
      <c r="AB1482" s="21"/>
      <c r="AC1482" s="21"/>
      <c r="AD1482" s="21"/>
    </row>
    <row r="1483" spans="1:30">
      <c r="A1483" s="21"/>
      <c r="B1483" s="21"/>
      <c r="C1483" s="21"/>
      <c r="D1483" s="21"/>
      <c r="E1483" s="21"/>
      <c r="F1483" s="21"/>
      <c r="G1483" s="21"/>
      <c r="H1483" s="21"/>
      <c r="I1483" s="21"/>
      <c r="J1483" s="21"/>
      <c r="K1483" s="21"/>
      <c r="L1483" s="21"/>
      <c r="M1483" s="21"/>
      <c r="N1483" s="21"/>
      <c r="O1483" s="21"/>
      <c r="P1483" s="21"/>
      <c r="Q1483" s="21"/>
      <c r="R1483" s="21"/>
      <c r="S1483" s="21"/>
      <c r="T1483" s="21"/>
      <c r="U1483" s="21"/>
      <c r="V1483" s="21"/>
      <c r="W1483" s="21"/>
      <c r="X1483" s="21"/>
      <c r="Y1483" s="21"/>
      <c r="Z1483" s="21"/>
      <c r="AA1483" s="21"/>
      <c r="AB1483" s="21"/>
      <c r="AC1483" s="21"/>
      <c r="AD1483" s="21"/>
    </row>
    <row r="1484" spans="1:30">
      <c r="A1484" s="21"/>
      <c r="B1484" s="21"/>
      <c r="C1484" s="21"/>
      <c r="D1484" s="21"/>
      <c r="E1484" s="21"/>
      <c r="F1484" s="21"/>
      <c r="G1484" s="21"/>
      <c r="H1484" s="21"/>
      <c r="I1484" s="21"/>
      <c r="J1484" s="21"/>
      <c r="K1484" s="21"/>
      <c r="L1484" s="21"/>
      <c r="M1484" s="21"/>
      <c r="N1484" s="21"/>
      <c r="O1484" s="21"/>
      <c r="P1484" s="21"/>
      <c r="Q1484" s="21"/>
      <c r="R1484" s="21"/>
      <c r="S1484" s="21"/>
      <c r="T1484" s="21"/>
      <c r="U1484" s="21"/>
      <c r="V1484" s="21"/>
      <c r="W1484" s="21"/>
      <c r="X1484" s="21"/>
      <c r="Y1484" s="21"/>
      <c r="Z1484" s="21"/>
      <c r="AA1484" s="21"/>
      <c r="AB1484" s="21"/>
      <c r="AC1484" s="21"/>
      <c r="AD1484" s="21"/>
    </row>
    <row r="1485" spans="1:30">
      <c r="A1485" s="21"/>
      <c r="B1485" s="21"/>
      <c r="C1485" s="21"/>
      <c r="D1485" s="21"/>
      <c r="E1485" s="21"/>
      <c r="F1485" s="21"/>
      <c r="G1485" s="21"/>
      <c r="H1485" s="21"/>
      <c r="I1485" s="21"/>
      <c r="J1485" s="21"/>
      <c r="K1485" s="21"/>
      <c r="L1485" s="21"/>
      <c r="M1485" s="21"/>
      <c r="N1485" s="21"/>
      <c r="O1485" s="21"/>
      <c r="P1485" s="21"/>
      <c r="Q1485" s="21"/>
      <c r="R1485" s="21"/>
      <c r="S1485" s="21"/>
      <c r="T1485" s="21"/>
      <c r="U1485" s="21"/>
      <c r="V1485" s="21"/>
      <c r="W1485" s="21"/>
      <c r="X1485" s="21"/>
      <c r="Y1485" s="21"/>
      <c r="Z1485" s="21"/>
      <c r="AA1485" s="21"/>
      <c r="AB1485" s="21"/>
      <c r="AC1485" s="21"/>
      <c r="AD1485" s="21"/>
    </row>
    <row r="1486" spans="1:30">
      <c r="A1486" s="21"/>
      <c r="B1486" s="21"/>
      <c r="C1486" s="21"/>
      <c r="D1486" s="21"/>
      <c r="E1486" s="21"/>
      <c r="F1486" s="21"/>
      <c r="G1486" s="21"/>
      <c r="H1486" s="21"/>
      <c r="I1486" s="21"/>
      <c r="J1486" s="21"/>
      <c r="K1486" s="21"/>
      <c r="L1486" s="21"/>
      <c r="M1486" s="21"/>
      <c r="N1486" s="21"/>
      <c r="O1486" s="21"/>
      <c r="P1486" s="21"/>
      <c r="Q1486" s="21"/>
      <c r="R1486" s="21"/>
      <c r="S1486" s="21"/>
      <c r="T1486" s="21"/>
      <c r="U1486" s="21"/>
      <c r="V1486" s="21"/>
      <c r="W1486" s="21"/>
      <c r="X1486" s="21"/>
      <c r="Y1486" s="21"/>
      <c r="Z1486" s="21"/>
      <c r="AA1486" s="21"/>
      <c r="AB1486" s="21"/>
      <c r="AC1486" s="21"/>
      <c r="AD1486" s="21"/>
    </row>
    <row r="1487" spans="1:30">
      <c r="A1487" s="21"/>
      <c r="B1487" s="21"/>
      <c r="C1487" s="21"/>
      <c r="D1487" s="21"/>
      <c r="E1487" s="21"/>
      <c r="F1487" s="21"/>
      <c r="G1487" s="21"/>
      <c r="H1487" s="21"/>
      <c r="I1487" s="21"/>
      <c r="J1487" s="21"/>
      <c r="K1487" s="21"/>
      <c r="L1487" s="21"/>
      <c r="M1487" s="21"/>
      <c r="N1487" s="21"/>
      <c r="O1487" s="21"/>
      <c r="P1487" s="21"/>
      <c r="Q1487" s="21"/>
      <c r="R1487" s="21"/>
      <c r="S1487" s="21"/>
      <c r="T1487" s="21"/>
      <c r="U1487" s="21"/>
      <c r="V1487" s="21"/>
      <c r="W1487" s="21"/>
      <c r="X1487" s="21"/>
      <c r="Y1487" s="21"/>
      <c r="Z1487" s="21"/>
      <c r="AA1487" s="21"/>
      <c r="AB1487" s="21"/>
      <c r="AC1487" s="21"/>
      <c r="AD1487" s="21"/>
    </row>
    <row r="1488" spans="1:30">
      <c r="A1488" s="21"/>
      <c r="B1488" s="21"/>
      <c r="C1488" s="21"/>
      <c r="D1488" s="21"/>
      <c r="E1488" s="21"/>
      <c r="F1488" s="21"/>
      <c r="G1488" s="21"/>
      <c r="H1488" s="21"/>
      <c r="I1488" s="21"/>
      <c r="J1488" s="21"/>
      <c r="K1488" s="21"/>
      <c r="L1488" s="21"/>
      <c r="M1488" s="21"/>
      <c r="N1488" s="21"/>
      <c r="O1488" s="21"/>
      <c r="P1488" s="21"/>
      <c r="Q1488" s="21"/>
      <c r="R1488" s="21"/>
      <c r="S1488" s="21"/>
      <c r="T1488" s="21"/>
      <c r="U1488" s="21"/>
      <c r="V1488" s="21"/>
      <c r="W1488" s="21"/>
      <c r="X1488" s="21"/>
      <c r="Y1488" s="21"/>
      <c r="Z1488" s="21"/>
      <c r="AA1488" s="21"/>
      <c r="AB1488" s="21"/>
      <c r="AC1488" s="21"/>
      <c r="AD1488" s="21"/>
    </row>
    <row r="1489" spans="1:30">
      <c r="A1489" s="21"/>
      <c r="B1489" s="21"/>
      <c r="C1489" s="21"/>
      <c r="D1489" s="21"/>
      <c r="E1489" s="21"/>
      <c r="F1489" s="21"/>
      <c r="G1489" s="21"/>
      <c r="H1489" s="21"/>
      <c r="I1489" s="21"/>
      <c r="J1489" s="21"/>
      <c r="K1489" s="21"/>
      <c r="L1489" s="21"/>
      <c r="M1489" s="21"/>
      <c r="N1489" s="21"/>
      <c r="O1489" s="21"/>
      <c r="P1489" s="21"/>
      <c r="Q1489" s="21"/>
      <c r="R1489" s="21"/>
      <c r="S1489" s="21"/>
      <c r="T1489" s="21"/>
      <c r="U1489" s="21"/>
      <c r="V1489" s="21"/>
      <c r="W1489" s="21"/>
      <c r="X1489" s="21"/>
      <c r="Y1489" s="21"/>
      <c r="Z1489" s="21"/>
      <c r="AA1489" s="21"/>
      <c r="AB1489" s="21"/>
      <c r="AC1489" s="21"/>
      <c r="AD1489" s="21"/>
    </row>
    <row r="1490" spans="1:30">
      <c r="A1490" s="21"/>
      <c r="B1490" s="21"/>
      <c r="C1490" s="21"/>
      <c r="D1490" s="21"/>
      <c r="E1490" s="21"/>
      <c r="F1490" s="21"/>
      <c r="G1490" s="21"/>
      <c r="H1490" s="21"/>
      <c r="I1490" s="21"/>
      <c r="J1490" s="21"/>
      <c r="K1490" s="21"/>
      <c r="L1490" s="21"/>
      <c r="M1490" s="21"/>
      <c r="N1490" s="21"/>
      <c r="O1490" s="21"/>
      <c r="P1490" s="21"/>
      <c r="Q1490" s="21"/>
      <c r="R1490" s="21"/>
      <c r="S1490" s="21"/>
      <c r="T1490" s="21"/>
      <c r="U1490" s="21"/>
      <c r="V1490" s="21"/>
      <c r="W1490" s="21"/>
      <c r="X1490" s="21"/>
      <c r="Y1490" s="21"/>
      <c r="Z1490" s="21"/>
      <c r="AA1490" s="21"/>
      <c r="AB1490" s="21"/>
      <c r="AC1490" s="21"/>
      <c r="AD1490" s="21"/>
    </row>
    <row r="1491" spans="1:30">
      <c r="A1491" s="21"/>
      <c r="B1491" s="21"/>
      <c r="C1491" s="21"/>
      <c r="D1491" s="21"/>
      <c r="E1491" s="21"/>
      <c r="F1491" s="21"/>
      <c r="G1491" s="21"/>
      <c r="H1491" s="21"/>
      <c r="I1491" s="21"/>
      <c r="J1491" s="21"/>
      <c r="K1491" s="21"/>
      <c r="L1491" s="21"/>
      <c r="M1491" s="21"/>
      <c r="N1491" s="21"/>
      <c r="O1491" s="21"/>
      <c r="P1491" s="21"/>
      <c r="Q1491" s="21"/>
      <c r="R1491" s="21"/>
      <c r="S1491" s="21"/>
      <c r="T1491" s="21"/>
      <c r="U1491" s="21"/>
      <c r="V1491" s="21"/>
      <c r="W1491" s="21"/>
      <c r="X1491" s="21"/>
      <c r="Y1491" s="21"/>
      <c r="Z1491" s="21"/>
      <c r="AA1491" s="21"/>
      <c r="AB1491" s="21"/>
      <c r="AC1491" s="21"/>
      <c r="AD1491" s="21"/>
    </row>
    <row r="1492" spans="1:30">
      <c r="A1492" s="21"/>
      <c r="B1492" s="21"/>
      <c r="C1492" s="21"/>
      <c r="D1492" s="21"/>
      <c r="E1492" s="21"/>
      <c r="F1492" s="21"/>
      <c r="G1492" s="21"/>
      <c r="H1492" s="21"/>
      <c r="I1492" s="21"/>
      <c r="J1492" s="21"/>
      <c r="K1492" s="21"/>
      <c r="L1492" s="21"/>
      <c r="M1492" s="21"/>
      <c r="N1492" s="21"/>
      <c r="O1492" s="21"/>
      <c r="P1492" s="21"/>
      <c r="Q1492" s="21"/>
      <c r="R1492" s="21"/>
      <c r="S1492" s="21"/>
      <c r="T1492" s="21"/>
      <c r="U1492" s="21"/>
      <c r="V1492" s="21"/>
      <c r="W1492" s="21"/>
      <c r="X1492" s="21"/>
      <c r="Y1492" s="21"/>
      <c r="Z1492" s="21"/>
      <c r="AA1492" s="21"/>
      <c r="AB1492" s="21"/>
      <c r="AC1492" s="21"/>
      <c r="AD1492" s="21"/>
    </row>
    <row r="1493" spans="1:30">
      <c r="A1493" s="21"/>
      <c r="B1493" s="21"/>
      <c r="C1493" s="21"/>
      <c r="D1493" s="21"/>
      <c r="E1493" s="21"/>
      <c r="F1493" s="21"/>
      <c r="G1493" s="21"/>
      <c r="H1493" s="21"/>
      <c r="I1493" s="21"/>
      <c r="J1493" s="21"/>
      <c r="K1493" s="21"/>
      <c r="L1493" s="21"/>
      <c r="M1493" s="21"/>
      <c r="N1493" s="21"/>
      <c r="O1493" s="21"/>
      <c r="P1493" s="21"/>
      <c r="Q1493" s="21"/>
      <c r="R1493" s="21"/>
      <c r="S1493" s="21"/>
      <c r="T1493" s="21"/>
      <c r="U1493" s="21"/>
      <c r="V1493" s="21"/>
      <c r="W1493" s="21"/>
      <c r="X1493" s="21"/>
      <c r="Y1493" s="21"/>
      <c r="Z1493" s="21"/>
      <c r="AA1493" s="21"/>
      <c r="AB1493" s="21"/>
      <c r="AC1493" s="21"/>
      <c r="AD1493" s="21"/>
    </row>
    <row r="1494" spans="1:30">
      <c r="A1494" s="21"/>
      <c r="B1494" s="21"/>
      <c r="C1494" s="21"/>
      <c r="D1494" s="21"/>
      <c r="E1494" s="21"/>
      <c r="F1494" s="21"/>
      <c r="G1494" s="21"/>
      <c r="H1494" s="21"/>
      <c r="I1494" s="21"/>
      <c r="J1494" s="21"/>
      <c r="K1494" s="21"/>
      <c r="L1494" s="21"/>
      <c r="M1494" s="21"/>
      <c r="N1494" s="21"/>
      <c r="O1494" s="21"/>
      <c r="P1494" s="21"/>
      <c r="Q1494" s="21"/>
      <c r="R1494" s="21"/>
      <c r="S1494" s="21"/>
      <c r="T1494" s="21"/>
      <c r="U1494" s="21"/>
      <c r="V1494" s="21"/>
      <c r="W1494" s="21"/>
      <c r="X1494" s="21"/>
      <c r="Y1494" s="21"/>
      <c r="Z1494" s="21"/>
      <c r="AA1494" s="21"/>
      <c r="AB1494" s="21"/>
      <c r="AC1494" s="21"/>
      <c r="AD1494" s="21"/>
    </row>
    <row r="1495" spans="1:30">
      <c r="A1495" s="21"/>
      <c r="B1495" s="21"/>
      <c r="C1495" s="21"/>
      <c r="D1495" s="21"/>
      <c r="E1495" s="21"/>
      <c r="F1495" s="21"/>
      <c r="G1495" s="21"/>
      <c r="H1495" s="21"/>
      <c r="I1495" s="21"/>
      <c r="J1495" s="21"/>
      <c r="K1495" s="21"/>
      <c r="L1495" s="21"/>
      <c r="M1495" s="21"/>
      <c r="N1495" s="21"/>
      <c r="O1495" s="21"/>
      <c r="P1495" s="21"/>
      <c r="Q1495" s="21"/>
      <c r="R1495" s="21"/>
      <c r="S1495" s="21"/>
      <c r="T1495" s="21"/>
      <c r="U1495" s="21"/>
      <c r="V1495" s="21"/>
      <c r="W1495" s="21"/>
      <c r="X1495" s="21"/>
      <c r="Y1495" s="21"/>
      <c r="Z1495" s="21"/>
      <c r="AA1495" s="21"/>
      <c r="AB1495" s="21"/>
      <c r="AC1495" s="21"/>
      <c r="AD1495" s="21"/>
    </row>
    <row r="1496" spans="1:30">
      <c r="A1496" s="21"/>
      <c r="B1496" s="21"/>
      <c r="C1496" s="21"/>
      <c r="D1496" s="21"/>
      <c r="E1496" s="21"/>
      <c r="F1496" s="21"/>
      <c r="G1496" s="21"/>
      <c r="H1496" s="21"/>
      <c r="I1496" s="21"/>
      <c r="J1496" s="21"/>
      <c r="K1496" s="21"/>
      <c r="L1496" s="21"/>
      <c r="M1496" s="21"/>
      <c r="N1496" s="21"/>
      <c r="O1496" s="21"/>
      <c r="P1496" s="21"/>
      <c r="Q1496" s="21"/>
      <c r="R1496" s="21"/>
      <c r="S1496" s="21"/>
      <c r="T1496" s="21"/>
      <c r="U1496" s="21"/>
      <c r="V1496" s="21"/>
      <c r="W1496" s="21"/>
      <c r="X1496" s="21"/>
      <c r="Y1496" s="21"/>
      <c r="Z1496" s="21"/>
      <c r="AA1496" s="21"/>
      <c r="AB1496" s="21"/>
      <c r="AC1496" s="21"/>
      <c r="AD1496" s="21"/>
    </row>
    <row r="1497" spans="1:30">
      <c r="A1497" s="21"/>
      <c r="B1497" s="21"/>
      <c r="C1497" s="21"/>
      <c r="D1497" s="21"/>
      <c r="E1497" s="21"/>
      <c r="F1497" s="21"/>
      <c r="G1497" s="21"/>
      <c r="H1497" s="21"/>
      <c r="I1497" s="21"/>
      <c r="J1497" s="21"/>
      <c r="K1497" s="21"/>
      <c r="L1497" s="21"/>
      <c r="M1497" s="21"/>
      <c r="N1497" s="21"/>
      <c r="O1497" s="21"/>
      <c r="P1497" s="21"/>
      <c r="Q1497" s="21"/>
      <c r="R1497" s="21"/>
      <c r="S1497" s="21"/>
      <c r="T1497" s="21"/>
      <c r="U1497" s="21"/>
      <c r="V1497" s="21"/>
      <c r="W1497" s="21"/>
      <c r="X1497" s="21"/>
      <c r="Y1497" s="21"/>
      <c r="Z1497" s="21"/>
      <c r="AA1497" s="21"/>
      <c r="AB1497" s="21"/>
      <c r="AC1497" s="21"/>
      <c r="AD1497" s="21"/>
    </row>
    <row r="1498" spans="1:30">
      <c r="A1498" s="21"/>
      <c r="B1498" s="21"/>
      <c r="C1498" s="21"/>
      <c r="D1498" s="21"/>
      <c r="E1498" s="21"/>
      <c r="F1498" s="21"/>
      <c r="G1498" s="21"/>
      <c r="H1498" s="21"/>
      <c r="I1498" s="21"/>
      <c r="J1498" s="21"/>
      <c r="K1498" s="21"/>
      <c r="L1498" s="21"/>
      <c r="M1498" s="21"/>
      <c r="N1498" s="21"/>
      <c r="O1498" s="21"/>
      <c r="P1498" s="21"/>
      <c r="Q1498" s="21"/>
      <c r="R1498" s="21"/>
      <c r="S1498" s="21"/>
      <c r="T1498" s="21"/>
      <c r="U1498" s="21"/>
      <c r="V1498" s="21"/>
      <c r="W1498" s="21"/>
      <c r="X1498" s="21"/>
      <c r="Y1498" s="21"/>
      <c r="Z1498" s="21"/>
      <c r="AA1498" s="21"/>
      <c r="AB1498" s="21"/>
      <c r="AC1498" s="21"/>
      <c r="AD1498" s="21"/>
    </row>
    <row r="1499" spans="1:30">
      <c r="A1499" s="21"/>
      <c r="B1499" s="21"/>
      <c r="C1499" s="21"/>
      <c r="D1499" s="21"/>
      <c r="E1499" s="21"/>
      <c r="F1499" s="21"/>
      <c r="G1499" s="21"/>
      <c r="H1499" s="21"/>
      <c r="I1499" s="21"/>
      <c r="J1499" s="21"/>
      <c r="K1499" s="21"/>
      <c r="L1499" s="21"/>
      <c r="M1499" s="21"/>
      <c r="N1499" s="21"/>
      <c r="O1499" s="21"/>
      <c r="P1499" s="21"/>
      <c r="Q1499" s="21"/>
      <c r="R1499" s="21"/>
      <c r="S1499" s="21"/>
      <c r="T1499" s="21"/>
      <c r="U1499" s="21"/>
      <c r="V1499" s="21"/>
      <c r="W1499" s="21"/>
      <c r="X1499" s="21"/>
      <c r="Y1499" s="21"/>
      <c r="Z1499" s="21"/>
      <c r="AA1499" s="21"/>
      <c r="AB1499" s="21"/>
      <c r="AC1499" s="21"/>
      <c r="AD1499" s="21"/>
    </row>
    <row r="1500" spans="1:30">
      <c r="A1500" s="21"/>
      <c r="B1500" s="21"/>
      <c r="C1500" s="21"/>
      <c r="D1500" s="21"/>
      <c r="E1500" s="21"/>
      <c r="F1500" s="21"/>
      <c r="G1500" s="21"/>
      <c r="H1500" s="21"/>
      <c r="I1500" s="21"/>
      <c r="J1500" s="21"/>
      <c r="K1500" s="21"/>
      <c r="L1500" s="21"/>
      <c r="M1500" s="21"/>
      <c r="N1500" s="21"/>
      <c r="O1500" s="21"/>
      <c r="P1500" s="21"/>
      <c r="Q1500" s="21"/>
      <c r="R1500" s="21"/>
      <c r="S1500" s="21"/>
      <c r="T1500" s="21"/>
      <c r="U1500" s="21"/>
      <c r="V1500" s="21"/>
      <c r="W1500" s="21"/>
      <c r="X1500" s="21"/>
      <c r="Y1500" s="21"/>
      <c r="Z1500" s="21"/>
      <c r="AA1500" s="21"/>
      <c r="AB1500" s="21"/>
      <c r="AC1500" s="21"/>
      <c r="AD1500" s="21"/>
    </row>
    <row r="1501" spans="1:30">
      <c r="A1501" s="21"/>
      <c r="B1501" s="21"/>
      <c r="C1501" s="21"/>
      <c r="D1501" s="21"/>
      <c r="E1501" s="21"/>
      <c r="F1501" s="21"/>
      <c r="G1501" s="21"/>
      <c r="H1501" s="21"/>
      <c r="I1501" s="21"/>
      <c r="J1501" s="21"/>
      <c r="K1501" s="21"/>
      <c r="L1501" s="21"/>
      <c r="M1501" s="21"/>
      <c r="N1501" s="21"/>
      <c r="O1501" s="21"/>
      <c r="P1501" s="21"/>
      <c r="Q1501" s="21"/>
      <c r="R1501" s="21"/>
      <c r="S1501" s="21"/>
      <c r="T1501" s="21"/>
      <c r="U1501" s="21"/>
      <c r="V1501" s="21"/>
      <c r="W1501" s="21"/>
      <c r="X1501" s="21"/>
      <c r="Y1501" s="21"/>
      <c r="Z1501" s="21"/>
      <c r="AA1501" s="21"/>
      <c r="AB1501" s="21"/>
      <c r="AC1501" s="21"/>
      <c r="AD1501" s="21"/>
    </row>
    <row r="1502" spans="1:30">
      <c r="A1502" s="21"/>
      <c r="B1502" s="21"/>
      <c r="C1502" s="21"/>
      <c r="D1502" s="21"/>
      <c r="E1502" s="21"/>
      <c r="F1502" s="21"/>
      <c r="G1502" s="21"/>
      <c r="H1502" s="21"/>
      <c r="I1502" s="21"/>
      <c r="J1502" s="21"/>
      <c r="K1502" s="21"/>
      <c r="L1502" s="21"/>
      <c r="M1502" s="21"/>
      <c r="N1502" s="21"/>
      <c r="O1502" s="21"/>
      <c r="P1502" s="21"/>
      <c r="Q1502" s="21"/>
      <c r="R1502" s="21"/>
      <c r="S1502" s="21"/>
      <c r="T1502" s="21"/>
      <c r="U1502" s="21"/>
      <c r="V1502" s="21"/>
      <c r="W1502" s="21"/>
      <c r="X1502" s="21"/>
      <c r="Y1502" s="21"/>
      <c r="Z1502" s="21"/>
      <c r="AA1502" s="21"/>
      <c r="AB1502" s="21"/>
      <c r="AC1502" s="21"/>
      <c r="AD1502" s="21"/>
    </row>
    <row r="1503" spans="1:30">
      <c r="A1503" s="21"/>
      <c r="B1503" s="21"/>
      <c r="C1503" s="21"/>
      <c r="D1503" s="21"/>
      <c r="E1503" s="21"/>
      <c r="F1503" s="21"/>
      <c r="G1503" s="21"/>
      <c r="H1503" s="21"/>
      <c r="I1503" s="21"/>
      <c r="J1503" s="21"/>
      <c r="K1503" s="21"/>
      <c r="L1503" s="21"/>
      <c r="M1503" s="21"/>
      <c r="N1503" s="21"/>
      <c r="O1503" s="21"/>
      <c r="P1503" s="21"/>
      <c r="Q1503" s="21"/>
      <c r="R1503" s="21"/>
      <c r="S1503" s="21"/>
      <c r="T1503" s="21"/>
      <c r="U1503" s="21"/>
      <c r="V1503" s="21"/>
      <c r="W1503" s="21"/>
      <c r="X1503" s="21"/>
      <c r="Y1503" s="21"/>
      <c r="Z1503" s="21"/>
      <c r="AA1503" s="21"/>
      <c r="AB1503" s="21"/>
      <c r="AC1503" s="21"/>
      <c r="AD1503" s="21"/>
    </row>
    <row r="1504" spans="1:30">
      <c r="A1504" s="21"/>
      <c r="B1504" s="21"/>
      <c r="C1504" s="21"/>
      <c r="D1504" s="21"/>
      <c r="E1504" s="21"/>
      <c r="F1504" s="21"/>
      <c r="G1504" s="21"/>
      <c r="H1504" s="21"/>
      <c r="I1504" s="21"/>
      <c r="J1504" s="21"/>
      <c r="K1504" s="21"/>
      <c r="L1504" s="21"/>
      <c r="M1504" s="21"/>
      <c r="N1504" s="21"/>
      <c r="O1504" s="21"/>
      <c r="P1504" s="21"/>
      <c r="Q1504" s="21"/>
      <c r="R1504" s="21"/>
      <c r="S1504" s="21"/>
      <c r="T1504" s="21"/>
      <c r="U1504" s="21"/>
      <c r="V1504" s="21"/>
      <c r="W1504" s="21"/>
      <c r="X1504" s="21"/>
      <c r="Y1504" s="21"/>
      <c r="Z1504" s="21"/>
      <c r="AA1504" s="21"/>
      <c r="AB1504" s="21"/>
      <c r="AC1504" s="21"/>
      <c r="AD1504" s="21"/>
    </row>
    <row r="1505" spans="1:30">
      <c r="A1505" s="21"/>
      <c r="B1505" s="21"/>
      <c r="C1505" s="21"/>
      <c r="D1505" s="21"/>
      <c r="E1505" s="21"/>
      <c r="F1505" s="21"/>
      <c r="G1505" s="21"/>
      <c r="H1505" s="21"/>
      <c r="I1505" s="21"/>
      <c r="J1505" s="21"/>
      <c r="K1505" s="21"/>
      <c r="L1505" s="21"/>
      <c r="M1505" s="21"/>
      <c r="N1505" s="21"/>
      <c r="O1505" s="21"/>
      <c r="P1505" s="21"/>
      <c r="Q1505" s="21"/>
      <c r="R1505" s="21"/>
      <c r="S1505" s="21"/>
      <c r="T1505" s="21"/>
      <c r="U1505" s="21"/>
      <c r="V1505" s="21"/>
      <c r="W1505" s="21"/>
      <c r="X1505" s="21"/>
      <c r="Y1505" s="21"/>
      <c r="Z1505" s="21"/>
      <c r="AA1505" s="21"/>
      <c r="AB1505" s="21"/>
      <c r="AC1505" s="21"/>
      <c r="AD1505" s="21"/>
    </row>
    <row r="1506" spans="1:30">
      <c r="A1506" s="21"/>
      <c r="B1506" s="21"/>
      <c r="C1506" s="21"/>
      <c r="D1506" s="21"/>
      <c r="E1506" s="21"/>
      <c r="F1506" s="21"/>
      <c r="G1506" s="21"/>
      <c r="H1506" s="21"/>
      <c r="I1506" s="21"/>
      <c r="J1506" s="21"/>
      <c r="K1506" s="21"/>
      <c r="L1506" s="21"/>
      <c r="M1506" s="21"/>
      <c r="N1506" s="21"/>
      <c r="O1506" s="21"/>
      <c r="P1506" s="21"/>
      <c r="Q1506" s="21"/>
      <c r="R1506" s="21"/>
      <c r="S1506" s="21"/>
      <c r="T1506" s="21"/>
      <c r="U1506" s="21"/>
      <c r="V1506" s="21"/>
      <c r="W1506" s="21"/>
      <c r="X1506" s="21"/>
      <c r="Y1506" s="21"/>
      <c r="Z1506" s="21"/>
      <c r="AA1506" s="21"/>
      <c r="AB1506" s="21"/>
      <c r="AC1506" s="21"/>
      <c r="AD1506" s="21"/>
    </row>
    <row r="1507" spans="1:30">
      <c r="A1507" s="21"/>
      <c r="B1507" s="21"/>
      <c r="C1507" s="21"/>
      <c r="D1507" s="21"/>
      <c r="E1507" s="21"/>
      <c r="F1507" s="21"/>
      <c r="G1507" s="21"/>
      <c r="H1507" s="21"/>
      <c r="I1507" s="21"/>
      <c r="J1507" s="21"/>
      <c r="K1507" s="21"/>
      <c r="L1507" s="21"/>
      <c r="M1507" s="21"/>
      <c r="N1507" s="21"/>
      <c r="O1507" s="21"/>
      <c r="P1507" s="21"/>
      <c r="Q1507" s="21"/>
      <c r="R1507" s="21"/>
      <c r="S1507" s="21"/>
      <c r="T1507" s="21"/>
      <c r="U1507" s="21"/>
      <c r="V1507" s="21"/>
      <c r="W1507" s="21"/>
      <c r="X1507" s="21"/>
      <c r="Y1507" s="21"/>
      <c r="Z1507" s="21"/>
      <c r="AA1507" s="21"/>
      <c r="AB1507" s="21"/>
      <c r="AC1507" s="21"/>
      <c r="AD1507" s="21"/>
    </row>
    <row r="1508" spans="1:30">
      <c r="A1508" s="21"/>
      <c r="B1508" s="21"/>
      <c r="C1508" s="21"/>
      <c r="D1508" s="21"/>
      <c r="E1508" s="21"/>
      <c r="F1508" s="21"/>
      <c r="G1508" s="21"/>
      <c r="H1508" s="21"/>
      <c r="I1508" s="21"/>
      <c r="J1508" s="21"/>
      <c r="K1508" s="21"/>
      <c r="L1508" s="21"/>
      <c r="M1508" s="21"/>
      <c r="N1508" s="21"/>
      <c r="O1508" s="21"/>
      <c r="P1508" s="21"/>
      <c r="Q1508" s="21"/>
      <c r="R1508" s="21"/>
      <c r="S1508" s="21"/>
      <c r="T1508" s="21"/>
      <c r="U1508" s="21"/>
      <c r="V1508" s="21"/>
      <c r="W1508" s="21"/>
      <c r="X1508" s="21"/>
      <c r="Y1508" s="21"/>
      <c r="Z1508" s="21"/>
      <c r="AA1508" s="21"/>
      <c r="AB1508" s="21"/>
      <c r="AC1508" s="21"/>
      <c r="AD1508" s="21"/>
    </row>
    <row r="1509" spans="1:30">
      <c r="A1509" s="21"/>
      <c r="B1509" s="21"/>
      <c r="C1509" s="21"/>
      <c r="D1509" s="21"/>
      <c r="E1509" s="21"/>
      <c r="F1509" s="21"/>
      <c r="G1509" s="21"/>
      <c r="H1509" s="21"/>
      <c r="I1509" s="21"/>
      <c r="J1509" s="21"/>
      <c r="K1509" s="21"/>
      <c r="L1509" s="21"/>
      <c r="M1509" s="21"/>
      <c r="N1509" s="21"/>
      <c r="O1509" s="21"/>
      <c r="P1509" s="21"/>
      <c r="Q1509" s="21"/>
      <c r="R1509" s="21"/>
      <c r="S1509" s="21"/>
      <c r="T1509" s="21"/>
      <c r="U1509" s="21"/>
      <c r="V1509" s="21"/>
      <c r="W1509" s="21"/>
      <c r="X1509" s="21"/>
      <c r="Y1509" s="21"/>
      <c r="Z1509" s="21"/>
      <c r="AA1509" s="21"/>
      <c r="AB1509" s="21"/>
      <c r="AC1509" s="21"/>
      <c r="AD1509" s="21"/>
    </row>
    <row r="1510" spans="1:30">
      <c r="A1510" s="21"/>
      <c r="B1510" s="21"/>
      <c r="C1510" s="21"/>
      <c r="D1510" s="21"/>
      <c r="E1510" s="21"/>
      <c r="F1510" s="21"/>
      <c r="G1510" s="21"/>
      <c r="H1510" s="21"/>
      <c r="I1510" s="21"/>
      <c r="J1510" s="21"/>
      <c r="K1510" s="21"/>
      <c r="L1510" s="21"/>
      <c r="M1510" s="21"/>
      <c r="N1510" s="21"/>
      <c r="O1510" s="21"/>
      <c r="P1510" s="21"/>
      <c r="Q1510" s="21"/>
      <c r="R1510" s="21"/>
      <c r="S1510" s="21"/>
      <c r="T1510" s="21"/>
      <c r="U1510" s="21"/>
      <c r="V1510" s="21"/>
      <c r="W1510" s="21"/>
      <c r="X1510" s="21"/>
      <c r="Y1510" s="21"/>
      <c r="Z1510" s="21"/>
      <c r="AA1510" s="21"/>
      <c r="AB1510" s="21"/>
      <c r="AC1510" s="21"/>
      <c r="AD1510" s="21"/>
    </row>
    <row r="1511" spans="1:30">
      <c r="A1511" s="21"/>
      <c r="B1511" s="21"/>
      <c r="C1511" s="21"/>
      <c r="D1511" s="21"/>
      <c r="E1511" s="21"/>
      <c r="F1511" s="21"/>
      <c r="G1511" s="21"/>
      <c r="H1511" s="21"/>
      <c r="I1511" s="21"/>
      <c r="J1511" s="21"/>
      <c r="K1511" s="21"/>
      <c r="L1511" s="21"/>
      <c r="M1511" s="21"/>
      <c r="N1511" s="21"/>
      <c r="O1511" s="21"/>
      <c r="P1511" s="21"/>
      <c r="Q1511" s="21"/>
      <c r="R1511" s="21"/>
      <c r="S1511" s="21"/>
      <c r="T1511" s="21"/>
      <c r="U1511" s="21"/>
      <c r="V1511" s="21"/>
      <c r="W1511" s="21"/>
      <c r="X1511" s="21"/>
      <c r="Y1511" s="21"/>
      <c r="Z1511" s="21"/>
      <c r="AA1511" s="21"/>
      <c r="AB1511" s="21"/>
      <c r="AC1511" s="21"/>
      <c r="AD1511" s="21"/>
    </row>
    <row r="1512" spans="1:30">
      <c r="A1512" s="21"/>
      <c r="B1512" s="21"/>
      <c r="C1512" s="21"/>
      <c r="D1512" s="21"/>
      <c r="E1512" s="21"/>
      <c r="F1512" s="21"/>
      <c r="G1512" s="21"/>
      <c r="H1512" s="21"/>
      <c r="I1512" s="21"/>
      <c r="J1512" s="21"/>
      <c r="K1512" s="21"/>
      <c r="L1512" s="21"/>
      <c r="M1512" s="21"/>
      <c r="N1512" s="21"/>
      <c r="O1512" s="21"/>
      <c r="P1512" s="21"/>
      <c r="Q1512" s="21"/>
      <c r="R1512" s="21"/>
      <c r="S1512" s="21"/>
      <c r="T1512" s="21"/>
      <c r="U1512" s="21"/>
      <c r="V1512" s="21"/>
      <c r="W1512" s="21"/>
      <c r="X1512" s="21"/>
      <c r="Y1512" s="21"/>
      <c r="Z1512" s="21"/>
      <c r="AA1512" s="21"/>
      <c r="AB1512" s="21"/>
      <c r="AC1512" s="21"/>
      <c r="AD1512" s="21"/>
    </row>
    <row r="1513" spans="1:30">
      <c r="A1513" s="21"/>
      <c r="B1513" s="21"/>
      <c r="C1513" s="21"/>
      <c r="D1513" s="21"/>
      <c r="E1513" s="21"/>
      <c r="F1513" s="21"/>
      <c r="G1513" s="21"/>
      <c r="H1513" s="21"/>
      <c r="I1513" s="21"/>
      <c r="J1513" s="21"/>
      <c r="K1513" s="21"/>
      <c r="L1513" s="21"/>
      <c r="M1513" s="21"/>
      <c r="N1513" s="21"/>
      <c r="O1513" s="21"/>
      <c r="P1513" s="21"/>
      <c r="Q1513" s="21"/>
      <c r="R1513" s="21"/>
      <c r="S1513" s="21"/>
      <c r="T1513" s="21"/>
      <c r="U1513" s="21"/>
      <c r="V1513" s="21"/>
      <c r="W1513" s="21"/>
      <c r="X1513" s="21"/>
      <c r="Y1513" s="21"/>
      <c r="Z1513" s="21"/>
      <c r="AA1513" s="21"/>
      <c r="AB1513" s="21"/>
      <c r="AC1513" s="21"/>
      <c r="AD1513" s="21"/>
    </row>
    <row r="1514" spans="1:30">
      <c r="A1514" s="21"/>
      <c r="B1514" s="21"/>
      <c r="C1514" s="21"/>
      <c r="D1514" s="21"/>
      <c r="E1514" s="21"/>
      <c r="F1514" s="21"/>
      <c r="G1514" s="21"/>
      <c r="H1514" s="21"/>
      <c r="I1514" s="21"/>
      <c r="J1514" s="21"/>
      <c r="K1514" s="21"/>
      <c r="L1514" s="21"/>
      <c r="M1514" s="21"/>
      <c r="N1514" s="21"/>
      <c r="O1514" s="21"/>
      <c r="P1514" s="21"/>
      <c r="Q1514" s="21"/>
      <c r="R1514" s="21"/>
      <c r="S1514" s="21"/>
      <c r="T1514" s="21"/>
      <c r="U1514" s="21"/>
      <c r="V1514" s="21"/>
      <c r="W1514" s="21"/>
      <c r="X1514" s="21"/>
      <c r="Y1514" s="21"/>
      <c r="Z1514" s="21"/>
      <c r="AA1514" s="21"/>
      <c r="AB1514" s="21"/>
      <c r="AC1514" s="21"/>
      <c r="AD1514" s="21"/>
    </row>
    <row r="1515" spans="1:30">
      <c r="A1515" s="21"/>
      <c r="B1515" s="21"/>
      <c r="C1515" s="21"/>
      <c r="D1515" s="21"/>
      <c r="E1515" s="21"/>
      <c r="F1515" s="21"/>
      <c r="G1515" s="21"/>
      <c r="H1515" s="21"/>
      <c r="I1515" s="21"/>
      <c r="J1515" s="21"/>
      <c r="K1515" s="21"/>
      <c r="L1515" s="21"/>
      <c r="M1515" s="21"/>
      <c r="N1515" s="21"/>
      <c r="O1515" s="21"/>
      <c r="P1515" s="21"/>
      <c r="Q1515" s="21"/>
      <c r="R1515" s="21"/>
      <c r="S1515" s="21"/>
      <c r="T1515" s="21"/>
      <c r="U1515" s="21"/>
      <c r="V1515" s="21"/>
      <c r="W1515" s="21"/>
      <c r="X1515" s="21"/>
      <c r="Y1515" s="21"/>
      <c r="Z1515" s="21"/>
      <c r="AA1515" s="21"/>
      <c r="AB1515" s="21"/>
      <c r="AC1515" s="21"/>
      <c r="AD1515" s="21"/>
    </row>
    <row r="1516" spans="1:30">
      <c r="A1516" s="21"/>
      <c r="B1516" s="21"/>
      <c r="C1516" s="21"/>
      <c r="D1516" s="21"/>
      <c r="E1516" s="21"/>
      <c r="F1516" s="21"/>
      <c r="G1516" s="21"/>
      <c r="H1516" s="21"/>
      <c r="I1516" s="21"/>
      <c r="J1516" s="21"/>
      <c r="K1516" s="21"/>
      <c r="L1516" s="21"/>
      <c r="M1516" s="21"/>
      <c r="N1516" s="21"/>
      <c r="O1516" s="21"/>
      <c r="P1516" s="21"/>
      <c r="Q1516" s="21"/>
      <c r="R1516" s="21"/>
      <c r="S1516" s="21"/>
      <c r="T1516" s="21"/>
      <c r="U1516" s="21"/>
      <c r="V1516" s="21"/>
      <c r="W1516" s="21"/>
      <c r="X1516" s="21"/>
      <c r="Y1516" s="21"/>
      <c r="Z1516" s="21"/>
      <c r="AA1516" s="21"/>
      <c r="AB1516" s="21"/>
      <c r="AC1516" s="21"/>
      <c r="AD1516" s="21"/>
    </row>
    <row r="1517" spans="1:30">
      <c r="A1517" s="21"/>
      <c r="B1517" s="21"/>
      <c r="C1517" s="21"/>
      <c r="D1517" s="21"/>
      <c r="E1517" s="21"/>
      <c r="F1517" s="21"/>
      <c r="G1517" s="21"/>
      <c r="H1517" s="21"/>
      <c r="I1517" s="21"/>
      <c r="J1517" s="21"/>
      <c r="K1517" s="21"/>
      <c r="L1517" s="21"/>
      <c r="M1517" s="21"/>
      <c r="N1517" s="21"/>
      <c r="O1517" s="21"/>
      <c r="P1517" s="21"/>
      <c r="Q1517" s="21"/>
      <c r="R1517" s="21"/>
      <c r="S1517" s="21"/>
      <c r="T1517" s="21"/>
      <c r="U1517" s="21"/>
      <c r="V1517" s="21"/>
      <c r="W1517" s="21"/>
      <c r="X1517" s="21"/>
      <c r="Y1517" s="21"/>
      <c r="Z1517" s="21"/>
      <c r="AA1517" s="21"/>
      <c r="AB1517" s="21"/>
      <c r="AC1517" s="21"/>
      <c r="AD1517" s="21"/>
    </row>
    <row r="1518" spans="1:30">
      <c r="A1518" s="21"/>
      <c r="B1518" s="21"/>
      <c r="C1518" s="21"/>
      <c r="D1518" s="21"/>
      <c r="E1518" s="21"/>
      <c r="F1518" s="21"/>
      <c r="G1518" s="21"/>
      <c r="H1518" s="21"/>
      <c r="I1518" s="21"/>
      <c r="J1518" s="21"/>
      <c r="K1518" s="21"/>
      <c r="L1518" s="21"/>
      <c r="M1518" s="21"/>
      <c r="N1518" s="21"/>
      <c r="O1518" s="21"/>
      <c r="P1518" s="21"/>
      <c r="Q1518" s="21"/>
      <c r="R1518" s="21"/>
      <c r="S1518" s="21"/>
      <c r="T1518" s="21"/>
      <c r="U1518" s="21"/>
      <c r="V1518" s="21"/>
      <c r="W1518" s="21"/>
      <c r="X1518" s="21"/>
      <c r="Y1518" s="21"/>
      <c r="Z1518" s="21"/>
      <c r="AA1518" s="21"/>
      <c r="AB1518" s="21"/>
      <c r="AC1518" s="21"/>
      <c r="AD1518" s="21"/>
    </row>
    <row r="1519" spans="1:30">
      <c r="A1519" s="21"/>
      <c r="B1519" s="21"/>
      <c r="C1519" s="21"/>
      <c r="D1519" s="21"/>
      <c r="E1519" s="21"/>
      <c r="F1519" s="21"/>
      <c r="G1519" s="21"/>
      <c r="H1519" s="21"/>
      <c r="I1519" s="21"/>
      <c r="J1519" s="21"/>
      <c r="K1519" s="21"/>
      <c r="L1519" s="21"/>
      <c r="M1519" s="21"/>
      <c r="N1519" s="21"/>
      <c r="O1519" s="21"/>
      <c r="P1519" s="21"/>
      <c r="Q1519" s="21"/>
      <c r="R1519" s="21"/>
      <c r="S1519" s="21"/>
      <c r="T1519" s="21"/>
      <c r="U1519" s="21"/>
      <c r="V1519" s="21"/>
      <c r="W1519" s="21"/>
      <c r="X1519" s="21"/>
      <c r="Y1519" s="21"/>
      <c r="Z1519" s="21"/>
      <c r="AA1519" s="21"/>
      <c r="AB1519" s="21"/>
      <c r="AC1519" s="21"/>
      <c r="AD1519" s="21"/>
    </row>
    <row r="1520" spans="1:30">
      <c r="A1520" s="21"/>
      <c r="B1520" s="21"/>
      <c r="C1520" s="21"/>
      <c r="D1520" s="21"/>
      <c r="E1520" s="21"/>
      <c r="F1520" s="21"/>
      <c r="G1520" s="21"/>
      <c r="H1520" s="21"/>
      <c r="I1520" s="21"/>
      <c r="J1520" s="21"/>
      <c r="K1520" s="21"/>
      <c r="L1520" s="21"/>
      <c r="M1520" s="21"/>
      <c r="N1520" s="21"/>
      <c r="O1520" s="21"/>
      <c r="P1520" s="21"/>
      <c r="Q1520" s="21"/>
      <c r="R1520" s="21"/>
      <c r="S1520" s="21"/>
      <c r="T1520" s="21"/>
      <c r="U1520" s="21"/>
      <c r="V1520" s="21"/>
      <c r="W1520" s="21"/>
      <c r="X1520" s="21"/>
      <c r="Y1520" s="21"/>
      <c r="Z1520" s="21"/>
      <c r="AA1520" s="21"/>
      <c r="AB1520" s="21"/>
      <c r="AC1520" s="21"/>
      <c r="AD1520" s="21"/>
    </row>
    <row r="1521" spans="1:30">
      <c r="A1521" s="21"/>
      <c r="B1521" s="21"/>
      <c r="C1521" s="21"/>
      <c r="D1521" s="21"/>
      <c r="E1521" s="21"/>
      <c r="F1521" s="21"/>
      <c r="G1521" s="21"/>
      <c r="H1521" s="21"/>
      <c r="I1521" s="21"/>
      <c r="J1521" s="21"/>
      <c r="K1521" s="21"/>
      <c r="L1521" s="21"/>
      <c r="M1521" s="21"/>
      <c r="N1521" s="21"/>
      <c r="O1521" s="21"/>
      <c r="P1521" s="21"/>
      <c r="Q1521" s="21"/>
      <c r="R1521" s="21"/>
      <c r="S1521" s="21"/>
      <c r="T1521" s="21"/>
      <c r="U1521" s="21"/>
      <c r="V1521" s="21"/>
      <c r="W1521" s="21"/>
      <c r="X1521" s="21"/>
      <c r="Y1521" s="21"/>
      <c r="Z1521" s="21"/>
      <c r="AA1521" s="21"/>
      <c r="AB1521" s="21"/>
      <c r="AC1521" s="21"/>
      <c r="AD1521" s="21"/>
    </row>
    <row r="1522" spans="1:30">
      <c r="A1522" s="21"/>
      <c r="B1522" s="21"/>
      <c r="C1522" s="21"/>
      <c r="D1522" s="21"/>
      <c r="E1522" s="21"/>
      <c r="F1522" s="21"/>
      <c r="G1522" s="21"/>
      <c r="H1522" s="21"/>
      <c r="I1522" s="21"/>
      <c r="J1522" s="21"/>
      <c r="K1522" s="21"/>
      <c r="L1522" s="21"/>
      <c r="M1522" s="21"/>
      <c r="N1522" s="21"/>
      <c r="O1522" s="21"/>
      <c r="P1522" s="21"/>
      <c r="Q1522" s="21"/>
      <c r="R1522" s="21"/>
      <c r="S1522" s="21"/>
      <c r="T1522" s="21"/>
      <c r="U1522" s="21"/>
      <c r="V1522" s="21"/>
      <c r="W1522" s="21"/>
      <c r="X1522" s="21"/>
      <c r="Y1522" s="21"/>
      <c r="Z1522" s="21"/>
      <c r="AA1522" s="21"/>
      <c r="AB1522" s="21"/>
      <c r="AC1522" s="21"/>
      <c r="AD1522" s="21"/>
    </row>
    <row r="1523" spans="1:30">
      <c r="A1523" s="21"/>
      <c r="B1523" s="21"/>
      <c r="C1523" s="21"/>
      <c r="D1523" s="21"/>
      <c r="E1523" s="21"/>
      <c r="F1523" s="21"/>
      <c r="G1523" s="21"/>
      <c r="H1523" s="21"/>
      <c r="I1523" s="21"/>
      <c r="J1523" s="21"/>
      <c r="K1523" s="21"/>
      <c r="L1523" s="21"/>
      <c r="M1523" s="21"/>
      <c r="N1523" s="21"/>
      <c r="O1523" s="21"/>
      <c r="P1523" s="21"/>
      <c r="Q1523" s="21"/>
      <c r="R1523" s="21"/>
      <c r="S1523" s="21"/>
      <c r="T1523" s="21"/>
      <c r="U1523" s="21"/>
      <c r="V1523" s="21"/>
      <c r="W1523" s="21"/>
      <c r="X1523" s="21"/>
      <c r="Y1523" s="21"/>
      <c r="Z1523" s="21"/>
      <c r="AA1523" s="21"/>
      <c r="AB1523" s="21"/>
      <c r="AC1523" s="21"/>
      <c r="AD1523" s="21"/>
    </row>
    <row r="1524" spans="1:30">
      <c r="A1524" s="21"/>
      <c r="B1524" s="21"/>
      <c r="C1524" s="21"/>
      <c r="D1524" s="21"/>
      <c r="E1524" s="21"/>
      <c r="F1524" s="21"/>
      <c r="G1524" s="21"/>
      <c r="H1524" s="21"/>
      <c r="I1524" s="21"/>
      <c r="J1524" s="21"/>
      <c r="K1524" s="21"/>
      <c r="L1524" s="21"/>
      <c r="M1524" s="21"/>
      <c r="N1524" s="21"/>
      <c r="O1524" s="21"/>
      <c r="P1524" s="21"/>
      <c r="Q1524" s="21"/>
      <c r="R1524" s="21"/>
      <c r="S1524" s="21"/>
      <c r="T1524" s="21"/>
      <c r="U1524" s="21"/>
      <c r="V1524" s="21"/>
      <c r="W1524" s="21"/>
      <c r="X1524" s="21"/>
      <c r="Y1524" s="21"/>
      <c r="Z1524" s="21"/>
      <c r="AA1524" s="21"/>
      <c r="AB1524" s="21"/>
      <c r="AC1524" s="21"/>
      <c r="AD1524" s="21"/>
    </row>
  </sheetData>
  <autoFilter ref="A1:AD1524">
    <sortState ref="A1:AD1524">
      <sortCondition ref="C1"/>
    </sortState>
    <extLst/>
  </autoFilter>
  <pageMargins left="0.699999988079071" right="0.699999988079071" top="0.75" bottom="0.75" header="0.300000011920929" footer="0.300000011920929"/>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F26"/>
  <sheetViews>
    <sheetView showGridLines="0" topLeftCell="A13" workbookViewId="0">
      <selection activeCell="E24" sqref="E24"/>
    </sheetView>
  </sheetViews>
  <sheetFormatPr defaultColWidth="9" defaultRowHeight="15" outlineLevelCol="5"/>
  <cols>
    <col min="1" max="1" width="4.44166666666667" customWidth="1"/>
    <col min="3" max="3" width="41.3333333333333" customWidth="1"/>
    <col min="6" max="6" width="41" customWidth="1"/>
  </cols>
  <sheetData>
    <row r="2" spans="2:2">
      <c r="B2" t="s">
        <v>1864</v>
      </c>
    </row>
    <row r="4" spans="2:5">
      <c r="B4" s="7" t="s">
        <v>1865</v>
      </c>
      <c r="E4" s="7" t="s">
        <v>1866</v>
      </c>
    </row>
    <row r="5" spans="2:6">
      <c r="B5" s="8" t="s">
        <v>1867</v>
      </c>
      <c r="C5" s="9"/>
      <c r="E5" s="16" t="s">
        <v>1867</v>
      </c>
      <c r="F5" s="17"/>
    </row>
    <row r="6" spans="2:6">
      <c r="B6" s="10">
        <v>10</v>
      </c>
      <c r="C6" s="11" t="s">
        <v>1868</v>
      </c>
      <c r="E6" s="10">
        <v>10</v>
      </c>
      <c r="F6" s="11" t="s">
        <v>1869</v>
      </c>
    </row>
    <row r="7" spans="2:6">
      <c r="B7" s="12">
        <v>-10</v>
      </c>
      <c r="C7" s="13" t="s">
        <v>1870</v>
      </c>
      <c r="E7" s="14">
        <v>5</v>
      </c>
      <c r="F7" s="15" t="s">
        <v>1871</v>
      </c>
    </row>
    <row r="8" spans="5:6">
      <c r="E8" s="14">
        <v>3</v>
      </c>
      <c r="F8" s="15" t="s">
        <v>1872</v>
      </c>
    </row>
    <row r="9" spans="2:6">
      <c r="B9" s="8" t="s">
        <v>1873</v>
      </c>
      <c r="C9" s="9"/>
      <c r="E9" s="14">
        <v>-5</v>
      </c>
      <c r="F9" s="15" t="s">
        <v>1874</v>
      </c>
    </row>
    <row r="10" spans="2:6">
      <c r="B10" s="10">
        <v>10</v>
      </c>
      <c r="C10" s="11" t="s">
        <v>1869</v>
      </c>
      <c r="E10" s="12">
        <v>-10</v>
      </c>
      <c r="F10" s="13" t="s">
        <v>1875</v>
      </c>
    </row>
    <row r="11" spans="2:3">
      <c r="B11" s="14">
        <v>5</v>
      </c>
      <c r="C11" s="15" t="s">
        <v>1871</v>
      </c>
    </row>
    <row r="12" spans="2:6">
      <c r="B12" s="12">
        <v>-10</v>
      </c>
      <c r="C12" s="13" t="s">
        <v>3</v>
      </c>
      <c r="E12" s="16" t="s">
        <v>1873</v>
      </c>
      <c r="F12" s="17"/>
    </row>
    <row r="13" spans="5:6">
      <c r="E13" s="10">
        <v>10</v>
      </c>
      <c r="F13" s="11" t="s">
        <v>1876</v>
      </c>
    </row>
    <row r="14" spans="2:6">
      <c r="B14" s="8" t="s">
        <v>1877</v>
      </c>
      <c r="C14" s="9"/>
      <c r="E14" s="14">
        <v>5</v>
      </c>
      <c r="F14" s="15" t="s">
        <v>1869</v>
      </c>
    </row>
    <row r="15" spans="2:6">
      <c r="B15" s="10">
        <v>10</v>
      </c>
      <c r="C15" s="11" t="s">
        <v>1869</v>
      </c>
      <c r="E15" s="14">
        <v>3</v>
      </c>
      <c r="F15" s="15" t="s">
        <v>1878</v>
      </c>
    </row>
    <row r="16" spans="2:6">
      <c r="B16" s="14">
        <v>5</v>
      </c>
      <c r="C16" s="15" t="s">
        <v>1878</v>
      </c>
      <c r="E16" s="14">
        <v>-5</v>
      </c>
      <c r="F16" s="15" t="s">
        <v>1879</v>
      </c>
    </row>
    <row r="17" spans="2:6">
      <c r="B17" s="12">
        <v>-10</v>
      </c>
      <c r="C17" s="13" t="s">
        <v>1880</v>
      </c>
      <c r="E17" s="12">
        <v>-10</v>
      </c>
      <c r="F17" s="13" t="s">
        <v>1881</v>
      </c>
    </row>
    <row r="19" spans="5:6">
      <c r="E19" s="16" t="s">
        <v>1877</v>
      </c>
      <c r="F19" s="17" t="s">
        <v>1882</v>
      </c>
    </row>
    <row r="20" spans="5:6">
      <c r="E20" s="10">
        <v>10</v>
      </c>
      <c r="F20" s="11" t="s">
        <v>1883</v>
      </c>
    </row>
    <row r="21" spans="5:6">
      <c r="E21" s="12">
        <v>-10</v>
      </c>
      <c r="F21" s="13" t="s">
        <v>1884</v>
      </c>
    </row>
    <row r="23" spans="5:6">
      <c r="E23" s="16" t="s">
        <v>1885</v>
      </c>
      <c r="F23" s="17" t="s">
        <v>1886</v>
      </c>
    </row>
    <row r="24" spans="5:6">
      <c r="E24" s="10">
        <v>5</v>
      </c>
      <c r="F24" s="11" t="s">
        <v>754</v>
      </c>
    </row>
    <row r="25" spans="5:6">
      <c r="E25" s="18">
        <v>3</v>
      </c>
      <c r="F25" s="19" t="s">
        <v>1887</v>
      </c>
    </row>
    <row r="26" spans="5:6">
      <c r="E26" s="12">
        <v>-5</v>
      </c>
      <c r="F26" s="13" t="s">
        <v>781</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AF37"/>
  <sheetViews>
    <sheetView topLeftCell="A92" workbookViewId="0">
      <selection activeCell="D27" sqref="D27:D29"/>
    </sheetView>
  </sheetViews>
  <sheetFormatPr defaultColWidth="9" defaultRowHeight="15"/>
  <cols>
    <col min="1" max="2" width="8.88333333333333" style="1"/>
    <col min="3" max="3" width="49.5583333333333" style="1" customWidth="1"/>
    <col min="4" max="4" width="8.88333333333333" style="1"/>
    <col min="5" max="5" width="11" style="1" customWidth="1"/>
    <col min="6" max="31" width="8.88333333333333" style="1"/>
    <col min="32" max="32" width="255.666666666667" style="1" customWidth="1"/>
    <col min="33" max="16384" width="8.88333333333333" style="1"/>
  </cols>
  <sheetData>
    <row r="2" spans="3:3">
      <c r="C2" s="2" t="s">
        <v>1888</v>
      </c>
    </row>
    <row r="3" spans="3:3">
      <c r="C3" s="2" t="s">
        <v>1867</v>
      </c>
    </row>
    <row r="4" spans="3:3">
      <c r="C4" s="2" t="s">
        <v>1889</v>
      </c>
    </row>
    <row r="5" spans="3:5">
      <c r="C5" s="1" t="s">
        <v>730</v>
      </c>
      <c r="D5" s="1">
        <v>10</v>
      </c>
      <c r="E5" s="1">
        <v>1100304603</v>
      </c>
    </row>
    <row r="6" spans="3:5">
      <c r="C6" s="1" t="s">
        <v>753</v>
      </c>
      <c r="D6" s="1">
        <v>-10</v>
      </c>
      <c r="E6" s="1">
        <v>1100304602</v>
      </c>
    </row>
    <row r="7" spans="3:5">
      <c r="C7" s="1" t="s">
        <v>1890</v>
      </c>
      <c r="D7" s="1">
        <v>-10</v>
      </c>
      <c r="E7" s="1">
        <v>1100304601</v>
      </c>
    </row>
    <row r="9" spans="3:3">
      <c r="C9" s="2" t="s">
        <v>1873</v>
      </c>
    </row>
    <row r="10" spans="3:3">
      <c r="C10" s="2" t="s">
        <v>1891</v>
      </c>
    </row>
    <row r="11" spans="3:4">
      <c r="C11" s="1" t="s">
        <v>1892</v>
      </c>
      <c r="D11" s="1">
        <v>10</v>
      </c>
    </row>
    <row r="12" spans="3:5">
      <c r="C12" s="1" t="s">
        <v>730</v>
      </c>
      <c r="D12" s="1">
        <v>5</v>
      </c>
      <c r="E12" s="1">
        <v>1100304601</v>
      </c>
    </row>
    <row r="13" spans="3:5">
      <c r="C13" s="1" t="s">
        <v>1893</v>
      </c>
      <c r="D13" s="1">
        <v>3</v>
      </c>
      <c r="E13" s="1">
        <v>1100304602</v>
      </c>
    </row>
    <row r="14" spans="3:5">
      <c r="C14" s="1" t="s">
        <v>1894</v>
      </c>
      <c r="D14" s="1">
        <v>-5</v>
      </c>
      <c r="E14" s="1">
        <v>1100304603</v>
      </c>
    </row>
    <row r="15" spans="3:5">
      <c r="C15" s="1" t="s">
        <v>904</v>
      </c>
      <c r="D15" s="1">
        <v>-10</v>
      </c>
      <c r="E15" s="1">
        <v>1100304604</v>
      </c>
    </row>
    <row r="16" spans="3:3">
      <c r="C16" s="1" t="s">
        <v>1895</v>
      </c>
    </row>
    <row r="18" spans="3:3">
      <c r="C18" s="2" t="s">
        <v>1877</v>
      </c>
    </row>
    <row r="19" spans="3:3">
      <c r="C19" s="2" t="s">
        <v>1896</v>
      </c>
    </row>
    <row r="20" spans="3:4">
      <c r="C20" s="1" t="s">
        <v>1897</v>
      </c>
      <c r="D20" s="1">
        <v>10</v>
      </c>
    </row>
    <row r="21" spans="3:5">
      <c r="C21" s="1" t="s">
        <v>1898</v>
      </c>
      <c r="D21" s="1">
        <v>-10</v>
      </c>
      <c r="E21" s="1">
        <v>1100304601</v>
      </c>
    </row>
    <row r="22" spans="3:5">
      <c r="C22" s="1" t="s">
        <v>1899</v>
      </c>
      <c r="D22" s="1">
        <v>10</v>
      </c>
      <c r="E22" s="1">
        <v>1100304602</v>
      </c>
    </row>
    <row r="23" spans="3:5">
      <c r="C23" s="1" t="s">
        <v>1900</v>
      </c>
      <c r="D23" s="1">
        <v>10</v>
      </c>
      <c r="E23" s="1">
        <v>1100304603</v>
      </c>
    </row>
    <row r="25" spans="3:3">
      <c r="C25" s="2" t="s">
        <v>1885</v>
      </c>
    </row>
    <row r="26" spans="3:3">
      <c r="C26" s="2" t="s">
        <v>1901</v>
      </c>
    </row>
    <row r="27" spans="3:5">
      <c r="C27" s="1" t="s">
        <v>754</v>
      </c>
      <c r="D27" s="1">
        <v>5</v>
      </c>
      <c r="E27" s="1">
        <v>1100304603</v>
      </c>
    </row>
    <row r="28" spans="3:5">
      <c r="C28" s="1" t="s">
        <v>1902</v>
      </c>
      <c r="D28" s="1">
        <v>3</v>
      </c>
      <c r="E28" s="1">
        <v>1100304601</v>
      </c>
    </row>
    <row r="29" spans="3:5">
      <c r="C29" s="1" t="s">
        <v>1903</v>
      </c>
      <c r="D29" s="1">
        <v>-5</v>
      </c>
      <c r="E29" s="1">
        <v>1100304602</v>
      </c>
    </row>
    <row r="32" spans="3:3">
      <c r="C32" s="2" t="s">
        <v>1904</v>
      </c>
    </row>
    <row r="33" spans="3:32">
      <c r="C33" s="5" t="s">
        <v>696</v>
      </c>
      <c r="D33" s="5" t="s">
        <v>697</v>
      </c>
      <c r="E33" s="5" t="s">
        <v>698</v>
      </c>
      <c r="F33" s="5" t="s">
        <v>699</v>
      </c>
      <c r="G33" s="5" t="s">
        <v>700</v>
      </c>
      <c r="H33" s="5" t="s">
        <v>701</v>
      </c>
      <c r="I33" s="5" t="s">
        <v>702</v>
      </c>
      <c r="J33" s="5" t="s">
        <v>703</v>
      </c>
      <c r="K33" s="5" t="s">
        <v>704</v>
      </c>
      <c r="L33" s="5" t="s">
        <v>705</v>
      </c>
      <c r="M33" s="5" t="s">
        <v>706</v>
      </c>
      <c r="N33" s="5" t="s">
        <v>707</v>
      </c>
      <c r="O33" s="5" t="s">
        <v>708</v>
      </c>
      <c r="P33" s="5" t="s">
        <v>709</v>
      </c>
      <c r="Q33" s="5" t="s">
        <v>710</v>
      </c>
      <c r="R33" s="5" t="s">
        <v>711</v>
      </c>
      <c r="S33" s="5" t="s">
        <v>712</v>
      </c>
      <c r="T33" s="5" t="s">
        <v>713</v>
      </c>
      <c r="U33" s="5" t="s">
        <v>714</v>
      </c>
      <c r="V33" s="5" t="s">
        <v>715</v>
      </c>
      <c r="W33" s="5" t="s">
        <v>716</v>
      </c>
      <c r="X33" s="5" t="s">
        <v>717</v>
      </c>
      <c r="Y33" s="5" t="s">
        <v>718</v>
      </c>
      <c r="Z33" s="5" t="s">
        <v>719</v>
      </c>
      <c r="AA33" s="5" t="s">
        <v>720</v>
      </c>
      <c r="AB33" s="5" t="s">
        <v>721</v>
      </c>
      <c r="AC33" s="5" t="s">
        <v>722</v>
      </c>
      <c r="AD33" s="5" t="s">
        <v>723</v>
      </c>
      <c r="AE33" s="5" t="s">
        <v>724</v>
      </c>
      <c r="AF33" s="5" t="s">
        <v>725</v>
      </c>
    </row>
    <row r="34" spans="3:32">
      <c r="C34" s="6">
        <v>133584</v>
      </c>
      <c r="D34" s="6" t="s">
        <v>726</v>
      </c>
      <c r="E34" s="6" t="s">
        <v>27</v>
      </c>
      <c r="F34" s="6" t="s">
        <v>752</v>
      </c>
      <c r="G34" s="6" t="s">
        <v>727</v>
      </c>
      <c r="H34" s="6" t="s">
        <v>727</v>
      </c>
      <c r="I34" s="6" t="s">
        <v>747</v>
      </c>
      <c r="J34" s="6" t="s">
        <v>17</v>
      </c>
      <c r="K34" s="6" t="s">
        <v>17</v>
      </c>
      <c r="L34" s="6" t="s">
        <v>17</v>
      </c>
      <c r="M34" s="6">
        <v>15</v>
      </c>
      <c r="N34" s="6" t="s">
        <v>753</v>
      </c>
      <c r="O34" s="6" t="s">
        <v>758</v>
      </c>
      <c r="P34" s="6" t="s">
        <v>748</v>
      </c>
      <c r="Q34" s="6" t="s">
        <v>754</v>
      </c>
      <c r="R34" s="6" t="s">
        <v>17</v>
      </c>
      <c r="S34" s="6" t="s">
        <v>17</v>
      </c>
      <c r="T34" s="6" t="s">
        <v>17</v>
      </c>
      <c r="U34" s="6" t="s">
        <v>17</v>
      </c>
      <c r="V34" s="6" t="s">
        <v>17</v>
      </c>
      <c r="W34" s="6" t="s">
        <v>17</v>
      </c>
      <c r="X34" s="6" t="s">
        <v>17</v>
      </c>
      <c r="Y34" s="6" t="s">
        <v>17</v>
      </c>
      <c r="Z34" s="6" t="s">
        <v>17</v>
      </c>
      <c r="AA34" s="6" t="s">
        <v>17</v>
      </c>
      <c r="AB34" s="6" t="s">
        <v>1905</v>
      </c>
      <c r="AC34" s="6" t="s">
        <v>1906</v>
      </c>
      <c r="AD34" s="6" t="s">
        <v>1907</v>
      </c>
      <c r="AE34" s="6" t="s">
        <v>1908</v>
      </c>
      <c r="AF34" s="6" t="s">
        <v>1909</v>
      </c>
    </row>
    <row r="37" spans="3:3">
      <c r="C37" s="2" t="s">
        <v>1910</v>
      </c>
    </row>
  </sheetData>
  <pageMargins left="0.7" right="0.7" top="0.75" bottom="0.75" header="0.3" footer="0.3"/>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AF25"/>
  <sheetViews>
    <sheetView topLeftCell="A21" workbookViewId="0">
      <selection activeCell="D27" sqref="D27:D29"/>
    </sheetView>
  </sheetViews>
  <sheetFormatPr defaultColWidth="9" defaultRowHeight="15"/>
  <cols>
    <col min="1" max="2" width="8.88333333333333" style="1"/>
    <col min="3" max="3" width="39.5583333333333" style="1" customWidth="1"/>
    <col min="4" max="31" width="8.88333333333333" style="1"/>
    <col min="32" max="32" width="255.666666666667" style="1" customWidth="1"/>
    <col min="33" max="16384" width="8.88333333333333" style="1"/>
  </cols>
  <sheetData>
    <row r="2" spans="3:3">
      <c r="C2" s="2" t="s">
        <v>1888</v>
      </c>
    </row>
    <row r="3" spans="3:3">
      <c r="C3" s="2" t="s">
        <v>1867</v>
      </c>
    </row>
    <row r="4" spans="3:3">
      <c r="C4" s="2" t="s">
        <v>1911</v>
      </c>
    </row>
    <row r="5" spans="3:4">
      <c r="C5" s="1" t="s">
        <v>728</v>
      </c>
      <c r="D5" s="1" t="s">
        <v>1912</v>
      </c>
    </row>
    <row r="6" spans="3:4">
      <c r="C6" s="1" t="s">
        <v>1913</v>
      </c>
      <c r="D6" s="1" t="s">
        <v>1914</v>
      </c>
    </row>
    <row r="8" spans="3:3">
      <c r="C8" s="2" t="s">
        <v>1873</v>
      </c>
    </row>
    <row r="9" spans="3:3">
      <c r="C9" s="2" t="s">
        <v>1915</v>
      </c>
    </row>
    <row r="10" spans="3:4">
      <c r="C10" s="1" t="s">
        <v>729</v>
      </c>
      <c r="D10" s="1" t="s">
        <v>1912</v>
      </c>
    </row>
    <row r="11" spans="3:4">
      <c r="C11" s="1" t="s">
        <v>1916</v>
      </c>
      <c r="D11" s="1" t="s">
        <v>1917</v>
      </c>
    </row>
    <row r="12" spans="3:4">
      <c r="C12" s="1" t="s">
        <v>1918</v>
      </c>
      <c r="D12" s="1" t="s">
        <v>1919</v>
      </c>
    </row>
    <row r="14" spans="3:3">
      <c r="C14" s="2" t="s">
        <v>1877</v>
      </c>
    </row>
    <row r="15" spans="3:3">
      <c r="C15" s="2" t="s">
        <v>1891</v>
      </c>
    </row>
    <row r="16" spans="3:4">
      <c r="C16" s="1" t="s">
        <v>730</v>
      </c>
      <c r="D16" s="1" t="s">
        <v>1912</v>
      </c>
    </row>
    <row r="17" spans="3:4">
      <c r="C17" s="1" t="s">
        <v>1920</v>
      </c>
      <c r="D17" s="1" t="s">
        <v>1917</v>
      </c>
    </row>
    <row r="18" spans="3:4">
      <c r="C18" s="1" t="s">
        <v>1921</v>
      </c>
      <c r="D18" s="1" t="s">
        <v>1919</v>
      </c>
    </row>
    <row r="20" spans="3:3">
      <c r="C20" s="2" t="s">
        <v>1904</v>
      </c>
    </row>
    <row r="21" spans="3:32">
      <c r="C21" s="3" t="s">
        <v>696</v>
      </c>
      <c r="D21" s="3" t="s">
        <v>697</v>
      </c>
      <c r="E21" s="3" t="s">
        <v>698</v>
      </c>
      <c r="F21" s="3" t="s">
        <v>699</v>
      </c>
      <c r="G21" s="3" t="s">
        <v>700</v>
      </c>
      <c r="H21" s="3" t="s">
        <v>701</v>
      </c>
      <c r="I21" s="3" t="s">
        <v>702</v>
      </c>
      <c r="J21" s="3" t="s">
        <v>703</v>
      </c>
      <c r="K21" s="3" t="s">
        <v>704</v>
      </c>
      <c r="L21" s="3" t="s">
        <v>705</v>
      </c>
      <c r="M21" s="3" t="s">
        <v>706</v>
      </c>
      <c r="N21" s="3" t="s">
        <v>707</v>
      </c>
      <c r="O21" s="3" t="s">
        <v>708</v>
      </c>
      <c r="P21" s="3" t="s">
        <v>709</v>
      </c>
      <c r="Q21" s="3" t="s">
        <v>710</v>
      </c>
      <c r="R21" s="3" t="s">
        <v>711</v>
      </c>
      <c r="S21" s="3" t="s">
        <v>712</v>
      </c>
      <c r="T21" s="3" t="s">
        <v>713</v>
      </c>
      <c r="U21" s="3" t="s">
        <v>714</v>
      </c>
      <c r="V21" s="3" t="s">
        <v>715</v>
      </c>
      <c r="W21" s="3" t="s">
        <v>716</v>
      </c>
      <c r="X21" s="3" t="s">
        <v>717</v>
      </c>
      <c r="Y21" s="3" t="s">
        <v>718</v>
      </c>
      <c r="Z21" s="3" t="s">
        <v>719</v>
      </c>
      <c r="AA21" s="3" t="s">
        <v>720</v>
      </c>
      <c r="AB21" s="3" t="s">
        <v>721</v>
      </c>
      <c r="AC21" s="3" t="s">
        <v>722</v>
      </c>
      <c r="AD21" s="3" t="s">
        <v>723</v>
      </c>
      <c r="AE21" s="3" t="s">
        <v>724</v>
      </c>
      <c r="AF21" s="3" t="s">
        <v>725</v>
      </c>
    </row>
    <row r="22" spans="3:32">
      <c r="C22" s="4">
        <v>133596</v>
      </c>
      <c r="D22" s="4" t="s">
        <v>726</v>
      </c>
      <c r="E22" s="4" t="s">
        <v>14</v>
      </c>
      <c r="F22" s="4" t="s">
        <v>752</v>
      </c>
      <c r="G22" s="4" t="s">
        <v>752</v>
      </c>
      <c r="H22" s="4" t="s">
        <v>752</v>
      </c>
      <c r="I22" s="4" t="s">
        <v>17</v>
      </c>
      <c r="J22" s="4" t="s">
        <v>17</v>
      </c>
      <c r="K22" s="4" t="s">
        <v>17</v>
      </c>
      <c r="L22" s="4" t="s">
        <v>17</v>
      </c>
      <c r="M22" s="4">
        <v>-30</v>
      </c>
      <c r="N22" s="4" t="s">
        <v>1913</v>
      </c>
      <c r="O22" s="4" t="s">
        <v>1918</v>
      </c>
      <c r="P22" s="4" t="s">
        <v>1918</v>
      </c>
      <c r="Q22" s="4" t="s">
        <v>17</v>
      </c>
      <c r="R22" s="4" t="s">
        <v>17</v>
      </c>
      <c r="S22" s="4" t="s">
        <v>17</v>
      </c>
      <c r="T22" s="4" t="s">
        <v>17</v>
      </c>
      <c r="U22" s="4" t="s">
        <v>17</v>
      </c>
      <c r="V22" s="4" t="s">
        <v>17</v>
      </c>
      <c r="W22" s="4" t="s">
        <v>17</v>
      </c>
      <c r="X22" s="4" t="s">
        <v>17</v>
      </c>
      <c r="Y22" s="4" t="s">
        <v>17</v>
      </c>
      <c r="Z22" s="4" t="s">
        <v>17</v>
      </c>
      <c r="AA22" s="4" t="s">
        <v>17</v>
      </c>
      <c r="AB22" s="4" t="s">
        <v>1922</v>
      </c>
      <c r="AC22" s="4" t="s">
        <v>1923</v>
      </c>
      <c r="AD22" s="4" t="s">
        <v>1907</v>
      </c>
      <c r="AE22" s="4" t="s">
        <v>1908</v>
      </c>
      <c r="AF22" s="4" t="s">
        <v>1909</v>
      </c>
    </row>
    <row r="25" spans="3:3">
      <c r="C25" s="2" t="s">
        <v>1910</v>
      </c>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Upload Format</vt:lpstr>
      <vt:lpstr>web survey</vt:lpstr>
      <vt:lpstr>ref</vt:lpstr>
      <vt:lpstr>Z1,Z2,ZY</vt:lpstr>
      <vt:lpstr>Z0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Cuparsa Sastrawiguna</dc:creator>
  <cp:lastModifiedBy>csastrawiguna</cp:lastModifiedBy>
  <dcterms:created xsi:type="dcterms:W3CDTF">2024-08-21T23:15:00Z</dcterms:created>
  <cp:lastPrinted>2024-08-22T20:41:00Z</cp:lastPrinted>
  <dcterms:modified xsi:type="dcterms:W3CDTF">2026-06-16T08:24:04Z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