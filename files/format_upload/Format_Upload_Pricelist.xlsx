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92.168.188.254\daily\xampp732\htdocs\cccinfo\files\format_upload\"/>
    </mc:Choice>
  </mc:AlternateContent>
  <bookViews>
    <workbookView xWindow="8640" yWindow="0" windowWidth="21270" windowHeight="9045" activeTab="1"/>
  </bookViews>
  <sheets>
    <sheet name="Upload" sheetId="1" r:id="rId1"/>
    <sheet name="Category" sheetId="2" r:id="rId2"/>
  </sheets>
  <definedNames>
    <definedName name="_xlnm._FilterDatabase" localSheetId="1" hidden="1">Category!$B$2:$D$2</definedName>
    <definedName name="_xlnm._FilterDatabase" localSheetId="0" hidden="1">Upload!$A$4:$F$5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89" i="1" l="1"/>
  <c r="K589" i="1" s="1"/>
  <c r="D589" i="1" s="1"/>
  <c r="J589" i="1"/>
  <c r="I590" i="1"/>
  <c r="K590" i="1" s="1"/>
  <c r="D590" i="1" s="1"/>
  <c r="J590" i="1"/>
  <c r="C589" i="1"/>
  <c r="E589" i="1"/>
  <c r="F589" i="1"/>
  <c r="C590" i="1"/>
  <c r="E590" i="1"/>
  <c r="F590" i="1"/>
  <c r="T589" i="1"/>
  <c r="T590" i="1"/>
  <c r="A589" i="1"/>
  <c r="A590" i="1"/>
  <c r="B590" i="1"/>
  <c r="B589" i="1"/>
  <c r="T588" i="1"/>
  <c r="T587" i="1"/>
  <c r="T586" i="1"/>
  <c r="T581" i="1"/>
  <c r="T582" i="1"/>
  <c r="T583" i="1"/>
  <c r="T584" i="1"/>
  <c r="T585" i="1"/>
  <c r="T580" i="1"/>
  <c r="A579" i="1"/>
  <c r="B579" i="1"/>
  <c r="C579" i="1"/>
  <c r="E579" i="1"/>
  <c r="F579" i="1"/>
  <c r="G579" i="1"/>
  <c r="A580" i="1"/>
  <c r="B580" i="1"/>
  <c r="C580" i="1"/>
  <c r="E580" i="1"/>
  <c r="F580" i="1"/>
  <c r="G580" i="1"/>
  <c r="A581" i="1"/>
  <c r="B581" i="1"/>
  <c r="C581" i="1"/>
  <c r="E581" i="1"/>
  <c r="F581" i="1"/>
  <c r="G581" i="1"/>
  <c r="A582" i="1"/>
  <c r="B582" i="1"/>
  <c r="C582" i="1"/>
  <c r="E582" i="1"/>
  <c r="F582" i="1"/>
  <c r="G582" i="1"/>
  <c r="A583" i="1"/>
  <c r="B583" i="1"/>
  <c r="C583" i="1"/>
  <c r="E583" i="1"/>
  <c r="F583" i="1"/>
  <c r="G583" i="1"/>
  <c r="A584" i="1"/>
  <c r="B584" i="1"/>
  <c r="C584" i="1"/>
  <c r="E584" i="1"/>
  <c r="F584" i="1"/>
  <c r="G584" i="1"/>
  <c r="A585" i="1"/>
  <c r="B585" i="1"/>
  <c r="C585" i="1"/>
  <c r="E585" i="1"/>
  <c r="F585" i="1"/>
  <c r="G585" i="1"/>
  <c r="A586" i="1"/>
  <c r="B586" i="1"/>
  <c r="C586" i="1"/>
  <c r="E586" i="1"/>
  <c r="F586" i="1"/>
  <c r="G586" i="1"/>
  <c r="A587" i="1"/>
  <c r="B587" i="1"/>
  <c r="C587" i="1"/>
  <c r="E587" i="1"/>
  <c r="F587" i="1"/>
  <c r="G587" i="1"/>
  <c r="A588" i="1"/>
  <c r="B588" i="1"/>
  <c r="C588" i="1"/>
  <c r="E588" i="1"/>
  <c r="F588" i="1"/>
  <c r="G588" i="1"/>
  <c r="A591" i="1"/>
  <c r="B591" i="1"/>
  <c r="C591" i="1"/>
  <c r="E591" i="1"/>
  <c r="F591" i="1"/>
  <c r="G591" i="1"/>
  <c r="A592" i="1"/>
  <c r="B592" i="1"/>
  <c r="C592" i="1"/>
  <c r="E592" i="1"/>
  <c r="F592" i="1"/>
  <c r="G592" i="1"/>
  <c r="A593" i="1"/>
  <c r="B593" i="1"/>
  <c r="C593" i="1"/>
  <c r="E593" i="1"/>
  <c r="F593" i="1"/>
  <c r="G593" i="1"/>
  <c r="A594" i="1"/>
  <c r="B594" i="1"/>
  <c r="C594" i="1"/>
  <c r="E594" i="1"/>
  <c r="F594" i="1"/>
  <c r="G594" i="1"/>
  <c r="A595" i="1"/>
  <c r="B595" i="1"/>
  <c r="C595" i="1"/>
  <c r="E595" i="1"/>
  <c r="F595" i="1"/>
  <c r="G595" i="1"/>
  <c r="A596" i="1"/>
  <c r="B596" i="1"/>
  <c r="C596" i="1"/>
  <c r="E596" i="1"/>
  <c r="F596" i="1"/>
  <c r="G596" i="1"/>
  <c r="A597" i="1"/>
  <c r="B597" i="1"/>
  <c r="C597" i="1"/>
  <c r="E597" i="1"/>
  <c r="F597" i="1"/>
  <c r="G597" i="1"/>
  <c r="A598" i="1"/>
  <c r="B598" i="1"/>
  <c r="C598" i="1"/>
  <c r="E598" i="1"/>
  <c r="F598" i="1"/>
  <c r="G598" i="1"/>
  <c r="A599" i="1"/>
  <c r="B599" i="1"/>
  <c r="C599" i="1"/>
  <c r="E599" i="1"/>
  <c r="F599" i="1"/>
  <c r="G599" i="1"/>
  <c r="A600" i="1"/>
  <c r="B600" i="1"/>
  <c r="C600" i="1"/>
  <c r="E600" i="1"/>
  <c r="F600" i="1"/>
  <c r="G600" i="1"/>
  <c r="A601" i="1"/>
  <c r="B601" i="1"/>
  <c r="C601" i="1"/>
  <c r="E601" i="1"/>
  <c r="F601" i="1"/>
  <c r="G601" i="1"/>
  <c r="I7" i="1"/>
  <c r="K7" i="1" s="1"/>
  <c r="D7" i="1" s="1"/>
  <c r="J7" i="1"/>
  <c r="I8" i="1"/>
  <c r="J8" i="1"/>
  <c r="I9" i="1"/>
  <c r="J9" i="1"/>
  <c r="I10" i="1"/>
  <c r="J10" i="1"/>
  <c r="I11" i="1"/>
  <c r="J11" i="1"/>
  <c r="K11" i="1" s="1"/>
  <c r="I12" i="1"/>
  <c r="J12" i="1"/>
  <c r="I13" i="1"/>
  <c r="K13" i="1" s="1"/>
  <c r="J13" i="1"/>
  <c r="I14" i="1"/>
  <c r="J14" i="1"/>
  <c r="K14" i="1" s="1"/>
  <c r="D14" i="1" s="1"/>
  <c r="I15" i="1"/>
  <c r="K15" i="1" s="1"/>
  <c r="D15" i="1" s="1"/>
  <c r="J15" i="1"/>
  <c r="I16" i="1"/>
  <c r="K16" i="1" s="1"/>
  <c r="J16" i="1"/>
  <c r="I17" i="1"/>
  <c r="J17" i="1"/>
  <c r="I18" i="1"/>
  <c r="K18" i="1" s="1"/>
  <c r="D18" i="1" s="1"/>
  <c r="J18" i="1"/>
  <c r="I19" i="1"/>
  <c r="J19" i="1"/>
  <c r="K19" i="1" s="1"/>
  <c r="I20" i="1"/>
  <c r="K20" i="1" s="1"/>
  <c r="D20" i="1" s="1"/>
  <c r="J20" i="1"/>
  <c r="I21" i="1"/>
  <c r="K21" i="1" s="1"/>
  <c r="J21" i="1"/>
  <c r="I22" i="1"/>
  <c r="J22" i="1"/>
  <c r="I23" i="1"/>
  <c r="J23" i="1"/>
  <c r="K23" i="1"/>
  <c r="D23" i="1" s="1"/>
  <c r="I24" i="1"/>
  <c r="J24" i="1"/>
  <c r="I25" i="1"/>
  <c r="J25" i="1"/>
  <c r="I26" i="1"/>
  <c r="J26" i="1"/>
  <c r="K26" i="1" s="1"/>
  <c r="I27" i="1"/>
  <c r="K27" i="1" s="1"/>
  <c r="D27" i="1" s="1"/>
  <c r="J27" i="1"/>
  <c r="I28" i="1"/>
  <c r="J28" i="1"/>
  <c r="I29" i="1"/>
  <c r="J29" i="1"/>
  <c r="I30" i="1"/>
  <c r="J30" i="1"/>
  <c r="K30" i="1" s="1"/>
  <c r="I31" i="1"/>
  <c r="J31" i="1"/>
  <c r="K31" i="1" s="1"/>
  <c r="I32" i="1"/>
  <c r="K32" i="1" s="1"/>
  <c r="J32" i="1"/>
  <c r="I33" i="1"/>
  <c r="K33" i="1" s="1"/>
  <c r="D33" i="1" s="1"/>
  <c r="J33" i="1"/>
  <c r="I34" i="1"/>
  <c r="J34" i="1"/>
  <c r="K34" i="1"/>
  <c r="D34" i="1" s="1"/>
  <c r="I35" i="1"/>
  <c r="J35" i="1"/>
  <c r="I36" i="1"/>
  <c r="J36" i="1"/>
  <c r="I37" i="1"/>
  <c r="K37" i="1" s="1"/>
  <c r="J37" i="1"/>
  <c r="I38" i="1"/>
  <c r="J38" i="1"/>
  <c r="K38" i="1" s="1"/>
  <c r="I39" i="1"/>
  <c r="J39" i="1"/>
  <c r="K39" i="1"/>
  <c r="D39" i="1" s="1"/>
  <c r="I40" i="1"/>
  <c r="K40" i="1" s="1"/>
  <c r="D40" i="1" s="1"/>
  <c r="J40" i="1"/>
  <c r="I41" i="1"/>
  <c r="J41" i="1"/>
  <c r="I42" i="1"/>
  <c r="K42" i="1" s="1"/>
  <c r="D42" i="1" s="1"/>
  <c r="J42" i="1"/>
  <c r="I43" i="1"/>
  <c r="J43" i="1"/>
  <c r="K43" i="1"/>
  <c r="I44" i="1"/>
  <c r="J44" i="1"/>
  <c r="I45" i="1"/>
  <c r="J45" i="1"/>
  <c r="I46" i="1"/>
  <c r="J46" i="1"/>
  <c r="K46" i="1" s="1"/>
  <c r="D46" i="1" s="1"/>
  <c r="I47" i="1"/>
  <c r="J47" i="1"/>
  <c r="I48" i="1"/>
  <c r="J48" i="1"/>
  <c r="I49" i="1"/>
  <c r="J49" i="1"/>
  <c r="I50" i="1"/>
  <c r="J50" i="1"/>
  <c r="K50" i="1" s="1"/>
  <c r="I51" i="1"/>
  <c r="J51" i="1"/>
  <c r="K51" i="1"/>
  <c r="I52" i="1"/>
  <c r="K52" i="1" s="1"/>
  <c r="J52" i="1"/>
  <c r="I53" i="1"/>
  <c r="J53" i="1"/>
  <c r="I54" i="1"/>
  <c r="J54" i="1"/>
  <c r="I55" i="1"/>
  <c r="J55" i="1"/>
  <c r="K55" i="1" s="1"/>
  <c r="I56" i="1"/>
  <c r="J56" i="1"/>
  <c r="I57" i="1"/>
  <c r="J57" i="1"/>
  <c r="I58" i="1"/>
  <c r="J58" i="1"/>
  <c r="K58" i="1"/>
  <c r="D58" i="1" s="1"/>
  <c r="I59" i="1"/>
  <c r="K59" i="1" s="1"/>
  <c r="J59" i="1"/>
  <c r="I60" i="1"/>
  <c r="K60" i="1" s="1"/>
  <c r="D60" i="1" s="1"/>
  <c r="J60" i="1"/>
  <c r="I61" i="1"/>
  <c r="J61" i="1"/>
  <c r="I62" i="1"/>
  <c r="J62" i="1"/>
  <c r="I63" i="1"/>
  <c r="J63" i="1"/>
  <c r="K63" i="1"/>
  <c r="D63" i="1" s="1"/>
  <c r="I64" i="1"/>
  <c r="K64" i="1" s="1"/>
  <c r="J64" i="1"/>
  <c r="I65" i="1"/>
  <c r="J65" i="1"/>
  <c r="I66" i="1"/>
  <c r="K66" i="1" s="1"/>
  <c r="D66" i="1" s="1"/>
  <c r="J66" i="1"/>
  <c r="I67" i="1"/>
  <c r="K67" i="1" s="1"/>
  <c r="J67" i="1"/>
  <c r="I68" i="1"/>
  <c r="K68" i="1" s="1"/>
  <c r="D68" i="1" s="1"/>
  <c r="J68" i="1"/>
  <c r="I69" i="1"/>
  <c r="J69" i="1"/>
  <c r="I70" i="1"/>
  <c r="J70" i="1"/>
  <c r="I71" i="1"/>
  <c r="J71" i="1"/>
  <c r="K71" i="1"/>
  <c r="D71" i="1" s="1"/>
  <c r="I72" i="1"/>
  <c r="J72" i="1"/>
  <c r="I73" i="1"/>
  <c r="J73" i="1"/>
  <c r="I74" i="1"/>
  <c r="J74" i="1"/>
  <c r="I75" i="1"/>
  <c r="J75" i="1"/>
  <c r="I76" i="1"/>
  <c r="J76" i="1"/>
  <c r="I77" i="1"/>
  <c r="J77" i="1"/>
  <c r="I78" i="1"/>
  <c r="J78" i="1"/>
  <c r="K78" i="1" s="1"/>
  <c r="D78" i="1" s="1"/>
  <c r="I79" i="1"/>
  <c r="K79" i="1" s="1"/>
  <c r="D79" i="1" s="1"/>
  <c r="J79" i="1"/>
  <c r="I80" i="1"/>
  <c r="K80" i="1" s="1"/>
  <c r="J80" i="1"/>
  <c r="I81" i="1"/>
  <c r="J81" i="1"/>
  <c r="I82" i="1"/>
  <c r="J82" i="1"/>
  <c r="K82" i="1"/>
  <c r="I83" i="1"/>
  <c r="J83" i="1"/>
  <c r="K83" i="1" s="1"/>
  <c r="I84" i="1"/>
  <c r="K84" i="1" s="1"/>
  <c r="J84" i="1"/>
  <c r="I85" i="1"/>
  <c r="J85" i="1"/>
  <c r="I86" i="1"/>
  <c r="J86" i="1"/>
  <c r="I87" i="1"/>
  <c r="K87" i="1" s="1"/>
  <c r="J87" i="1"/>
  <c r="I88" i="1"/>
  <c r="J88" i="1"/>
  <c r="I89" i="1"/>
  <c r="J89" i="1"/>
  <c r="I90" i="1"/>
  <c r="J90" i="1"/>
  <c r="K90" i="1" s="1"/>
  <c r="D90" i="1" s="1"/>
  <c r="I91" i="1"/>
  <c r="J91" i="1"/>
  <c r="K91" i="1"/>
  <c r="I92" i="1"/>
  <c r="J92" i="1"/>
  <c r="I93" i="1"/>
  <c r="J93" i="1"/>
  <c r="I94" i="1"/>
  <c r="J94" i="1"/>
  <c r="K94" i="1" s="1"/>
  <c r="I95" i="1"/>
  <c r="J95" i="1"/>
  <c r="K95" i="1" s="1"/>
  <c r="D95" i="1" s="1"/>
  <c r="I96" i="1"/>
  <c r="K96" i="1" s="1"/>
  <c r="D96" i="1" s="1"/>
  <c r="J96" i="1"/>
  <c r="I97" i="1"/>
  <c r="K97" i="1" s="1"/>
  <c r="D97" i="1" s="1"/>
  <c r="J97" i="1"/>
  <c r="I98" i="1"/>
  <c r="K98" i="1" s="1"/>
  <c r="D98" i="1" s="1"/>
  <c r="J98" i="1"/>
  <c r="I99" i="1"/>
  <c r="J99" i="1"/>
  <c r="I100" i="1"/>
  <c r="J100" i="1"/>
  <c r="I101" i="1"/>
  <c r="J101" i="1"/>
  <c r="I102" i="1"/>
  <c r="J102" i="1"/>
  <c r="K102" i="1" s="1"/>
  <c r="I103" i="1"/>
  <c r="K103" i="1" s="1"/>
  <c r="D103" i="1" s="1"/>
  <c r="J103" i="1"/>
  <c r="I104" i="1"/>
  <c r="K104" i="1" s="1"/>
  <c r="J104" i="1"/>
  <c r="I105" i="1"/>
  <c r="J105" i="1"/>
  <c r="I106" i="1"/>
  <c r="K106" i="1" s="1"/>
  <c r="D106" i="1" s="1"/>
  <c r="J106" i="1"/>
  <c r="I107" i="1"/>
  <c r="K107" i="1" s="1"/>
  <c r="D107" i="1" s="1"/>
  <c r="J107" i="1"/>
  <c r="I108" i="1"/>
  <c r="J108" i="1"/>
  <c r="I109" i="1"/>
  <c r="J109" i="1"/>
  <c r="I110" i="1"/>
  <c r="J110" i="1"/>
  <c r="K110" i="1" s="1"/>
  <c r="D110" i="1" s="1"/>
  <c r="I111" i="1"/>
  <c r="J111" i="1"/>
  <c r="I112" i="1"/>
  <c r="J112" i="1"/>
  <c r="I113" i="1"/>
  <c r="J113" i="1"/>
  <c r="I114" i="1"/>
  <c r="J114" i="1"/>
  <c r="I115" i="1"/>
  <c r="J115" i="1"/>
  <c r="K115" i="1"/>
  <c r="I116" i="1"/>
  <c r="K116" i="1" s="1"/>
  <c r="J116" i="1"/>
  <c r="I117" i="1"/>
  <c r="J117" i="1"/>
  <c r="I118" i="1"/>
  <c r="J118" i="1"/>
  <c r="I119" i="1"/>
  <c r="J119" i="1"/>
  <c r="I120" i="1"/>
  <c r="J120" i="1"/>
  <c r="I121" i="1"/>
  <c r="J121" i="1"/>
  <c r="I122" i="1"/>
  <c r="J122" i="1"/>
  <c r="K122" i="1"/>
  <c r="I123" i="1"/>
  <c r="J123" i="1"/>
  <c r="K123" i="1"/>
  <c r="I124" i="1"/>
  <c r="K124" i="1" s="1"/>
  <c r="J124" i="1"/>
  <c r="I125" i="1"/>
  <c r="J125" i="1"/>
  <c r="I126" i="1"/>
  <c r="J126" i="1"/>
  <c r="I127" i="1"/>
  <c r="J127" i="1"/>
  <c r="K127" i="1"/>
  <c r="I128" i="1"/>
  <c r="K128" i="1" s="1"/>
  <c r="J128" i="1"/>
  <c r="I129" i="1"/>
  <c r="J129" i="1"/>
  <c r="I130" i="1"/>
  <c r="J130" i="1"/>
  <c r="K130" i="1"/>
  <c r="D130" i="1" s="1"/>
  <c r="I131" i="1"/>
  <c r="K131" i="1" s="1"/>
  <c r="J131" i="1"/>
  <c r="I132" i="1"/>
  <c r="K132" i="1" s="1"/>
  <c r="D132" i="1" s="1"/>
  <c r="J132" i="1"/>
  <c r="I133" i="1"/>
  <c r="J133" i="1"/>
  <c r="I134" i="1"/>
  <c r="J134" i="1"/>
  <c r="I135" i="1"/>
  <c r="J135" i="1"/>
  <c r="K135" i="1"/>
  <c r="D135" i="1" s="1"/>
  <c r="I136" i="1"/>
  <c r="J136" i="1"/>
  <c r="I137" i="1"/>
  <c r="J137" i="1"/>
  <c r="I138" i="1"/>
  <c r="J138" i="1"/>
  <c r="I139" i="1"/>
  <c r="J139" i="1"/>
  <c r="K139" i="1" s="1"/>
  <c r="I140" i="1"/>
  <c r="J140" i="1"/>
  <c r="I141" i="1"/>
  <c r="J141" i="1"/>
  <c r="I142" i="1"/>
  <c r="J142" i="1"/>
  <c r="K142" i="1" s="1"/>
  <c r="D142" i="1" s="1"/>
  <c r="I143" i="1"/>
  <c r="K143" i="1" s="1"/>
  <c r="D143" i="1" s="1"/>
  <c r="J143" i="1"/>
  <c r="I144" i="1"/>
  <c r="K144" i="1" s="1"/>
  <c r="D144" i="1" s="1"/>
  <c r="J144" i="1"/>
  <c r="I145" i="1"/>
  <c r="J145" i="1"/>
  <c r="I146" i="1"/>
  <c r="K146" i="1" s="1"/>
  <c r="D146" i="1" s="1"/>
  <c r="J146" i="1"/>
  <c r="I147" i="1"/>
  <c r="J147" i="1"/>
  <c r="K147" i="1" s="1"/>
  <c r="D147" i="1" s="1"/>
  <c r="I148" i="1"/>
  <c r="K148" i="1" s="1"/>
  <c r="J148" i="1"/>
  <c r="I149" i="1"/>
  <c r="J149" i="1"/>
  <c r="I150" i="1"/>
  <c r="J150" i="1"/>
  <c r="I151" i="1"/>
  <c r="K151" i="1" s="1"/>
  <c r="D151" i="1" s="1"/>
  <c r="J151" i="1"/>
  <c r="I152" i="1"/>
  <c r="J152" i="1"/>
  <c r="I153" i="1"/>
  <c r="J153" i="1"/>
  <c r="I154" i="1"/>
  <c r="J154" i="1"/>
  <c r="K154" i="1" s="1"/>
  <c r="I155" i="1"/>
  <c r="K155" i="1" s="1"/>
  <c r="D155" i="1" s="1"/>
  <c r="J155" i="1"/>
  <c r="I156" i="1"/>
  <c r="J156" i="1"/>
  <c r="I157" i="1"/>
  <c r="J157" i="1"/>
  <c r="I158" i="1"/>
  <c r="J158" i="1"/>
  <c r="K158" i="1" s="1"/>
  <c r="D158" i="1" s="1"/>
  <c r="I159" i="1"/>
  <c r="J159" i="1"/>
  <c r="K159" i="1" s="1"/>
  <c r="I160" i="1"/>
  <c r="K160" i="1" s="1"/>
  <c r="D160" i="1" s="1"/>
  <c r="J160" i="1"/>
  <c r="I161" i="1"/>
  <c r="K161" i="1" s="1"/>
  <c r="D161" i="1" s="1"/>
  <c r="J161" i="1"/>
  <c r="I162" i="1"/>
  <c r="K162" i="1" s="1"/>
  <c r="D162" i="1" s="1"/>
  <c r="J162" i="1"/>
  <c r="I163" i="1"/>
  <c r="J163" i="1"/>
  <c r="I164" i="1"/>
  <c r="J164" i="1"/>
  <c r="I165" i="1"/>
  <c r="J165" i="1"/>
  <c r="I166" i="1"/>
  <c r="J166" i="1"/>
  <c r="K166" i="1" s="1"/>
  <c r="I167" i="1"/>
  <c r="J167" i="1"/>
  <c r="K167" i="1"/>
  <c r="D167" i="1" s="1"/>
  <c r="I168" i="1"/>
  <c r="K168" i="1" s="1"/>
  <c r="J168" i="1"/>
  <c r="I169" i="1"/>
  <c r="J169" i="1"/>
  <c r="I170" i="1"/>
  <c r="K170" i="1" s="1"/>
  <c r="D170" i="1" s="1"/>
  <c r="J170" i="1"/>
  <c r="I171" i="1"/>
  <c r="K171" i="1" s="1"/>
  <c r="J171" i="1"/>
  <c r="I172" i="1"/>
  <c r="J172" i="1"/>
  <c r="I173" i="1"/>
  <c r="J173" i="1"/>
  <c r="I174" i="1"/>
  <c r="J174" i="1"/>
  <c r="K174" i="1" s="1"/>
  <c r="D174" i="1" s="1"/>
  <c r="I175" i="1"/>
  <c r="J175" i="1"/>
  <c r="I176" i="1"/>
  <c r="J176" i="1"/>
  <c r="I177" i="1"/>
  <c r="J177" i="1"/>
  <c r="I178" i="1"/>
  <c r="J178" i="1"/>
  <c r="K178" i="1" s="1"/>
  <c r="I179" i="1"/>
  <c r="J179" i="1"/>
  <c r="K179" i="1"/>
  <c r="I180" i="1"/>
  <c r="K180" i="1" s="1"/>
  <c r="J180" i="1"/>
  <c r="I181" i="1"/>
  <c r="J181" i="1"/>
  <c r="I182" i="1"/>
  <c r="J182" i="1"/>
  <c r="I183" i="1"/>
  <c r="J183" i="1"/>
  <c r="K183" i="1" s="1"/>
  <c r="I184" i="1"/>
  <c r="J184" i="1"/>
  <c r="I185" i="1"/>
  <c r="J185" i="1"/>
  <c r="I186" i="1"/>
  <c r="J186" i="1"/>
  <c r="K186" i="1"/>
  <c r="I187" i="1"/>
  <c r="K187" i="1" s="1"/>
  <c r="J187" i="1"/>
  <c r="I188" i="1"/>
  <c r="K188" i="1" s="1"/>
  <c r="D188" i="1" s="1"/>
  <c r="J188" i="1"/>
  <c r="I189" i="1"/>
  <c r="J189" i="1"/>
  <c r="I190" i="1"/>
  <c r="J190" i="1"/>
  <c r="I191" i="1"/>
  <c r="J191" i="1"/>
  <c r="K191" i="1"/>
  <c r="D191" i="1" s="1"/>
  <c r="I192" i="1"/>
  <c r="K192" i="1" s="1"/>
  <c r="J192" i="1"/>
  <c r="I193" i="1"/>
  <c r="J193" i="1"/>
  <c r="I194" i="1"/>
  <c r="K194" i="1" s="1"/>
  <c r="D194" i="1" s="1"/>
  <c r="J194" i="1"/>
  <c r="I195" i="1"/>
  <c r="K195" i="1" s="1"/>
  <c r="J195" i="1"/>
  <c r="I196" i="1"/>
  <c r="K196" i="1" s="1"/>
  <c r="D196" i="1" s="1"/>
  <c r="J196" i="1"/>
  <c r="I197" i="1"/>
  <c r="J197" i="1"/>
  <c r="I198" i="1"/>
  <c r="J198" i="1"/>
  <c r="I199" i="1"/>
  <c r="K199" i="1" s="1"/>
  <c r="D199" i="1" s="1"/>
  <c r="J199" i="1"/>
  <c r="I200" i="1"/>
  <c r="J200" i="1"/>
  <c r="I201" i="1"/>
  <c r="J201" i="1"/>
  <c r="I202" i="1"/>
  <c r="J202" i="1"/>
  <c r="I203" i="1"/>
  <c r="K203" i="1" s="1"/>
  <c r="J203" i="1"/>
  <c r="I204" i="1"/>
  <c r="J204" i="1"/>
  <c r="I205" i="1"/>
  <c r="J205" i="1"/>
  <c r="I206" i="1"/>
  <c r="J206" i="1"/>
  <c r="K206" i="1" s="1"/>
  <c r="D206" i="1" s="1"/>
  <c r="I207" i="1"/>
  <c r="K207" i="1" s="1"/>
  <c r="D207" i="1" s="1"/>
  <c r="J207" i="1"/>
  <c r="I208" i="1"/>
  <c r="K208" i="1" s="1"/>
  <c r="J208" i="1"/>
  <c r="I209" i="1"/>
  <c r="J209" i="1"/>
  <c r="I210" i="1"/>
  <c r="J210" i="1"/>
  <c r="K210" i="1"/>
  <c r="I211" i="1"/>
  <c r="J211" i="1"/>
  <c r="K211" i="1" s="1"/>
  <c r="I212" i="1"/>
  <c r="K212" i="1" s="1"/>
  <c r="D212" i="1" s="1"/>
  <c r="J212" i="1"/>
  <c r="I213" i="1"/>
  <c r="J213" i="1"/>
  <c r="I214" i="1"/>
  <c r="J214" i="1"/>
  <c r="I215" i="1"/>
  <c r="J215" i="1"/>
  <c r="K215" i="1"/>
  <c r="I216" i="1"/>
  <c r="J216" i="1"/>
  <c r="I217" i="1"/>
  <c r="J217" i="1"/>
  <c r="I218" i="1"/>
  <c r="J218" i="1"/>
  <c r="K218" i="1" s="1"/>
  <c r="I219" i="1"/>
  <c r="J219" i="1"/>
  <c r="K219" i="1"/>
  <c r="D219" i="1" s="1"/>
  <c r="I220" i="1"/>
  <c r="J220" i="1"/>
  <c r="I221" i="1"/>
  <c r="J221" i="1"/>
  <c r="I222" i="1"/>
  <c r="J222" i="1"/>
  <c r="K222" i="1" s="1"/>
  <c r="I223" i="1"/>
  <c r="J223" i="1"/>
  <c r="K223" i="1" s="1"/>
  <c r="D223" i="1" s="1"/>
  <c r="I224" i="1"/>
  <c r="K224" i="1" s="1"/>
  <c r="J224" i="1"/>
  <c r="I225" i="1"/>
  <c r="K225" i="1" s="1"/>
  <c r="D225" i="1" s="1"/>
  <c r="J225" i="1"/>
  <c r="I226" i="1"/>
  <c r="J226" i="1"/>
  <c r="K226" i="1"/>
  <c r="D226" i="1" s="1"/>
  <c r="I227" i="1"/>
  <c r="J227" i="1"/>
  <c r="I228" i="1"/>
  <c r="J228" i="1"/>
  <c r="I229" i="1"/>
  <c r="J229" i="1"/>
  <c r="I230" i="1"/>
  <c r="J230" i="1"/>
  <c r="K230" i="1" s="1"/>
  <c r="I231" i="1"/>
  <c r="K231" i="1" s="1"/>
  <c r="D231" i="1" s="1"/>
  <c r="J231" i="1"/>
  <c r="I232" i="1"/>
  <c r="K232" i="1" s="1"/>
  <c r="J232" i="1"/>
  <c r="I233" i="1"/>
  <c r="J233" i="1"/>
  <c r="I234" i="1"/>
  <c r="K234" i="1" s="1"/>
  <c r="D234" i="1" s="1"/>
  <c r="J234" i="1"/>
  <c r="I235" i="1"/>
  <c r="K235" i="1" s="1"/>
  <c r="D235" i="1" s="1"/>
  <c r="J235" i="1"/>
  <c r="I236" i="1"/>
  <c r="J236" i="1"/>
  <c r="I237" i="1"/>
  <c r="J237" i="1"/>
  <c r="I238" i="1"/>
  <c r="J238" i="1"/>
  <c r="K238" i="1" s="1"/>
  <c r="D238" i="1" s="1"/>
  <c r="I239" i="1"/>
  <c r="J239" i="1"/>
  <c r="I240" i="1"/>
  <c r="J240" i="1"/>
  <c r="I241" i="1"/>
  <c r="J241" i="1"/>
  <c r="I242" i="1"/>
  <c r="J242" i="1"/>
  <c r="I243" i="1"/>
  <c r="J243" i="1"/>
  <c r="K243" i="1"/>
  <c r="D243" i="1" s="1"/>
  <c r="I244" i="1"/>
  <c r="K244" i="1" s="1"/>
  <c r="J244" i="1"/>
  <c r="I245" i="1"/>
  <c r="J245" i="1"/>
  <c r="I246" i="1"/>
  <c r="J246" i="1"/>
  <c r="I247" i="1"/>
  <c r="J247" i="1"/>
  <c r="I248" i="1"/>
  <c r="J248" i="1"/>
  <c r="I249" i="1"/>
  <c r="J249" i="1"/>
  <c r="I250" i="1"/>
  <c r="J250" i="1"/>
  <c r="K250" i="1" s="1"/>
  <c r="D250" i="1" s="1"/>
  <c r="I251" i="1"/>
  <c r="K251" i="1" s="1"/>
  <c r="J251" i="1"/>
  <c r="I252" i="1"/>
  <c r="K252" i="1" s="1"/>
  <c r="D252" i="1" s="1"/>
  <c r="J252" i="1"/>
  <c r="I253" i="1"/>
  <c r="J253" i="1"/>
  <c r="I254" i="1"/>
  <c r="J254" i="1"/>
  <c r="I255" i="1"/>
  <c r="J255" i="1"/>
  <c r="K255" i="1"/>
  <c r="D255" i="1" s="1"/>
  <c r="I256" i="1"/>
  <c r="J256" i="1"/>
  <c r="I257" i="1"/>
  <c r="J257" i="1"/>
  <c r="I258" i="1"/>
  <c r="J258" i="1"/>
  <c r="I259" i="1"/>
  <c r="J259" i="1"/>
  <c r="K259" i="1" s="1"/>
  <c r="I260" i="1"/>
  <c r="J260" i="1"/>
  <c r="I261" i="1"/>
  <c r="J261" i="1"/>
  <c r="I262" i="1"/>
  <c r="J262" i="1"/>
  <c r="K262" i="1" s="1"/>
  <c r="I263" i="1"/>
  <c r="K263" i="1" s="1"/>
  <c r="D263" i="1" s="1"/>
  <c r="J263" i="1"/>
  <c r="I264" i="1"/>
  <c r="K264" i="1" s="1"/>
  <c r="J264" i="1"/>
  <c r="I265" i="1"/>
  <c r="J265" i="1"/>
  <c r="I266" i="1"/>
  <c r="J266" i="1"/>
  <c r="K266" i="1"/>
  <c r="D266" i="1" s="1"/>
  <c r="I267" i="1"/>
  <c r="J267" i="1"/>
  <c r="K267" i="1" s="1"/>
  <c r="I268" i="1"/>
  <c r="K268" i="1" s="1"/>
  <c r="J268" i="1"/>
  <c r="I269" i="1"/>
  <c r="J269" i="1"/>
  <c r="I270" i="1"/>
  <c r="J270" i="1"/>
  <c r="I271" i="1"/>
  <c r="K271" i="1" s="1"/>
  <c r="J271" i="1"/>
  <c r="I272" i="1"/>
  <c r="J272" i="1"/>
  <c r="I273" i="1"/>
  <c r="J273" i="1"/>
  <c r="I274" i="1"/>
  <c r="J274" i="1"/>
  <c r="K274" i="1" s="1"/>
  <c r="D274" i="1" s="1"/>
  <c r="I275" i="1"/>
  <c r="J275" i="1"/>
  <c r="K275" i="1"/>
  <c r="I276" i="1"/>
  <c r="J276" i="1"/>
  <c r="I277" i="1"/>
  <c r="J277" i="1"/>
  <c r="I278" i="1"/>
  <c r="J278" i="1"/>
  <c r="K278" i="1" s="1"/>
  <c r="D278" i="1" s="1"/>
  <c r="I279" i="1"/>
  <c r="J279" i="1"/>
  <c r="K279" i="1" s="1"/>
  <c r="D279" i="1" s="1"/>
  <c r="I280" i="1"/>
  <c r="K280" i="1" s="1"/>
  <c r="D280" i="1" s="1"/>
  <c r="J280" i="1"/>
  <c r="I281" i="1"/>
  <c r="J281" i="1"/>
  <c r="I282" i="1"/>
  <c r="J282" i="1"/>
  <c r="I283" i="1"/>
  <c r="J283" i="1"/>
  <c r="K283" i="1"/>
  <c r="I284" i="1"/>
  <c r="J284" i="1"/>
  <c r="I285" i="1"/>
  <c r="J285" i="1"/>
  <c r="I286" i="1"/>
  <c r="J286" i="1"/>
  <c r="K286" i="1" s="1"/>
  <c r="I287" i="1"/>
  <c r="J287" i="1"/>
  <c r="I288" i="1"/>
  <c r="J288" i="1"/>
  <c r="I289" i="1"/>
  <c r="K289" i="1" s="1"/>
  <c r="J289" i="1"/>
  <c r="I290" i="1"/>
  <c r="J290" i="1"/>
  <c r="I291" i="1"/>
  <c r="J291" i="1"/>
  <c r="K291" i="1"/>
  <c r="I292" i="1"/>
  <c r="K292" i="1" s="1"/>
  <c r="J292" i="1"/>
  <c r="I293" i="1"/>
  <c r="J293" i="1"/>
  <c r="I294" i="1"/>
  <c r="J294" i="1"/>
  <c r="I295" i="1"/>
  <c r="K295" i="1" s="1"/>
  <c r="D295" i="1" s="1"/>
  <c r="J295" i="1"/>
  <c r="I296" i="1"/>
  <c r="J296" i="1"/>
  <c r="I297" i="1"/>
  <c r="J297" i="1"/>
  <c r="I298" i="1"/>
  <c r="J298" i="1"/>
  <c r="K298" i="1"/>
  <c r="D298" i="1" s="1"/>
  <c r="I299" i="1"/>
  <c r="J299" i="1"/>
  <c r="K299" i="1"/>
  <c r="I300" i="1"/>
  <c r="K300" i="1" s="1"/>
  <c r="D300" i="1" s="1"/>
  <c r="J300" i="1"/>
  <c r="I301" i="1"/>
  <c r="J301" i="1"/>
  <c r="I302" i="1"/>
  <c r="J302" i="1"/>
  <c r="I303" i="1"/>
  <c r="J303" i="1"/>
  <c r="K303" i="1"/>
  <c r="I304" i="1"/>
  <c r="K304" i="1" s="1"/>
  <c r="J304" i="1"/>
  <c r="I305" i="1"/>
  <c r="J305" i="1"/>
  <c r="I306" i="1"/>
  <c r="J306" i="1"/>
  <c r="K306" i="1"/>
  <c r="I307" i="1"/>
  <c r="K307" i="1" s="1"/>
  <c r="D307" i="1" s="1"/>
  <c r="J307" i="1"/>
  <c r="I308" i="1"/>
  <c r="K308" i="1" s="1"/>
  <c r="J308" i="1"/>
  <c r="I309" i="1"/>
  <c r="J309" i="1"/>
  <c r="I310" i="1"/>
  <c r="J310" i="1"/>
  <c r="I311" i="1"/>
  <c r="K311" i="1" s="1"/>
  <c r="D311" i="1" s="1"/>
  <c r="J311" i="1"/>
  <c r="I312" i="1"/>
  <c r="J312" i="1"/>
  <c r="I313" i="1"/>
  <c r="J313" i="1"/>
  <c r="I314" i="1"/>
  <c r="J314" i="1"/>
  <c r="K314" i="1" s="1"/>
  <c r="D314" i="1" s="1"/>
  <c r="I315" i="1"/>
  <c r="J315" i="1"/>
  <c r="K315" i="1" s="1"/>
  <c r="I316" i="1"/>
  <c r="K316" i="1" s="1"/>
  <c r="D316" i="1" s="1"/>
  <c r="J316" i="1"/>
  <c r="I317" i="1"/>
  <c r="J317" i="1"/>
  <c r="I318" i="1"/>
  <c r="J318" i="1"/>
  <c r="I319" i="1"/>
  <c r="J319" i="1"/>
  <c r="K319" i="1"/>
  <c r="D319" i="1" s="1"/>
  <c r="I320" i="1"/>
  <c r="J320" i="1"/>
  <c r="I321" i="1"/>
  <c r="J321" i="1"/>
  <c r="I322" i="1"/>
  <c r="J322" i="1"/>
  <c r="K322" i="1" s="1"/>
  <c r="D322" i="1" s="1"/>
  <c r="I323" i="1"/>
  <c r="J323" i="1"/>
  <c r="I324" i="1"/>
  <c r="J324" i="1"/>
  <c r="I325" i="1"/>
  <c r="J325" i="1"/>
  <c r="I326" i="1"/>
  <c r="J326" i="1"/>
  <c r="K326" i="1" s="1"/>
  <c r="I327" i="1"/>
  <c r="K327" i="1" s="1"/>
  <c r="J327" i="1"/>
  <c r="I328" i="1"/>
  <c r="K328" i="1" s="1"/>
  <c r="J328" i="1"/>
  <c r="I329" i="1"/>
  <c r="J329" i="1"/>
  <c r="I330" i="1"/>
  <c r="K330" i="1" s="1"/>
  <c r="D330" i="1" s="1"/>
  <c r="J330" i="1"/>
  <c r="I331" i="1"/>
  <c r="J331" i="1"/>
  <c r="K331" i="1"/>
  <c r="D331" i="1" s="1"/>
  <c r="I332" i="1"/>
  <c r="J332" i="1"/>
  <c r="I333" i="1"/>
  <c r="J333" i="1"/>
  <c r="I334" i="1"/>
  <c r="J334" i="1"/>
  <c r="K334" i="1" s="1"/>
  <c r="D334" i="1" s="1"/>
  <c r="I335" i="1"/>
  <c r="J335" i="1"/>
  <c r="I336" i="1"/>
  <c r="J336" i="1"/>
  <c r="I337" i="1"/>
  <c r="J337" i="1"/>
  <c r="I338" i="1"/>
  <c r="J338" i="1"/>
  <c r="I339" i="1"/>
  <c r="J339" i="1"/>
  <c r="K339" i="1"/>
  <c r="I340" i="1"/>
  <c r="K340" i="1" s="1"/>
  <c r="J340" i="1"/>
  <c r="I341" i="1"/>
  <c r="J341" i="1"/>
  <c r="I342" i="1"/>
  <c r="J342" i="1"/>
  <c r="I343" i="1"/>
  <c r="K343" i="1" s="1"/>
  <c r="J343" i="1"/>
  <c r="I344" i="1"/>
  <c r="J344" i="1"/>
  <c r="I345" i="1"/>
  <c r="J345" i="1"/>
  <c r="I346" i="1"/>
  <c r="J346" i="1"/>
  <c r="K346" i="1" s="1"/>
  <c r="D346" i="1" s="1"/>
  <c r="I347" i="1"/>
  <c r="K347" i="1" s="1"/>
  <c r="D347" i="1" s="1"/>
  <c r="J347" i="1"/>
  <c r="I348" i="1"/>
  <c r="J348" i="1"/>
  <c r="I349" i="1"/>
  <c r="J349" i="1"/>
  <c r="I350" i="1"/>
  <c r="J350" i="1"/>
  <c r="K350" i="1"/>
  <c r="D350" i="1" s="1"/>
  <c r="I351" i="1"/>
  <c r="J351" i="1"/>
  <c r="K351" i="1" s="1"/>
  <c r="I352" i="1"/>
  <c r="K352" i="1" s="1"/>
  <c r="D352" i="1" s="1"/>
  <c r="J352" i="1"/>
  <c r="I353" i="1"/>
  <c r="J353" i="1"/>
  <c r="K353" i="1"/>
  <c r="D353" i="1" s="1"/>
  <c r="I354" i="1"/>
  <c r="J354" i="1"/>
  <c r="K354" i="1" s="1"/>
  <c r="D354" i="1" s="1"/>
  <c r="I355" i="1"/>
  <c r="K355" i="1" s="1"/>
  <c r="D355" i="1" s="1"/>
  <c r="J355" i="1"/>
  <c r="I356" i="1"/>
  <c r="J356" i="1"/>
  <c r="I357" i="1"/>
  <c r="J357" i="1"/>
  <c r="K357" i="1"/>
  <c r="I358" i="1"/>
  <c r="J358" i="1"/>
  <c r="I359" i="1"/>
  <c r="J359" i="1"/>
  <c r="I360" i="1"/>
  <c r="J360" i="1"/>
  <c r="I361" i="1"/>
  <c r="J361" i="1"/>
  <c r="I362" i="1"/>
  <c r="J362" i="1"/>
  <c r="I363" i="1"/>
  <c r="J363" i="1"/>
  <c r="K363" i="1" s="1"/>
  <c r="D363" i="1" s="1"/>
  <c r="I364" i="1"/>
  <c r="J364" i="1"/>
  <c r="I365" i="1"/>
  <c r="J365" i="1"/>
  <c r="I366" i="1"/>
  <c r="J366" i="1"/>
  <c r="K366" i="1"/>
  <c r="D366" i="1" s="1"/>
  <c r="I367" i="1"/>
  <c r="K367" i="1" s="1"/>
  <c r="J367" i="1"/>
  <c r="I368" i="1"/>
  <c r="K368" i="1" s="1"/>
  <c r="J368" i="1"/>
  <c r="I369" i="1"/>
  <c r="J369" i="1"/>
  <c r="K369" i="1"/>
  <c r="I370" i="1"/>
  <c r="K370" i="1" s="1"/>
  <c r="D370" i="1" s="1"/>
  <c r="J370" i="1"/>
  <c r="I371" i="1"/>
  <c r="K371" i="1" s="1"/>
  <c r="J371" i="1"/>
  <c r="I372" i="1"/>
  <c r="J372" i="1"/>
  <c r="I373" i="1"/>
  <c r="K373" i="1" s="1"/>
  <c r="D373" i="1" s="1"/>
  <c r="J373" i="1"/>
  <c r="I374" i="1"/>
  <c r="K374" i="1" s="1"/>
  <c r="D374" i="1" s="1"/>
  <c r="J374" i="1"/>
  <c r="I375" i="1"/>
  <c r="J375" i="1"/>
  <c r="I376" i="1"/>
  <c r="J376" i="1"/>
  <c r="I377" i="1"/>
  <c r="J377" i="1"/>
  <c r="I378" i="1"/>
  <c r="J378" i="1"/>
  <c r="I379" i="1"/>
  <c r="J379" i="1"/>
  <c r="K379" i="1" s="1"/>
  <c r="I380" i="1"/>
  <c r="K380" i="1" s="1"/>
  <c r="D380" i="1" s="1"/>
  <c r="J380" i="1"/>
  <c r="I381" i="1"/>
  <c r="J381" i="1"/>
  <c r="I382" i="1"/>
  <c r="J382" i="1"/>
  <c r="I383" i="1"/>
  <c r="J383" i="1"/>
  <c r="I384" i="1"/>
  <c r="J384" i="1"/>
  <c r="I385" i="1"/>
  <c r="J385" i="1"/>
  <c r="I386" i="1"/>
  <c r="J386" i="1"/>
  <c r="I387" i="1"/>
  <c r="J387" i="1"/>
  <c r="K387" i="1"/>
  <c r="I388" i="1"/>
  <c r="J388" i="1"/>
  <c r="K388" i="1"/>
  <c r="I389" i="1"/>
  <c r="K389" i="1" s="1"/>
  <c r="J389" i="1"/>
  <c r="I390" i="1"/>
  <c r="J390" i="1"/>
  <c r="I391" i="1"/>
  <c r="K391" i="1" s="1"/>
  <c r="D391" i="1" s="1"/>
  <c r="J391" i="1"/>
  <c r="I392" i="1"/>
  <c r="K392" i="1" s="1"/>
  <c r="D392" i="1" s="1"/>
  <c r="J392" i="1"/>
  <c r="I393" i="1"/>
  <c r="J393" i="1"/>
  <c r="I394" i="1"/>
  <c r="J394" i="1"/>
  <c r="I395" i="1"/>
  <c r="J395" i="1"/>
  <c r="K395" i="1" s="1"/>
  <c r="I396" i="1"/>
  <c r="K396" i="1" s="1"/>
  <c r="D396" i="1" s="1"/>
  <c r="J396" i="1"/>
  <c r="I397" i="1"/>
  <c r="J397" i="1"/>
  <c r="I398" i="1"/>
  <c r="J398" i="1"/>
  <c r="I399" i="1"/>
  <c r="J399" i="1"/>
  <c r="I400" i="1"/>
  <c r="J400" i="1"/>
  <c r="K400" i="1"/>
  <c r="I401" i="1"/>
  <c r="J401" i="1"/>
  <c r="I402" i="1"/>
  <c r="J402" i="1"/>
  <c r="I403" i="1"/>
  <c r="J403" i="1"/>
  <c r="K403" i="1" s="1"/>
  <c r="I404" i="1"/>
  <c r="J404" i="1"/>
  <c r="K404" i="1"/>
  <c r="D404" i="1" s="1"/>
  <c r="I405" i="1"/>
  <c r="J405" i="1"/>
  <c r="I406" i="1"/>
  <c r="J406" i="1"/>
  <c r="I407" i="1"/>
  <c r="J407" i="1"/>
  <c r="I408" i="1"/>
  <c r="K408" i="1" s="1"/>
  <c r="D408" i="1" s="1"/>
  <c r="J408" i="1"/>
  <c r="I409" i="1"/>
  <c r="J409" i="1"/>
  <c r="I410" i="1"/>
  <c r="J410" i="1"/>
  <c r="I411" i="1"/>
  <c r="J411" i="1"/>
  <c r="K411" i="1" s="1"/>
  <c r="D411" i="1" s="1"/>
  <c r="I412" i="1"/>
  <c r="K412" i="1" s="1"/>
  <c r="D412" i="1" s="1"/>
  <c r="J412" i="1"/>
  <c r="I413" i="1"/>
  <c r="J413" i="1"/>
  <c r="I414" i="1"/>
  <c r="J414" i="1"/>
  <c r="I415" i="1"/>
  <c r="J415" i="1"/>
  <c r="I416" i="1"/>
  <c r="J416" i="1"/>
  <c r="K416" i="1"/>
  <c r="I417" i="1"/>
  <c r="J417" i="1"/>
  <c r="I418" i="1"/>
  <c r="J418" i="1"/>
  <c r="I419" i="1"/>
  <c r="J419" i="1"/>
  <c r="K419" i="1" s="1"/>
  <c r="I420" i="1"/>
  <c r="J420" i="1"/>
  <c r="K420" i="1"/>
  <c r="D420" i="1" s="1"/>
  <c r="I421" i="1"/>
  <c r="J421" i="1"/>
  <c r="I422" i="1"/>
  <c r="J422" i="1"/>
  <c r="I423" i="1"/>
  <c r="J423" i="1"/>
  <c r="I424" i="1"/>
  <c r="K424" i="1" s="1"/>
  <c r="D424" i="1" s="1"/>
  <c r="J424" i="1"/>
  <c r="I425" i="1"/>
  <c r="J425" i="1"/>
  <c r="I426" i="1"/>
  <c r="J426" i="1"/>
  <c r="I427" i="1"/>
  <c r="J427" i="1"/>
  <c r="K427" i="1" s="1"/>
  <c r="D427" i="1" s="1"/>
  <c r="I428" i="1"/>
  <c r="K428" i="1" s="1"/>
  <c r="J428" i="1"/>
  <c r="I429" i="1"/>
  <c r="J429" i="1"/>
  <c r="I430" i="1"/>
  <c r="J430" i="1"/>
  <c r="I431" i="1"/>
  <c r="J431" i="1"/>
  <c r="I432" i="1"/>
  <c r="J432" i="1"/>
  <c r="K432" i="1"/>
  <c r="D432" i="1" s="1"/>
  <c r="I433" i="1"/>
  <c r="J433" i="1"/>
  <c r="I434" i="1"/>
  <c r="J434" i="1"/>
  <c r="I435" i="1"/>
  <c r="J435" i="1"/>
  <c r="K435" i="1" s="1"/>
  <c r="I436" i="1"/>
  <c r="J436" i="1"/>
  <c r="K436" i="1"/>
  <c r="I437" i="1"/>
  <c r="J437" i="1"/>
  <c r="I438" i="1"/>
  <c r="J438" i="1"/>
  <c r="I439" i="1"/>
  <c r="J439" i="1"/>
  <c r="I440" i="1"/>
  <c r="K440" i="1" s="1"/>
  <c r="D440" i="1" s="1"/>
  <c r="J440" i="1"/>
  <c r="I441" i="1"/>
  <c r="J441" i="1"/>
  <c r="I442" i="1"/>
  <c r="J442" i="1"/>
  <c r="I443" i="1"/>
  <c r="J443" i="1"/>
  <c r="K443" i="1" s="1"/>
  <c r="I444" i="1"/>
  <c r="K444" i="1" s="1"/>
  <c r="J444" i="1"/>
  <c r="I445" i="1"/>
  <c r="J445" i="1"/>
  <c r="I446" i="1"/>
  <c r="J446" i="1"/>
  <c r="I447" i="1"/>
  <c r="J447" i="1"/>
  <c r="I448" i="1"/>
  <c r="J448" i="1"/>
  <c r="K448" i="1"/>
  <c r="D448" i="1" s="1"/>
  <c r="I449" i="1"/>
  <c r="J449" i="1"/>
  <c r="I450" i="1"/>
  <c r="J450" i="1"/>
  <c r="I451" i="1"/>
  <c r="J451" i="1"/>
  <c r="K451" i="1" s="1"/>
  <c r="I452" i="1"/>
  <c r="J452" i="1"/>
  <c r="K452" i="1"/>
  <c r="I453" i="1"/>
  <c r="J453" i="1"/>
  <c r="I454" i="1"/>
  <c r="J454" i="1"/>
  <c r="I455" i="1"/>
  <c r="J455" i="1"/>
  <c r="I456" i="1"/>
  <c r="K456" i="1" s="1"/>
  <c r="D456" i="1" s="1"/>
  <c r="J456" i="1"/>
  <c r="I457" i="1"/>
  <c r="J457" i="1"/>
  <c r="I458" i="1"/>
  <c r="J458" i="1"/>
  <c r="I459" i="1"/>
  <c r="J459" i="1"/>
  <c r="K459" i="1" s="1"/>
  <c r="I460" i="1"/>
  <c r="K460" i="1" s="1"/>
  <c r="D460" i="1" s="1"/>
  <c r="J460" i="1"/>
  <c r="I461" i="1"/>
  <c r="J461" i="1"/>
  <c r="I462" i="1"/>
  <c r="J462" i="1"/>
  <c r="I463" i="1"/>
  <c r="J463" i="1"/>
  <c r="I464" i="1"/>
  <c r="J464" i="1"/>
  <c r="K464" i="1"/>
  <c r="I465" i="1"/>
  <c r="J465" i="1"/>
  <c r="I466" i="1"/>
  <c r="J466" i="1"/>
  <c r="I467" i="1"/>
  <c r="J467" i="1"/>
  <c r="K467" i="1" s="1"/>
  <c r="I468" i="1"/>
  <c r="J468" i="1"/>
  <c r="K468" i="1"/>
  <c r="D468" i="1" s="1"/>
  <c r="I469" i="1"/>
  <c r="J469" i="1"/>
  <c r="I470" i="1"/>
  <c r="J470" i="1"/>
  <c r="I471" i="1"/>
  <c r="J471" i="1"/>
  <c r="I472" i="1"/>
  <c r="K472" i="1" s="1"/>
  <c r="D472" i="1" s="1"/>
  <c r="J472" i="1"/>
  <c r="I473" i="1"/>
  <c r="J473" i="1"/>
  <c r="I474" i="1"/>
  <c r="J474" i="1"/>
  <c r="I475" i="1"/>
  <c r="J475" i="1"/>
  <c r="K475" i="1" s="1"/>
  <c r="D475" i="1" s="1"/>
  <c r="I476" i="1"/>
  <c r="K476" i="1" s="1"/>
  <c r="D476" i="1" s="1"/>
  <c r="J476" i="1"/>
  <c r="I477" i="1"/>
  <c r="J477" i="1"/>
  <c r="I478" i="1"/>
  <c r="J478" i="1"/>
  <c r="I479" i="1"/>
  <c r="J479" i="1"/>
  <c r="I480" i="1"/>
  <c r="J480" i="1"/>
  <c r="K480" i="1"/>
  <c r="I481" i="1"/>
  <c r="J481" i="1"/>
  <c r="I482" i="1"/>
  <c r="J482" i="1"/>
  <c r="I483" i="1"/>
  <c r="J483" i="1"/>
  <c r="K483" i="1" s="1"/>
  <c r="I484" i="1"/>
  <c r="J484" i="1"/>
  <c r="K484" i="1"/>
  <c r="D484" i="1" s="1"/>
  <c r="I485" i="1"/>
  <c r="J485" i="1"/>
  <c r="I486" i="1"/>
  <c r="J486" i="1"/>
  <c r="I487" i="1"/>
  <c r="J487" i="1"/>
  <c r="I488" i="1"/>
  <c r="K488" i="1" s="1"/>
  <c r="D488" i="1" s="1"/>
  <c r="J488" i="1"/>
  <c r="I489" i="1"/>
  <c r="J489" i="1"/>
  <c r="I490" i="1"/>
  <c r="J490" i="1"/>
  <c r="I491" i="1"/>
  <c r="J491" i="1"/>
  <c r="K491" i="1" s="1"/>
  <c r="D491" i="1" s="1"/>
  <c r="I492" i="1"/>
  <c r="K492" i="1" s="1"/>
  <c r="J492" i="1"/>
  <c r="I493" i="1"/>
  <c r="J493" i="1"/>
  <c r="I494" i="1"/>
  <c r="J494" i="1"/>
  <c r="I495" i="1"/>
  <c r="J495" i="1"/>
  <c r="I496" i="1"/>
  <c r="J496" i="1"/>
  <c r="K496" i="1"/>
  <c r="D496" i="1" s="1"/>
  <c r="I497" i="1"/>
  <c r="J497" i="1"/>
  <c r="I498" i="1"/>
  <c r="J498" i="1"/>
  <c r="I499" i="1"/>
  <c r="J499" i="1"/>
  <c r="K499" i="1" s="1"/>
  <c r="I500" i="1"/>
  <c r="J500" i="1"/>
  <c r="K500" i="1"/>
  <c r="I501" i="1"/>
  <c r="J501" i="1"/>
  <c r="I502" i="1"/>
  <c r="J502" i="1"/>
  <c r="I503" i="1"/>
  <c r="J503" i="1"/>
  <c r="I504" i="1"/>
  <c r="K504" i="1" s="1"/>
  <c r="D504" i="1" s="1"/>
  <c r="J504" i="1"/>
  <c r="I505" i="1"/>
  <c r="J505" i="1"/>
  <c r="I506" i="1"/>
  <c r="J506" i="1"/>
  <c r="I507" i="1"/>
  <c r="J507" i="1"/>
  <c r="K507" i="1" s="1"/>
  <c r="I508" i="1"/>
  <c r="K508" i="1" s="1"/>
  <c r="J508" i="1"/>
  <c r="I509" i="1"/>
  <c r="J509" i="1"/>
  <c r="I510" i="1"/>
  <c r="J510" i="1"/>
  <c r="I511" i="1"/>
  <c r="K511" i="1" s="1"/>
  <c r="D511" i="1" s="1"/>
  <c r="J511" i="1"/>
  <c r="I512" i="1"/>
  <c r="J512" i="1"/>
  <c r="K512" i="1"/>
  <c r="D512" i="1" s="1"/>
  <c r="I513" i="1"/>
  <c r="J513" i="1"/>
  <c r="K513" i="1" s="1"/>
  <c r="I514" i="1"/>
  <c r="K514" i="1" s="1"/>
  <c r="D514" i="1" s="1"/>
  <c r="J514" i="1"/>
  <c r="I515" i="1"/>
  <c r="K515" i="1" s="1"/>
  <c r="D515" i="1" s="1"/>
  <c r="J515" i="1"/>
  <c r="I516" i="1"/>
  <c r="J516" i="1"/>
  <c r="K516" i="1" s="1"/>
  <c r="I517" i="1"/>
  <c r="K517" i="1" s="1"/>
  <c r="D517" i="1" s="1"/>
  <c r="J517" i="1"/>
  <c r="I518" i="1"/>
  <c r="J518" i="1"/>
  <c r="I519" i="1"/>
  <c r="J519" i="1"/>
  <c r="K519" i="1"/>
  <c r="I520" i="1"/>
  <c r="K520" i="1" s="1"/>
  <c r="D520" i="1" s="1"/>
  <c r="J520" i="1"/>
  <c r="I521" i="1"/>
  <c r="K521" i="1" s="1"/>
  <c r="D521" i="1" s="1"/>
  <c r="J521" i="1"/>
  <c r="I522" i="1"/>
  <c r="J522" i="1"/>
  <c r="I523" i="1"/>
  <c r="K523" i="1" s="1"/>
  <c r="D523" i="1" s="1"/>
  <c r="J523" i="1"/>
  <c r="I524" i="1"/>
  <c r="J524" i="1"/>
  <c r="I525" i="1"/>
  <c r="J525" i="1"/>
  <c r="K525" i="1"/>
  <c r="D525" i="1" s="1"/>
  <c r="I526" i="1"/>
  <c r="J526" i="1"/>
  <c r="I527" i="1"/>
  <c r="J527" i="1"/>
  <c r="I528" i="1"/>
  <c r="J528" i="1"/>
  <c r="K528" i="1" s="1"/>
  <c r="I529" i="1"/>
  <c r="K529" i="1" s="1"/>
  <c r="J529" i="1"/>
  <c r="I530" i="1"/>
  <c r="J530" i="1"/>
  <c r="I531" i="1"/>
  <c r="J531" i="1"/>
  <c r="K531" i="1" s="1"/>
  <c r="I532" i="1"/>
  <c r="J532" i="1"/>
  <c r="K532" i="1"/>
  <c r="I533" i="1"/>
  <c r="J533" i="1"/>
  <c r="I534" i="1"/>
  <c r="J534" i="1"/>
  <c r="I535" i="1"/>
  <c r="J535" i="1"/>
  <c r="I536" i="1"/>
  <c r="K536" i="1" s="1"/>
  <c r="D536" i="1" s="1"/>
  <c r="J536" i="1"/>
  <c r="I537" i="1"/>
  <c r="J537" i="1"/>
  <c r="I538" i="1"/>
  <c r="J538" i="1"/>
  <c r="I539" i="1"/>
  <c r="J539" i="1"/>
  <c r="I540" i="1"/>
  <c r="J540" i="1"/>
  <c r="K540" i="1" s="1"/>
  <c r="D540" i="1" s="1"/>
  <c r="I541" i="1"/>
  <c r="J541" i="1"/>
  <c r="K541" i="1" s="1"/>
  <c r="D541" i="1" s="1"/>
  <c r="I542" i="1"/>
  <c r="J542" i="1"/>
  <c r="I543" i="1"/>
  <c r="K543" i="1" s="1"/>
  <c r="D543" i="1" s="1"/>
  <c r="J543" i="1"/>
  <c r="I544" i="1"/>
  <c r="K544" i="1" s="1"/>
  <c r="D544" i="1" s="1"/>
  <c r="J544" i="1"/>
  <c r="I545" i="1"/>
  <c r="J545" i="1"/>
  <c r="I546" i="1"/>
  <c r="K546" i="1" s="1"/>
  <c r="J546" i="1"/>
  <c r="I547" i="1"/>
  <c r="K547" i="1" s="1"/>
  <c r="D547" i="1" s="1"/>
  <c r="J547" i="1"/>
  <c r="I548" i="1"/>
  <c r="J548" i="1"/>
  <c r="I549" i="1"/>
  <c r="K549" i="1" s="1"/>
  <c r="D549" i="1" s="1"/>
  <c r="J549" i="1"/>
  <c r="I550" i="1"/>
  <c r="J550" i="1"/>
  <c r="I551" i="1"/>
  <c r="K551" i="1" s="1"/>
  <c r="D551" i="1" s="1"/>
  <c r="J551" i="1"/>
  <c r="I552" i="1"/>
  <c r="J552" i="1"/>
  <c r="K552" i="1" s="1"/>
  <c r="I553" i="1"/>
  <c r="K553" i="1" s="1"/>
  <c r="D553" i="1" s="1"/>
  <c r="J553" i="1"/>
  <c r="I554" i="1"/>
  <c r="J554" i="1"/>
  <c r="I555" i="1"/>
  <c r="K555" i="1" s="1"/>
  <c r="D555" i="1" s="1"/>
  <c r="J555" i="1"/>
  <c r="I556" i="1"/>
  <c r="J556" i="1"/>
  <c r="I557" i="1"/>
  <c r="J557" i="1"/>
  <c r="K557" i="1"/>
  <c r="D557" i="1" s="1"/>
  <c r="I558" i="1"/>
  <c r="J558" i="1"/>
  <c r="I559" i="1"/>
  <c r="J559" i="1"/>
  <c r="I560" i="1"/>
  <c r="K560" i="1" s="1"/>
  <c r="D560" i="1" s="1"/>
  <c r="J560" i="1"/>
  <c r="I561" i="1"/>
  <c r="J561" i="1"/>
  <c r="K561" i="1"/>
  <c r="D561" i="1" s="1"/>
  <c r="I562" i="1"/>
  <c r="J562" i="1"/>
  <c r="I563" i="1"/>
  <c r="J563" i="1"/>
  <c r="I564" i="1"/>
  <c r="J564" i="1"/>
  <c r="K564" i="1"/>
  <c r="D564" i="1" s="1"/>
  <c r="I565" i="1"/>
  <c r="J565" i="1"/>
  <c r="I566" i="1"/>
  <c r="J566" i="1"/>
  <c r="I567" i="1"/>
  <c r="J567" i="1"/>
  <c r="K567" i="1"/>
  <c r="I568" i="1"/>
  <c r="K568" i="1" s="1"/>
  <c r="D568" i="1" s="1"/>
  <c r="J568" i="1"/>
  <c r="I569" i="1"/>
  <c r="J569" i="1"/>
  <c r="I570" i="1"/>
  <c r="J570" i="1"/>
  <c r="I571" i="1"/>
  <c r="J571" i="1"/>
  <c r="I572" i="1"/>
  <c r="J572" i="1"/>
  <c r="K572" i="1" s="1"/>
  <c r="D572" i="1" s="1"/>
  <c r="I573" i="1"/>
  <c r="J573" i="1"/>
  <c r="I574" i="1"/>
  <c r="J574" i="1"/>
  <c r="I575" i="1"/>
  <c r="K575" i="1" s="1"/>
  <c r="D575" i="1" s="1"/>
  <c r="J575" i="1"/>
  <c r="I576" i="1"/>
  <c r="K576" i="1" s="1"/>
  <c r="D576" i="1" s="1"/>
  <c r="J576" i="1"/>
  <c r="I577" i="1"/>
  <c r="J577" i="1"/>
  <c r="K577" i="1" s="1"/>
  <c r="D577" i="1" s="1"/>
  <c r="I578" i="1"/>
  <c r="K578" i="1" s="1"/>
  <c r="J578" i="1"/>
  <c r="I579" i="1"/>
  <c r="K579" i="1" s="1"/>
  <c r="D579" i="1" s="1"/>
  <c r="J579" i="1"/>
  <c r="I580" i="1"/>
  <c r="J580" i="1"/>
  <c r="I581" i="1"/>
  <c r="J581" i="1"/>
  <c r="I582" i="1"/>
  <c r="J582" i="1"/>
  <c r="I583" i="1"/>
  <c r="J583" i="1"/>
  <c r="I584" i="1"/>
  <c r="J584" i="1"/>
  <c r="I585" i="1"/>
  <c r="J585" i="1"/>
  <c r="I586" i="1"/>
  <c r="J586" i="1"/>
  <c r="I587" i="1"/>
  <c r="J587" i="1"/>
  <c r="I588" i="1"/>
  <c r="J588" i="1"/>
  <c r="K588" i="1" s="1"/>
  <c r="D588" i="1" s="1"/>
  <c r="I591" i="1"/>
  <c r="J591" i="1"/>
  <c r="I592" i="1"/>
  <c r="J592" i="1"/>
  <c r="I593" i="1"/>
  <c r="J593" i="1"/>
  <c r="I594" i="1"/>
  <c r="J594" i="1"/>
  <c r="I595" i="1"/>
  <c r="J595" i="1"/>
  <c r="I596" i="1"/>
  <c r="J596" i="1"/>
  <c r="I597" i="1"/>
  <c r="J597" i="1"/>
  <c r="I598" i="1"/>
  <c r="J598" i="1"/>
  <c r="I599" i="1"/>
  <c r="J599" i="1"/>
  <c r="I600" i="1"/>
  <c r="J600" i="1"/>
  <c r="I601" i="1"/>
  <c r="J601" i="1"/>
  <c r="K601" i="1"/>
  <c r="D601" i="1" s="1"/>
  <c r="A7" i="1"/>
  <c r="B7" i="1"/>
  <c r="C7" i="1"/>
  <c r="E7" i="1"/>
  <c r="F7" i="1"/>
  <c r="G7" i="1"/>
  <c r="A8" i="1"/>
  <c r="B8" i="1"/>
  <c r="C8" i="1"/>
  <c r="E8" i="1"/>
  <c r="F8" i="1"/>
  <c r="G8" i="1"/>
  <c r="A9" i="1"/>
  <c r="B9" i="1"/>
  <c r="C9" i="1"/>
  <c r="E9" i="1"/>
  <c r="F9" i="1"/>
  <c r="G9" i="1"/>
  <c r="A10" i="1"/>
  <c r="B10" i="1"/>
  <c r="C10" i="1"/>
  <c r="E10" i="1"/>
  <c r="F10" i="1"/>
  <c r="G10" i="1"/>
  <c r="A11" i="1"/>
  <c r="B11" i="1"/>
  <c r="C11" i="1"/>
  <c r="D11" i="1"/>
  <c r="E11" i="1"/>
  <c r="F11" i="1"/>
  <c r="G11" i="1"/>
  <c r="A12" i="1"/>
  <c r="B12" i="1"/>
  <c r="C12" i="1"/>
  <c r="E12" i="1"/>
  <c r="F12" i="1"/>
  <c r="G12" i="1"/>
  <c r="A13" i="1"/>
  <c r="B13" i="1"/>
  <c r="C13" i="1"/>
  <c r="D13" i="1"/>
  <c r="E13" i="1"/>
  <c r="F13" i="1"/>
  <c r="G13" i="1"/>
  <c r="A14" i="1"/>
  <c r="B14" i="1"/>
  <c r="C14" i="1"/>
  <c r="E14" i="1"/>
  <c r="F14" i="1"/>
  <c r="G14" i="1"/>
  <c r="A15" i="1"/>
  <c r="B15" i="1"/>
  <c r="C15" i="1"/>
  <c r="E15" i="1"/>
  <c r="F15" i="1"/>
  <c r="G15" i="1"/>
  <c r="A16" i="1"/>
  <c r="B16" i="1"/>
  <c r="C16" i="1"/>
  <c r="D16" i="1"/>
  <c r="E16" i="1"/>
  <c r="F16" i="1"/>
  <c r="G16" i="1"/>
  <c r="A17" i="1"/>
  <c r="B17" i="1"/>
  <c r="C17" i="1"/>
  <c r="E17" i="1"/>
  <c r="F17" i="1"/>
  <c r="G17" i="1"/>
  <c r="A18" i="1"/>
  <c r="B18" i="1"/>
  <c r="C18" i="1"/>
  <c r="E18" i="1"/>
  <c r="F18" i="1"/>
  <c r="G18" i="1"/>
  <c r="A19" i="1"/>
  <c r="B19" i="1"/>
  <c r="C19" i="1"/>
  <c r="D19" i="1"/>
  <c r="E19" i="1"/>
  <c r="F19" i="1"/>
  <c r="G19" i="1"/>
  <c r="A20" i="1"/>
  <c r="B20" i="1"/>
  <c r="C20" i="1"/>
  <c r="E20" i="1"/>
  <c r="F20" i="1"/>
  <c r="G20" i="1"/>
  <c r="A21" i="1"/>
  <c r="B21" i="1"/>
  <c r="C21" i="1"/>
  <c r="D21" i="1"/>
  <c r="E21" i="1"/>
  <c r="F21" i="1"/>
  <c r="G21" i="1"/>
  <c r="A22" i="1"/>
  <c r="B22" i="1"/>
  <c r="C22" i="1"/>
  <c r="E22" i="1"/>
  <c r="F22" i="1"/>
  <c r="G22" i="1"/>
  <c r="A23" i="1"/>
  <c r="B23" i="1"/>
  <c r="C23" i="1"/>
  <c r="E23" i="1"/>
  <c r="F23" i="1"/>
  <c r="G23" i="1"/>
  <c r="A24" i="1"/>
  <c r="B24" i="1"/>
  <c r="C24" i="1"/>
  <c r="E24" i="1"/>
  <c r="F24" i="1"/>
  <c r="G24" i="1"/>
  <c r="A25" i="1"/>
  <c r="B25" i="1"/>
  <c r="C25" i="1"/>
  <c r="E25" i="1"/>
  <c r="F25" i="1"/>
  <c r="G25" i="1"/>
  <c r="A26" i="1"/>
  <c r="B26" i="1"/>
  <c r="C26" i="1"/>
  <c r="D26" i="1"/>
  <c r="E26" i="1"/>
  <c r="F26" i="1"/>
  <c r="G26" i="1"/>
  <c r="A27" i="1"/>
  <c r="B27" i="1"/>
  <c r="C27" i="1"/>
  <c r="E27" i="1"/>
  <c r="F27" i="1"/>
  <c r="G27" i="1"/>
  <c r="A28" i="1"/>
  <c r="B28" i="1"/>
  <c r="C28" i="1"/>
  <c r="E28" i="1"/>
  <c r="F28" i="1"/>
  <c r="G28" i="1"/>
  <c r="A29" i="1"/>
  <c r="B29" i="1"/>
  <c r="C29" i="1"/>
  <c r="E29" i="1"/>
  <c r="F29" i="1"/>
  <c r="G29" i="1"/>
  <c r="A30" i="1"/>
  <c r="B30" i="1"/>
  <c r="C30" i="1"/>
  <c r="D30" i="1"/>
  <c r="E30" i="1"/>
  <c r="F30" i="1"/>
  <c r="G30" i="1"/>
  <c r="A31" i="1"/>
  <c r="B31" i="1"/>
  <c r="C31" i="1"/>
  <c r="D31" i="1"/>
  <c r="E31" i="1"/>
  <c r="F31" i="1"/>
  <c r="G31" i="1"/>
  <c r="A32" i="1"/>
  <c r="B32" i="1"/>
  <c r="C32" i="1"/>
  <c r="D32" i="1"/>
  <c r="E32" i="1"/>
  <c r="F32" i="1"/>
  <c r="G32" i="1"/>
  <c r="A33" i="1"/>
  <c r="B33" i="1"/>
  <c r="C33" i="1"/>
  <c r="E33" i="1"/>
  <c r="F33" i="1"/>
  <c r="G33" i="1"/>
  <c r="A34" i="1"/>
  <c r="B34" i="1"/>
  <c r="C34" i="1"/>
  <c r="E34" i="1"/>
  <c r="F34" i="1"/>
  <c r="G34" i="1"/>
  <c r="A35" i="1"/>
  <c r="B35" i="1"/>
  <c r="C35" i="1"/>
  <c r="E35" i="1"/>
  <c r="F35" i="1"/>
  <c r="G35" i="1"/>
  <c r="A36" i="1"/>
  <c r="B36" i="1"/>
  <c r="C36" i="1"/>
  <c r="E36" i="1"/>
  <c r="F36" i="1"/>
  <c r="G36" i="1"/>
  <c r="A37" i="1"/>
  <c r="B37" i="1"/>
  <c r="C37" i="1"/>
  <c r="D37" i="1"/>
  <c r="E37" i="1"/>
  <c r="F37" i="1"/>
  <c r="G37" i="1"/>
  <c r="A38" i="1"/>
  <c r="B38" i="1"/>
  <c r="C38" i="1"/>
  <c r="D38" i="1"/>
  <c r="E38" i="1"/>
  <c r="F38" i="1"/>
  <c r="G38" i="1"/>
  <c r="A39" i="1"/>
  <c r="B39" i="1"/>
  <c r="C39" i="1"/>
  <c r="E39" i="1"/>
  <c r="F39" i="1"/>
  <c r="G39" i="1"/>
  <c r="A40" i="1"/>
  <c r="B40" i="1"/>
  <c r="C40" i="1"/>
  <c r="E40" i="1"/>
  <c r="F40" i="1"/>
  <c r="G40" i="1"/>
  <c r="A41" i="1"/>
  <c r="B41" i="1"/>
  <c r="C41" i="1"/>
  <c r="E41" i="1"/>
  <c r="F41" i="1"/>
  <c r="G41" i="1"/>
  <c r="A42" i="1"/>
  <c r="B42" i="1"/>
  <c r="C42" i="1"/>
  <c r="E42" i="1"/>
  <c r="F42" i="1"/>
  <c r="G42" i="1"/>
  <c r="A43" i="1"/>
  <c r="B43" i="1"/>
  <c r="C43" i="1"/>
  <c r="D43" i="1"/>
  <c r="E43" i="1"/>
  <c r="F43" i="1"/>
  <c r="G43" i="1"/>
  <c r="A44" i="1"/>
  <c r="B44" i="1"/>
  <c r="C44" i="1"/>
  <c r="E44" i="1"/>
  <c r="F44" i="1"/>
  <c r="G44" i="1"/>
  <c r="A45" i="1"/>
  <c r="B45" i="1"/>
  <c r="C45" i="1"/>
  <c r="E45" i="1"/>
  <c r="F45" i="1"/>
  <c r="G45" i="1"/>
  <c r="A46" i="1"/>
  <c r="B46" i="1"/>
  <c r="C46" i="1"/>
  <c r="E46" i="1"/>
  <c r="F46" i="1"/>
  <c r="G46" i="1"/>
  <c r="A47" i="1"/>
  <c r="B47" i="1"/>
  <c r="C47" i="1"/>
  <c r="E47" i="1"/>
  <c r="F47" i="1"/>
  <c r="G47" i="1"/>
  <c r="A48" i="1"/>
  <c r="B48" i="1"/>
  <c r="C48" i="1"/>
  <c r="E48" i="1"/>
  <c r="F48" i="1"/>
  <c r="G48" i="1"/>
  <c r="A49" i="1"/>
  <c r="B49" i="1"/>
  <c r="C49" i="1"/>
  <c r="E49" i="1"/>
  <c r="F49" i="1"/>
  <c r="G49" i="1"/>
  <c r="A50" i="1"/>
  <c r="B50" i="1"/>
  <c r="C50" i="1"/>
  <c r="D50" i="1"/>
  <c r="E50" i="1"/>
  <c r="F50" i="1"/>
  <c r="G50" i="1"/>
  <c r="A51" i="1"/>
  <c r="B51" i="1"/>
  <c r="C51" i="1"/>
  <c r="D51" i="1"/>
  <c r="E51" i="1"/>
  <c r="F51" i="1"/>
  <c r="G51" i="1"/>
  <c r="A52" i="1"/>
  <c r="B52" i="1"/>
  <c r="C52" i="1"/>
  <c r="D52" i="1"/>
  <c r="E52" i="1"/>
  <c r="F52" i="1"/>
  <c r="G52" i="1"/>
  <c r="A53" i="1"/>
  <c r="B53" i="1"/>
  <c r="C53" i="1"/>
  <c r="E53" i="1"/>
  <c r="F53" i="1"/>
  <c r="G53" i="1"/>
  <c r="A54" i="1"/>
  <c r="B54" i="1"/>
  <c r="C54" i="1"/>
  <c r="E54" i="1"/>
  <c r="F54" i="1"/>
  <c r="G54" i="1"/>
  <c r="A55" i="1"/>
  <c r="B55" i="1"/>
  <c r="C55" i="1"/>
  <c r="D55" i="1"/>
  <c r="E55" i="1"/>
  <c r="F55" i="1"/>
  <c r="G55" i="1"/>
  <c r="A56" i="1"/>
  <c r="B56" i="1"/>
  <c r="C56" i="1"/>
  <c r="E56" i="1"/>
  <c r="F56" i="1"/>
  <c r="G56" i="1"/>
  <c r="A57" i="1"/>
  <c r="B57" i="1"/>
  <c r="C57" i="1"/>
  <c r="E57" i="1"/>
  <c r="F57" i="1"/>
  <c r="G57" i="1"/>
  <c r="A58" i="1"/>
  <c r="B58" i="1"/>
  <c r="C58" i="1"/>
  <c r="E58" i="1"/>
  <c r="F58" i="1"/>
  <c r="G58" i="1"/>
  <c r="A59" i="1"/>
  <c r="B59" i="1"/>
  <c r="C59" i="1"/>
  <c r="D59" i="1"/>
  <c r="E59" i="1"/>
  <c r="F59" i="1"/>
  <c r="G59" i="1"/>
  <c r="A60" i="1"/>
  <c r="B60" i="1"/>
  <c r="C60" i="1"/>
  <c r="E60" i="1"/>
  <c r="F60" i="1"/>
  <c r="G60" i="1"/>
  <c r="A61" i="1"/>
  <c r="B61" i="1"/>
  <c r="C61" i="1"/>
  <c r="E61" i="1"/>
  <c r="F61" i="1"/>
  <c r="G61" i="1"/>
  <c r="A62" i="1"/>
  <c r="B62" i="1"/>
  <c r="C62" i="1"/>
  <c r="E62" i="1"/>
  <c r="F62" i="1"/>
  <c r="G62" i="1"/>
  <c r="A63" i="1"/>
  <c r="B63" i="1"/>
  <c r="C63" i="1"/>
  <c r="E63" i="1"/>
  <c r="F63" i="1"/>
  <c r="G63" i="1"/>
  <c r="A64" i="1"/>
  <c r="B64" i="1"/>
  <c r="C64" i="1"/>
  <c r="D64" i="1"/>
  <c r="E64" i="1"/>
  <c r="F64" i="1"/>
  <c r="G64" i="1"/>
  <c r="A65" i="1"/>
  <c r="B65" i="1"/>
  <c r="C65" i="1"/>
  <c r="E65" i="1"/>
  <c r="F65" i="1"/>
  <c r="G65" i="1"/>
  <c r="A66" i="1"/>
  <c r="B66" i="1"/>
  <c r="C66" i="1"/>
  <c r="E66" i="1"/>
  <c r="F66" i="1"/>
  <c r="G66" i="1"/>
  <c r="A67" i="1"/>
  <c r="B67" i="1"/>
  <c r="C67" i="1"/>
  <c r="D67" i="1"/>
  <c r="E67" i="1"/>
  <c r="F67" i="1"/>
  <c r="G67" i="1"/>
  <c r="A68" i="1"/>
  <c r="B68" i="1"/>
  <c r="C68" i="1"/>
  <c r="E68" i="1"/>
  <c r="F68" i="1"/>
  <c r="G68" i="1"/>
  <c r="A69" i="1"/>
  <c r="B69" i="1"/>
  <c r="C69" i="1"/>
  <c r="E69" i="1"/>
  <c r="F69" i="1"/>
  <c r="G69" i="1"/>
  <c r="A70" i="1"/>
  <c r="B70" i="1"/>
  <c r="C70" i="1"/>
  <c r="E70" i="1"/>
  <c r="F70" i="1"/>
  <c r="G70" i="1"/>
  <c r="A71" i="1"/>
  <c r="B71" i="1"/>
  <c r="C71" i="1"/>
  <c r="E71" i="1"/>
  <c r="F71" i="1"/>
  <c r="G71" i="1"/>
  <c r="A72" i="1"/>
  <c r="B72" i="1"/>
  <c r="C72" i="1"/>
  <c r="E72" i="1"/>
  <c r="F72" i="1"/>
  <c r="G72" i="1"/>
  <c r="A73" i="1"/>
  <c r="B73" i="1"/>
  <c r="C73" i="1"/>
  <c r="E73" i="1"/>
  <c r="F73" i="1"/>
  <c r="G73" i="1"/>
  <c r="A74" i="1"/>
  <c r="B74" i="1"/>
  <c r="C74" i="1"/>
  <c r="E74" i="1"/>
  <c r="F74" i="1"/>
  <c r="G74" i="1"/>
  <c r="A75" i="1"/>
  <c r="B75" i="1"/>
  <c r="C75" i="1"/>
  <c r="E75" i="1"/>
  <c r="F75" i="1"/>
  <c r="G75" i="1"/>
  <c r="A76" i="1"/>
  <c r="B76" i="1"/>
  <c r="C76" i="1"/>
  <c r="E76" i="1"/>
  <c r="F76" i="1"/>
  <c r="G76" i="1"/>
  <c r="A77" i="1"/>
  <c r="B77" i="1"/>
  <c r="C77" i="1"/>
  <c r="E77" i="1"/>
  <c r="F77" i="1"/>
  <c r="G77" i="1"/>
  <c r="A78" i="1"/>
  <c r="B78" i="1"/>
  <c r="C78" i="1"/>
  <c r="E78" i="1"/>
  <c r="F78" i="1"/>
  <c r="G78" i="1"/>
  <c r="A79" i="1"/>
  <c r="B79" i="1"/>
  <c r="C79" i="1"/>
  <c r="E79" i="1"/>
  <c r="F79" i="1"/>
  <c r="G79" i="1"/>
  <c r="A80" i="1"/>
  <c r="B80" i="1"/>
  <c r="C80" i="1"/>
  <c r="D80" i="1"/>
  <c r="E80" i="1"/>
  <c r="F80" i="1"/>
  <c r="G80" i="1"/>
  <c r="A81" i="1"/>
  <c r="B81" i="1"/>
  <c r="C81" i="1"/>
  <c r="E81" i="1"/>
  <c r="F81" i="1"/>
  <c r="G81" i="1"/>
  <c r="A82" i="1"/>
  <c r="B82" i="1"/>
  <c r="C82" i="1"/>
  <c r="D82" i="1"/>
  <c r="E82" i="1"/>
  <c r="F82" i="1"/>
  <c r="G82" i="1"/>
  <c r="A83" i="1"/>
  <c r="B83" i="1"/>
  <c r="C83" i="1"/>
  <c r="D83" i="1"/>
  <c r="E83" i="1"/>
  <c r="F83" i="1"/>
  <c r="G83" i="1"/>
  <c r="A84" i="1"/>
  <c r="B84" i="1"/>
  <c r="C84" i="1"/>
  <c r="D84" i="1"/>
  <c r="E84" i="1"/>
  <c r="F84" i="1"/>
  <c r="G84" i="1"/>
  <c r="A85" i="1"/>
  <c r="B85" i="1"/>
  <c r="C85" i="1"/>
  <c r="E85" i="1"/>
  <c r="F85" i="1"/>
  <c r="G85" i="1"/>
  <c r="A86" i="1"/>
  <c r="B86" i="1"/>
  <c r="C86" i="1"/>
  <c r="E86" i="1"/>
  <c r="F86" i="1"/>
  <c r="G86" i="1"/>
  <c r="A87" i="1"/>
  <c r="B87" i="1"/>
  <c r="C87" i="1"/>
  <c r="D87" i="1"/>
  <c r="E87" i="1"/>
  <c r="F87" i="1"/>
  <c r="G87" i="1"/>
  <c r="A88" i="1"/>
  <c r="B88" i="1"/>
  <c r="C88" i="1"/>
  <c r="E88" i="1"/>
  <c r="F88" i="1"/>
  <c r="G88" i="1"/>
  <c r="A89" i="1"/>
  <c r="B89" i="1"/>
  <c r="C89" i="1"/>
  <c r="E89" i="1"/>
  <c r="F89" i="1"/>
  <c r="G89" i="1"/>
  <c r="A90" i="1"/>
  <c r="B90" i="1"/>
  <c r="C90" i="1"/>
  <c r="E90" i="1"/>
  <c r="F90" i="1"/>
  <c r="G90" i="1"/>
  <c r="A91" i="1"/>
  <c r="B91" i="1"/>
  <c r="C91" i="1"/>
  <c r="D91" i="1"/>
  <c r="E91" i="1"/>
  <c r="F91" i="1"/>
  <c r="G91" i="1"/>
  <c r="A92" i="1"/>
  <c r="B92" i="1"/>
  <c r="C92" i="1"/>
  <c r="E92" i="1"/>
  <c r="F92" i="1"/>
  <c r="G92" i="1"/>
  <c r="A93" i="1"/>
  <c r="B93" i="1"/>
  <c r="C93" i="1"/>
  <c r="E93" i="1"/>
  <c r="F93" i="1"/>
  <c r="G93" i="1"/>
  <c r="A94" i="1"/>
  <c r="B94" i="1"/>
  <c r="C94" i="1"/>
  <c r="D94" i="1"/>
  <c r="E94" i="1"/>
  <c r="F94" i="1"/>
  <c r="G94" i="1"/>
  <c r="A95" i="1"/>
  <c r="B95" i="1"/>
  <c r="C95" i="1"/>
  <c r="E95" i="1"/>
  <c r="F95" i="1"/>
  <c r="G95" i="1"/>
  <c r="A96" i="1"/>
  <c r="B96" i="1"/>
  <c r="C96" i="1"/>
  <c r="E96" i="1"/>
  <c r="F96" i="1"/>
  <c r="G96" i="1"/>
  <c r="A97" i="1"/>
  <c r="B97" i="1"/>
  <c r="C97" i="1"/>
  <c r="E97" i="1"/>
  <c r="F97" i="1"/>
  <c r="G97" i="1"/>
  <c r="A98" i="1"/>
  <c r="B98" i="1"/>
  <c r="C98" i="1"/>
  <c r="E98" i="1"/>
  <c r="F98" i="1"/>
  <c r="G98" i="1"/>
  <c r="A99" i="1"/>
  <c r="B99" i="1"/>
  <c r="C99" i="1"/>
  <c r="E99" i="1"/>
  <c r="F99" i="1"/>
  <c r="G99" i="1"/>
  <c r="A100" i="1"/>
  <c r="B100" i="1"/>
  <c r="C100" i="1"/>
  <c r="E100" i="1"/>
  <c r="F100" i="1"/>
  <c r="G100" i="1"/>
  <c r="A101" i="1"/>
  <c r="B101" i="1"/>
  <c r="C101" i="1"/>
  <c r="E101" i="1"/>
  <c r="F101" i="1"/>
  <c r="G101" i="1"/>
  <c r="A102" i="1"/>
  <c r="B102" i="1"/>
  <c r="C102" i="1"/>
  <c r="D102" i="1"/>
  <c r="E102" i="1"/>
  <c r="F102" i="1"/>
  <c r="G102" i="1"/>
  <c r="A103" i="1"/>
  <c r="B103" i="1"/>
  <c r="C103" i="1"/>
  <c r="E103" i="1"/>
  <c r="F103" i="1"/>
  <c r="G103" i="1"/>
  <c r="A104" i="1"/>
  <c r="B104" i="1"/>
  <c r="C104" i="1"/>
  <c r="D104" i="1"/>
  <c r="E104" i="1"/>
  <c r="F104" i="1"/>
  <c r="G104" i="1"/>
  <c r="A105" i="1"/>
  <c r="B105" i="1"/>
  <c r="C105" i="1"/>
  <c r="E105" i="1"/>
  <c r="F105" i="1"/>
  <c r="G105" i="1"/>
  <c r="A106" i="1"/>
  <c r="B106" i="1"/>
  <c r="C106" i="1"/>
  <c r="E106" i="1"/>
  <c r="F106" i="1"/>
  <c r="G106" i="1"/>
  <c r="A107" i="1"/>
  <c r="B107" i="1"/>
  <c r="C107" i="1"/>
  <c r="E107" i="1"/>
  <c r="F107" i="1"/>
  <c r="G107" i="1"/>
  <c r="A108" i="1"/>
  <c r="B108" i="1"/>
  <c r="C108" i="1"/>
  <c r="E108" i="1"/>
  <c r="F108" i="1"/>
  <c r="G108" i="1"/>
  <c r="A109" i="1"/>
  <c r="B109" i="1"/>
  <c r="C109" i="1"/>
  <c r="E109" i="1"/>
  <c r="F109" i="1"/>
  <c r="G109" i="1"/>
  <c r="A110" i="1"/>
  <c r="B110" i="1"/>
  <c r="C110" i="1"/>
  <c r="E110" i="1"/>
  <c r="F110" i="1"/>
  <c r="G110" i="1"/>
  <c r="A111" i="1"/>
  <c r="B111" i="1"/>
  <c r="C111" i="1"/>
  <c r="E111" i="1"/>
  <c r="F111" i="1"/>
  <c r="G111" i="1"/>
  <c r="A112" i="1"/>
  <c r="B112" i="1"/>
  <c r="C112" i="1"/>
  <c r="E112" i="1"/>
  <c r="F112" i="1"/>
  <c r="G112" i="1"/>
  <c r="A113" i="1"/>
  <c r="B113" i="1"/>
  <c r="C113" i="1"/>
  <c r="E113" i="1"/>
  <c r="F113" i="1"/>
  <c r="G113" i="1"/>
  <c r="A114" i="1"/>
  <c r="B114" i="1"/>
  <c r="C114" i="1"/>
  <c r="E114" i="1"/>
  <c r="F114" i="1"/>
  <c r="G114" i="1"/>
  <c r="A115" i="1"/>
  <c r="B115" i="1"/>
  <c r="C115" i="1"/>
  <c r="D115" i="1"/>
  <c r="E115" i="1"/>
  <c r="F115" i="1"/>
  <c r="G115" i="1"/>
  <c r="A116" i="1"/>
  <c r="B116" i="1"/>
  <c r="C116" i="1"/>
  <c r="D116" i="1"/>
  <c r="E116" i="1"/>
  <c r="F116" i="1"/>
  <c r="G116" i="1"/>
  <c r="A117" i="1"/>
  <c r="B117" i="1"/>
  <c r="C117" i="1"/>
  <c r="E117" i="1"/>
  <c r="F117" i="1"/>
  <c r="G117" i="1"/>
  <c r="A118" i="1"/>
  <c r="B118" i="1"/>
  <c r="C118" i="1"/>
  <c r="E118" i="1"/>
  <c r="F118" i="1"/>
  <c r="G118" i="1"/>
  <c r="A119" i="1"/>
  <c r="B119" i="1"/>
  <c r="C119" i="1"/>
  <c r="E119" i="1"/>
  <c r="F119" i="1"/>
  <c r="G119" i="1"/>
  <c r="A120" i="1"/>
  <c r="B120" i="1"/>
  <c r="C120" i="1"/>
  <c r="E120" i="1"/>
  <c r="F120" i="1"/>
  <c r="G120" i="1"/>
  <c r="A121" i="1"/>
  <c r="B121" i="1"/>
  <c r="C121" i="1"/>
  <c r="E121" i="1"/>
  <c r="F121" i="1"/>
  <c r="G121" i="1"/>
  <c r="A122" i="1"/>
  <c r="B122" i="1"/>
  <c r="C122" i="1"/>
  <c r="D122" i="1"/>
  <c r="E122" i="1"/>
  <c r="F122" i="1"/>
  <c r="G122" i="1"/>
  <c r="A123" i="1"/>
  <c r="B123" i="1"/>
  <c r="C123" i="1"/>
  <c r="D123" i="1"/>
  <c r="E123" i="1"/>
  <c r="F123" i="1"/>
  <c r="G123" i="1"/>
  <c r="A124" i="1"/>
  <c r="B124" i="1"/>
  <c r="C124" i="1"/>
  <c r="D124" i="1"/>
  <c r="E124" i="1"/>
  <c r="F124" i="1"/>
  <c r="G124" i="1"/>
  <c r="A125" i="1"/>
  <c r="B125" i="1"/>
  <c r="C125" i="1"/>
  <c r="E125" i="1"/>
  <c r="F125" i="1"/>
  <c r="G125" i="1"/>
  <c r="A126" i="1"/>
  <c r="B126" i="1"/>
  <c r="C126" i="1"/>
  <c r="E126" i="1"/>
  <c r="F126" i="1"/>
  <c r="G126" i="1"/>
  <c r="A127" i="1"/>
  <c r="B127" i="1"/>
  <c r="C127" i="1"/>
  <c r="D127" i="1"/>
  <c r="E127" i="1"/>
  <c r="F127" i="1"/>
  <c r="G127" i="1"/>
  <c r="A128" i="1"/>
  <c r="B128" i="1"/>
  <c r="C128" i="1"/>
  <c r="D128" i="1"/>
  <c r="E128" i="1"/>
  <c r="F128" i="1"/>
  <c r="G128" i="1"/>
  <c r="A129" i="1"/>
  <c r="B129" i="1"/>
  <c r="C129" i="1"/>
  <c r="E129" i="1"/>
  <c r="F129" i="1"/>
  <c r="G129" i="1"/>
  <c r="A130" i="1"/>
  <c r="B130" i="1"/>
  <c r="C130" i="1"/>
  <c r="E130" i="1"/>
  <c r="F130" i="1"/>
  <c r="G130" i="1"/>
  <c r="A131" i="1"/>
  <c r="B131" i="1"/>
  <c r="C131" i="1"/>
  <c r="D131" i="1"/>
  <c r="E131" i="1"/>
  <c r="F131" i="1"/>
  <c r="G131" i="1"/>
  <c r="A132" i="1"/>
  <c r="B132" i="1"/>
  <c r="C132" i="1"/>
  <c r="E132" i="1"/>
  <c r="F132" i="1"/>
  <c r="G132" i="1"/>
  <c r="A133" i="1"/>
  <c r="B133" i="1"/>
  <c r="C133" i="1"/>
  <c r="E133" i="1"/>
  <c r="F133" i="1"/>
  <c r="G133" i="1"/>
  <c r="A134" i="1"/>
  <c r="B134" i="1"/>
  <c r="C134" i="1"/>
  <c r="E134" i="1"/>
  <c r="F134" i="1"/>
  <c r="G134" i="1"/>
  <c r="A135" i="1"/>
  <c r="B135" i="1"/>
  <c r="C135" i="1"/>
  <c r="E135" i="1"/>
  <c r="F135" i="1"/>
  <c r="G135" i="1"/>
  <c r="A136" i="1"/>
  <c r="B136" i="1"/>
  <c r="C136" i="1"/>
  <c r="E136" i="1"/>
  <c r="F136" i="1"/>
  <c r="G136" i="1"/>
  <c r="A137" i="1"/>
  <c r="B137" i="1"/>
  <c r="C137" i="1"/>
  <c r="E137" i="1"/>
  <c r="F137" i="1"/>
  <c r="G137" i="1"/>
  <c r="A138" i="1"/>
  <c r="B138" i="1"/>
  <c r="C138" i="1"/>
  <c r="E138" i="1"/>
  <c r="F138" i="1"/>
  <c r="G138" i="1"/>
  <c r="A139" i="1"/>
  <c r="B139" i="1"/>
  <c r="C139" i="1"/>
  <c r="D139" i="1"/>
  <c r="E139" i="1"/>
  <c r="F139" i="1"/>
  <c r="G139" i="1"/>
  <c r="A140" i="1"/>
  <c r="B140" i="1"/>
  <c r="C140" i="1"/>
  <c r="E140" i="1"/>
  <c r="F140" i="1"/>
  <c r="G140" i="1"/>
  <c r="A141" i="1"/>
  <c r="B141" i="1"/>
  <c r="C141" i="1"/>
  <c r="E141" i="1"/>
  <c r="F141" i="1"/>
  <c r="G141" i="1"/>
  <c r="A142" i="1"/>
  <c r="B142" i="1"/>
  <c r="C142" i="1"/>
  <c r="E142" i="1"/>
  <c r="F142" i="1"/>
  <c r="G142" i="1"/>
  <c r="A143" i="1"/>
  <c r="B143" i="1"/>
  <c r="C143" i="1"/>
  <c r="E143" i="1"/>
  <c r="F143" i="1"/>
  <c r="G143" i="1"/>
  <c r="A144" i="1"/>
  <c r="B144" i="1"/>
  <c r="C144" i="1"/>
  <c r="E144" i="1"/>
  <c r="F144" i="1"/>
  <c r="G144" i="1"/>
  <c r="A145" i="1"/>
  <c r="B145" i="1"/>
  <c r="C145" i="1"/>
  <c r="E145" i="1"/>
  <c r="F145" i="1"/>
  <c r="G145" i="1"/>
  <c r="A146" i="1"/>
  <c r="B146" i="1"/>
  <c r="C146" i="1"/>
  <c r="E146" i="1"/>
  <c r="F146" i="1"/>
  <c r="G146" i="1"/>
  <c r="A147" i="1"/>
  <c r="B147" i="1"/>
  <c r="C147" i="1"/>
  <c r="E147" i="1"/>
  <c r="F147" i="1"/>
  <c r="G147" i="1"/>
  <c r="A148" i="1"/>
  <c r="B148" i="1"/>
  <c r="C148" i="1"/>
  <c r="D148" i="1"/>
  <c r="E148" i="1"/>
  <c r="F148" i="1"/>
  <c r="G148" i="1"/>
  <c r="A149" i="1"/>
  <c r="B149" i="1"/>
  <c r="C149" i="1"/>
  <c r="E149" i="1"/>
  <c r="F149" i="1"/>
  <c r="G149" i="1"/>
  <c r="A150" i="1"/>
  <c r="B150" i="1"/>
  <c r="C150" i="1"/>
  <c r="E150" i="1"/>
  <c r="F150" i="1"/>
  <c r="G150" i="1"/>
  <c r="A151" i="1"/>
  <c r="B151" i="1"/>
  <c r="C151" i="1"/>
  <c r="E151" i="1"/>
  <c r="F151" i="1"/>
  <c r="G151" i="1"/>
  <c r="A152" i="1"/>
  <c r="B152" i="1"/>
  <c r="C152" i="1"/>
  <c r="E152" i="1"/>
  <c r="F152" i="1"/>
  <c r="G152" i="1"/>
  <c r="A153" i="1"/>
  <c r="B153" i="1"/>
  <c r="C153" i="1"/>
  <c r="E153" i="1"/>
  <c r="F153" i="1"/>
  <c r="G153" i="1"/>
  <c r="A154" i="1"/>
  <c r="B154" i="1"/>
  <c r="C154" i="1"/>
  <c r="D154" i="1"/>
  <c r="E154" i="1"/>
  <c r="F154" i="1"/>
  <c r="G154" i="1"/>
  <c r="A155" i="1"/>
  <c r="B155" i="1"/>
  <c r="C155" i="1"/>
  <c r="E155" i="1"/>
  <c r="F155" i="1"/>
  <c r="G155" i="1"/>
  <c r="A156" i="1"/>
  <c r="B156" i="1"/>
  <c r="C156" i="1"/>
  <c r="E156" i="1"/>
  <c r="F156" i="1"/>
  <c r="G156" i="1"/>
  <c r="A157" i="1"/>
  <c r="B157" i="1"/>
  <c r="C157" i="1"/>
  <c r="E157" i="1"/>
  <c r="F157" i="1"/>
  <c r="G157" i="1"/>
  <c r="A158" i="1"/>
  <c r="B158" i="1"/>
  <c r="C158" i="1"/>
  <c r="E158" i="1"/>
  <c r="F158" i="1"/>
  <c r="G158" i="1"/>
  <c r="A159" i="1"/>
  <c r="B159" i="1"/>
  <c r="C159" i="1"/>
  <c r="D159" i="1"/>
  <c r="E159" i="1"/>
  <c r="F159" i="1"/>
  <c r="G159" i="1"/>
  <c r="A160" i="1"/>
  <c r="B160" i="1"/>
  <c r="C160" i="1"/>
  <c r="E160" i="1"/>
  <c r="F160" i="1"/>
  <c r="G160" i="1"/>
  <c r="A161" i="1"/>
  <c r="B161" i="1"/>
  <c r="C161" i="1"/>
  <c r="E161" i="1"/>
  <c r="F161" i="1"/>
  <c r="G161" i="1"/>
  <c r="A162" i="1"/>
  <c r="B162" i="1"/>
  <c r="C162" i="1"/>
  <c r="E162" i="1"/>
  <c r="F162" i="1"/>
  <c r="G162" i="1"/>
  <c r="A163" i="1"/>
  <c r="B163" i="1"/>
  <c r="C163" i="1"/>
  <c r="E163" i="1"/>
  <c r="F163" i="1"/>
  <c r="G163" i="1"/>
  <c r="A164" i="1"/>
  <c r="B164" i="1"/>
  <c r="C164" i="1"/>
  <c r="E164" i="1"/>
  <c r="F164" i="1"/>
  <c r="G164" i="1"/>
  <c r="A165" i="1"/>
  <c r="B165" i="1"/>
  <c r="C165" i="1"/>
  <c r="E165" i="1"/>
  <c r="F165" i="1"/>
  <c r="G165" i="1"/>
  <c r="A166" i="1"/>
  <c r="B166" i="1"/>
  <c r="C166" i="1"/>
  <c r="D166" i="1"/>
  <c r="E166" i="1"/>
  <c r="F166" i="1"/>
  <c r="G166" i="1"/>
  <c r="A167" i="1"/>
  <c r="B167" i="1"/>
  <c r="C167" i="1"/>
  <c r="E167" i="1"/>
  <c r="F167" i="1"/>
  <c r="G167" i="1"/>
  <c r="A168" i="1"/>
  <c r="B168" i="1"/>
  <c r="C168" i="1"/>
  <c r="D168" i="1"/>
  <c r="E168" i="1"/>
  <c r="F168" i="1"/>
  <c r="G168" i="1"/>
  <c r="A169" i="1"/>
  <c r="B169" i="1"/>
  <c r="C169" i="1"/>
  <c r="E169" i="1"/>
  <c r="F169" i="1"/>
  <c r="G169" i="1"/>
  <c r="A170" i="1"/>
  <c r="B170" i="1"/>
  <c r="C170" i="1"/>
  <c r="E170" i="1"/>
  <c r="F170" i="1"/>
  <c r="G170" i="1"/>
  <c r="A171" i="1"/>
  <c r="B171" i="1"/>
  <c r="C171" i="1"/>
  <c r="D171" i="1"/>
  <c r="E171" i="1"/>
  <c r="F171" i="1"/>
  <c r="G171" i="1"/>
  <c r="A172" i="1"/>
  <c r="B172" i="1"/>
  <c r="C172" i="1"/>
  <c r="E172" i="1"/>
  <c r="F172" i="1"/>
  <c r="G172" i="1"/>
  <c r="A173" i="1"/>
  <c r="B173" i="1"/>
  <c r="C173" i="1"/>
  <c r="E173" i="1"/>
  <c r="F173" i="1"/>
  <c r="G173" i="1"/>
  <c r="A174" i="1"/>
  <c r="B174" i="1"/>
  <c r="C174" i="1"/>
  <c r="E174" i="1"/>
  <c r="F174" i="1"/>
  <c r="G174" i="1"/>
  <c r="A175" i="1"/>
  <c r="B175" i="1"/>
  <c r="C175" i="1"/>
  <c r="E175" i="1"/>
  <c r="F175" i="1"/>
  <c r="G175" i="1"/>
  <c r="A176" i="1"/>
  <c r="B176" i="1"/>
  <c r="C176" i="1"/>
  <c r="E176" i="1"/>
  <c r="F176" i="1"/>
  <c r="G176" i="1"/>
  <c r="A177" i="1"/>
  <c r="B177" i="1"/>
  <c r="C177" i="1"/>
  <c r="E177" i="1"/>
  <c r="F177" i="1"/>
  <c r="G177" i="1"/>
  <c r="A178" i="1"/>
  <c r="B178" i="1"/>
  <c r="C178" i="1"/>
  <c r="D178" i="1"/>
  <c r="E178" i="1"/>
  <c r="F178" i="1"/>
  <c r="G178" i="1"/>
  <c r="A179" i="1"/>
  <c r="B179" i="1"/>
  <c r="C179" i="1"/>
  <c r="D179" i="1"/>
  <c r="E179" i="1"/>
  <c r="F179" i="1"/>
  <c r="G179" i="1"/>
  <c r="A180" i="1"/>
  <c r="B180" i="1"/>
  <c r="C180" i="1"/>
  <c r="D180" i="1"/>
  <c r="E180" i="1"/>
  <c r="F180" i="1"/>
  <c r="G180" i="1"/>
  <c r="A181" i="1"/>
  <c r="B181" i="1"/>
  <c r="C181" i="1"/>
  <c r="E181" i="1"/>
  <c r="F181" i="1"/>
  <c r="G181" i="1"/>
  <c r="A182" i="1"/>
  <c r="B182" i="1"/>
  <c r="C182" i="1"/>
  <c r="E182" i="1"/>
  <c r="F182" i="1"/>
  <c r="G182" i="1"/>
  <c r="A183" i="1"/>
  <c r="B183" i="1"/>
  <c r="C183" i="1"/>
  <c r="D183" i="1"/>
  <c r="E183" i="1"/>
  <c r="F183" i="1"/>
  <c r="G183" i="1"/>
  <c r="A184" i="1"/>
  <c r="B184" i="1"/>
  <c r="C184" i="1"/>
  <c r="E184" i="1"/>
  <c r="F184" i="1"/>
  <c r="G184" i="1"/>
  <c r="A185" i="1"/>
  <c r="B185" i="1"/>
  <c r="C185" i="1"/>
  <c r="E185" i="1"/>
  <c r="F185" i="1"/>
  <c r="G185" i="1"/>
  <c r="A186" i="1"/>
  <c r="B186" i="1"/>
  <c r="C186" i="1"/>
  <c r="D186" i="1"/>
  <c r="E186" i="1"/>
  <c r="F186" i="1"/>
  <c r="G186" i="1"/>
  <c r="A187" i="1"/>
  <c r="B187" i="1"/>
  <c r="C187" i="1"/>
  <c r="D187" i="1"/>
  <c r="E187" i="1"/>
  <c r="F187" i="1"/>
  <c r="G187" i="1"/>
  <c r="A188" i="1"/>
  <c r="B188" i="1"/>
  <c r="C188" i="1"/>
  <c r="E188" i="1"/>
  <c r="F188" i="1"/>
  <c r="G188" i="1"/>
  <c r="A189" i="1"/>
  <c r="B189" i="1"/>
  <c r="C189" i="1"/>
  <c r="E189" i="1"/>
  <c r="F189" i="1"/>
  <c r="G189" i="1"/>
  <c r="A190" i="1"/>
  <c r="B190" i="1"/>
  <c r="C190" i="1"/>
  <c r="E190" i="1"/>
  <c r="F190" i="1"/>
  <c r="G190" i="1"/>
  <c r="A191" i="1"/>
  <c r="B191" i="1"/>
  <c r="C191" i="1"/>
  <c r="E191" i="1"/>
  <c r="F191" i="1"/>
  <c r="G191" i="1"/>
  <c r="A192" i="1"/>
  <c r="B192" i="1"/>
  <c r="C192" i="1"/>
  <c r="D192" i="1"/>
  <c r="E192" i="1"/>
  <c r="F192" i="1"/>
  <c r="G192" i="1"/>
  <c r="A193" i="1"/>
  <c r="B193" i="1"/>
  <c r="C193" i="1"/>
  <c r="E193" i="1"/>
  <c r="F193" i="1"/>
  <c r="G193" i="1"/>
  <c r="A194" i="1"/>
  <c r="B194" i="1"/>
  <c r="C194" i="1"/>
  <c r="E194" i="1"/>
  <c r="F194" i="1"/>
  <c r="G194" i="1"/>
  <c r="A195" i="1"/>
  <c r="B195" i="1"/>
  <c r="C195" i="1"/>
  <c r="D195" i="1"/>
  <c r="E195" i="1"/>
  <c r="F195" i="1"/>
  <c r="G195" i="1"/>
  <c r="A196" i="1"/>
  <c r="B196" i="1"/>
  <c r="C196" i="1"/>
  <c r="E196" i="1"/>
  <c r="F196" i="1"/>
  <c r="G196" i="1"/>
  <c r="A197" i="1"/>
  <c r="B197" i="1"/>
  <c r="C197" i="1"/>
  <c r="E197" i="1"/>
  <c r="F197" i="1"/>
  <c r="G197" i="1"/>
  <c r="A198" i="1"/>
  <c r="B198" i="1"/>
  <c r="C198" i="1"/>
  <c r="E198" i="1"/>
  <c r="F198" i="1"/>
  <c r="G198" i="1"/>
  <c r="A199" i="1"/>
  <c r="B199" i="1"/>
  <c r="C199" i="1"/>
  <c r="E199" i="1"/>
  <c r="F199" i="1"/>
  <c r="G199" i="1"/>
  <c r="A200" i="1"/>
  <c r="B200" i="1"/>
  <c r="C200" i="1"/>
  <c r="E200" i="1"/>
  <c r="F200" i="1"/>
  <c r="G200" i="1"/>
  <c r="A201" i="1"/>
  <c r="B201" i="1"/>
  <c r="C201" i="1"/>
  <c r="E201" i="1"/>
  <c r="F201" i="1"/>
  <c r="G201" i="1"/>
  <c r="A202" i="1"/>
  <c r="B202" i="1"/>
  <c r="C202" i="1"/>
  <c r="E202" i="1"/>
  <c r="F202" i="1"/>
  <c r="G202" i="1"/>
  <c r="A203" i="1"/>
  <c r="B203" i="1"/>
  <c r="C203" i="1"/>
  <c r="D203" i="1"/>
  <c r="E203" i="1"/>
  <c r="F203" i="1"/>
  <c r="G203" i="1"/>
  <c r="A204" i="1"/>
  <c r="B204" i="1"/>
  <c r="C204" i="1"/>
  <c r="E204" i="1"/>
  <c r="F204" i="1"/>
  <c r="G204" i="1"/>
  <c r="A205" i="1"/>
  <c r="B205" i="1"/>
  <c r="C205" i="1"/>
  <c r="E205" i="1"/>
  <c r="F205" i="1"/>
  <c r="G205" i="1"/>
  <c r="A206" i="1"/>
  <c r="B206" i="1"/>
  <c r="C206" i="1"/>
  <c r="E206" i="1"/>
  <c r="F206" i="1"/>
  <c r="G206" i="1"/>
  <c r="A207" i="1"/>
  <c r="B207" i="1"/>
  <c r="C207" i="1"/>
  <c r="E207" i="1"/>
  <c r="F207" i="1"/>
  <c r="G207" i="1"/>
  <c r="A208" i="1"/>
  <c r="B208" i="1"/>
  <c r="C208" i="1"/>
  <c r="D208" i="1"/>
  <c r="E208" i="1"/>
  <c r="F208" i="1"/>
  <c r="G208" i="1"/>
  <c r="A209" i="1"/>
  <c r="B209" i="1"/>
  <c r="C209" i="1"/>
  <c r="E209" i="1"/>
  <c r="F209" i="1"/>
  <c r="G209" i="1"/>
  <c r="A210" i="1"/>
  <c r="B210" i="1"/>
  <c r="C210" i="1"/>
  <c r="D210" i="1"/>
  <c r="E210" i="1"/>
  <c r="F210" i="1"/>
  <c r="G210" i="1"/>
  <c r="A211" i="1"/>
  <c r="B211" i="1"/>
  <c r="C211" i="1"/>
  <c r="D211" i="1"/>
  <c r="E211" i="1"/>
  <c r="F211" i="1"/>
  <c r="G211" i="1"/>
  <c r="A212" i="1"/>
  <c r="B212" i="1"/>
  <c r="C212" i="1"/>
  <c r="E212" i="1"/>
  <c r="F212" i="1"/>
  <c r="G212" i="1"/>
  <c r="A213" i="1"/>
  <c r="B213" i="1"/>
  <c r="C213" i="1"/>
  <c r="E213" i="1"/>
  <c r="F213" i="1"/>
  <c r="G213" i="1"/>
  <c r="A214" i="1"/>
  <c r="B214" i="1"/>
  <c r="C214" i="1"/>
  <c r="E214" i="1"/>
  <c r="F214" i="1"/>
  <c r="G214" i="1"/>
  <c r="A215" i="1"/>
  <c r="B215" i="1"/>
  <c r="C215" i="1"/>
  <c r="D215" i="1"/>
  <c r="E215" i="1"/>
  <c r="F215" i="1"/>
  <c r="G215" i="1"/>
  <c r="A216" i="1"/>
  <c r="B216" i="1"/>
  <c r="C216" i="1"/>
  <c r="E216" i="1"/>
  <c r="F216" i="1"/>
  <c r="G216" i="1"/>
  <c r="A217" i="1"/>
  <c r="B217" i="1"/>
  <c r="C217" i="1"/>
  <c r="E217" i="1"/>
  <c r="F217" i="1"/>
  <c r="G217" i="1"/>
  <c r="A218" i="1"/>
  <c r="B218" i="1"/>
  <c r="C218" i="1"/>
  <c r="D218" i="1"/>
  <c r="E218" i="1"/>
  <c r="F218" i="1"/>
  <c r="G218" i="1"/>
  <c r="A219" i="1"/>
  <c r="B219" i="1"/>
  <c r="C219" i="1"/>
  <c r="E219" i="1"/>
  <c r="F219" i="1"/>
  <c r="G219" i="1"/>
  <c r="A220" i="1"/>
  <c r="B220" i="1"/>
  <c r="C220" i="1"/>
  <c r="E220" i="1"/>
  <c r="F220" i="1"/>
  <c r="G220" i="1"/>
  <c r="A221" i="1"/>
  <c r="B221" i="1"/>
  <c r="C221" i="1"/>
  <c r="E221" i="1"/>
  <c r="F221" i="1"/>
  <c r="G221" i="1"/>
  <c r="A222" i="1"/>
  <c r="B222" i="1"/>
  <c r="C222" i="1"/>
  <c r="D222" i="1"/>
  <c r="E222" i="1"/>
  <c r="F222" i="1"/>
  <c r="G222" i="1"/>
  <c r="A223" i="1"/>
  <c r="B223" i="1"/>
  <c r="C223" i="1"/>
  <c r="E223" i="1"/>
  <c r="F223" i="1"/>
  <c r="G223" i="1"/>
  <c r="A224" i="1"/>
  <c r="B224" i="1"/>
  <c r="C224" i="1"/>
  <c r="D224" i="1"/>
  <c r="E224" i="1"/>
  <c r="F224" i="1"/>
  <c r="G224" i="1"/>
  <c r="A225" i="1"/>
  <c r="B225" i="1"/>
  <c r="C225" i="1"/>
  <c r="E225" i="1"/>
  <c r="F225" i="1"/>
  <c r="G225" i="1"/>
  <c r="A226" i="1"/>
  <c r="B226" i="1"/>
  <c r="C226" i="1"/>
  <c r="E226" i="1"/>
  <c r="F226" i="1"/>
  <c r="G226" i="1"/>
  <c r="A227" i="1"/>
  <c r="B227" i="1"/>
  <c r="C227" i="1"/>
  <c r="E227" i="1"/>
  <c r="F227" i="1"/>
  <c r="G227" i="1"/>
  <c r="A228" i="1"/>
  <c r="B228" i="1"/>
  <c r="C228" i="1"/>
  <c r="E228" i="1"/>
  <c r="F228" i="1"/>
  <c r="G228" i="1"/>
  <c r="A229" i="1"/>
  <c r="B229" i="1"/>
  <c r="C229" i="1"/>
  <c r="E229" i="1"/>
  <c r="F229" i="1"/>
  <c r="G229" i="1"/>
  <c r="A230" i="1"/>
  <c r="B230" i="1"/>
  <c r="C230" i="1"/>
  <c r="D230" i="1"/>
  <c r="E230" i="1"/>
  <c r="F230" i="1"/>
  <c r="G230" i="1"/>
  <c r="A231" i="1"/>
  <c r="B231" i="1"/>
  <c r="C231" i="1"/>
  <c r="E231" i="1"/>
  <c r="F231" i="1"/>
  <c r="G231" i="1"/>
  <c r="A232" i="1"/>
  <c r="B232" i="1"/>
  <c r="C232" i="1"/>
  <c r="D232" i="1"/>
  <c r="E232" i="1"/>
  <c r="F232" i="1"/>
  <c r="G232" i="1"/>
  <c r="A233" i="1"/>
  <c r="B233" i="1"/>
  <c r="C233" i="1"/>
  <c r="E233" i="1"/>
  <c r="F233" i="1"/>
  <c r="G233" i="1"/>
  <c r="A234" i="1"/>
  <c r="B234" i="1"/>
  <c r="C234" i="1"/>
  <c r="E234" i="1"/>
  <c r="F234" i="1"/>
  <c r="G234" i="1"/>
  <c r="A235" i="1"/>
  <c r="B235" i="1"/>
  <c r="C235" i="1"/>
  <c r="E235" i="1"/>
  <c r="F235" i="1"/>
  <c r="G235" i="1"/>
  <c r="A236" i="1"/>
  <c r="B236" i="1"/>
  <c r="C236" i="1"/>
  <c r="E236" i="1"/>
  <c r="F236" i="1"/>
  <c r="G236" i="1"/>
  <c r="A237" i="1"/>
  <c r="B237" i="1"/>
  <c r="C237" i="1"/>
  <c r="E237" i="1"/>
  <c r="F237" i="1"/>
  <c r="G237" i="1"/>
  <c r="A238" i="1"/>
  <c r="B238" i="1"/>
  <c r="C238" i="1"/>
  <c r="E238" i="1"/>
  <c r="F238" i="1"/>
  <c r="G238" i="1"/>
  <c r="A239" i="1"/>
  <c r="B239" i="1"/>
  <c r="C239" i="1"/>
  <c r="E239" i="1"/>
  <c r="F239" i="1"/>
  <c r="G239" i="1"/>
  <c r="A240" i="1"/>
  <c r="B240" i="1"/>
  <c r="C240" i="1"/>
  <c r="E240" i="1"/>
  <c r="F240" i="1"/>
  <c r="G240" i="1"/>
  <c r="A241" i="1"/>
  <c r="B241" i="1"/>
  <c r="C241" i="1"/>
  <c r="E241" i="1"/>
  <c r="F241" i="1"/>
  <c r="G241" i="1"/>
  <c r="A242" i="1"/>
  <c r="B242" i="1"/>
  <c r="C242" i="1"/>
  <c r="E242" i="1"/>
  <c r="F242" i="1"/>
  <c r="G242" i="1"/>
  <c r="A243" i="1"/>
  <c r="B243" i="1"/>
  <c r="C243" i="1"/>
  <c r="E243" i="1"/>
  <c r="F243" i="1"/>
  <c r="G243" i="1"/>
  <c r="A244" i="1"/>
  <c r="B244" i="1"/>
  <c r="C244" i="1"/>
  <c r="D244" i="1"/>
  <c r="E244" i="1"/>
  <c r="F244" i="1"/>
  <c r="G244" i="1"/>
  <c r="A245" i="1"/>
  <c r="B245" i="1"/>
  <c r="C245" i="1"/>
  <c r="E245" i="1"/>
  <c r="F245" i="1"/>
  <c r="G245" i="1"/>
  <c r="A246" i="1"/>
  <c r="B246" i="1"/>
  <c r="C246" i="1"/>
  <c r="E246" i="1"/>
  <c r="F246" i="1"/>
  <c r="G246" i="1"/>
  <c r="A247" i="1"/>
  <c r="B247" i="1"/>
  <c r="C247" i="1"/>
  <c r="E247" i="1"/>
  <c r="F247" i="1"/>
  <c r="G247" i="1"/>
  <c r="A248" i="1"/>
  <c r="B248" i="1"/>
  <c r="C248" i="1"/>
  <c r="E248" i="1"/>
  <c r="F248" i="1"/>
  <c r="G248" i="1"/>
  <c r="A249" i="1"/>
  <c r="B249" i="1"/>
  <c r="C249" i="1"/>
  <c r="E249" i="1"/>
  <c r="F249" i="1"/>
  <c r="G249" i="1"/>
  <c r="A250" i="1"/>
  <c r="B250" i="1"/>
  <c r="C250" i="1"/>
  <c r="E250" i="1"/>
  <c r="F250" i="1"/>
  <c r="G250" i="1"/>
  <c r="A251" i="1"/>
  <c r="B251" i="1"/>
  <c r="C251" i="1"/>
  <c r="D251" i="1"/>
  <c r="E251" i="1"/>
  <c r="F251" i="1"/>
  <c r="G251" i="1"/>
  <c r="A252" i="1"/>
  <c r="B252" i="1"/>
  <c r="C252" i="1"/>
  <c r="E252" i="1"/>
  <c r="F252" i="1"/>
  <c r="G252" i="1"/>
  <c r="A253" i="1"/>
  <c r="B253" i="1"/>
  <c r="C253" i="1"/>
  <c r="E253" i="1"/>
  <c r="F253" i="1"/>
  <c r="G253" i="1"/>
  <c r="A254" i="1"/>
  <c r="B254" i="1"/>
  <c r="C254" i="1"/>
  <c r="E254" i="1"/>
  <c r="F254" i="1"/>
  <c r="G254" i="1"/>
  <c r="A255" i="1"/>
  <c r="B255" i="1"/>
  <c r="C255" i="1"/>
  <c r="E255" i="1"/>
  <c r="F255" i="1"/>
  <c r="G255" i="1"/>
  <c r="A256" i="1"/>
  <c r="B256" i="1"/>
  <c r="C256" i="1"/>
  <c r="E256" i="1"/>
  <c r="F256" i="1"/>
  <c r="G256" i="1"/>
  <c r="A257" i="1"/>
  <c r="B257" i="1"/>
  <c r="C257" i="1"/>
  <c r="E257" i="1"/>
  <c r="F257" i="1"/>
  <c r="G257" i="1"/>
  <c r="A258" i="1"/>
  <c r="B258" i="1"/>
  <c r="C258" i="1"/>
  <c r="E258" i="1"/>
  <c r="F258" i="1"/>
  <c r="G258" i="1"/>
  <c r="A259" i="1"/>
  <c r="B259" i="1"/>
  <c r="C259" i="1"/>
  <c r="D259" i="1"/>
  <c r="E259" i="1"/>
  <c r="F259" i="1"/>
  <c r="G259" i="1"/>
  <c r="A260" i="1"/>
  <c r="B260" i="1"/>
  <c r="C260" i="1"/>
  <c r="E260" i="1"/>
  <c r="F260" i="1"/>
  <c r="G260" i="1"/>
  <c r="A261" i="1"/>
  <c r="B261" i="1"/>
  <c r="C261" i="1"/>
  <c r="E261" i="1"/>
  <c r="F261" i="1"/>
  <c r="G261" i="1"/>
  <c r="A262" i="1"/>
  <c r="B262" i="1"/>
  <c r="C262" i="1"/>
  <c r="D262" i="1"/>
  <c r="E262" i="1"/>
  <c r="F262" i="1"/>
  <c r="G262" i="1"/>
  <c r="A263" i="1"/>
  <c r="B263" i="1"/>
  <c r="C263" i="1"/>
  <c r="E263" i="1"/>
  <c r="F263" i="1"/>
  <c r="G263" i="1"/>
  <c r="A264" i="1"/>
  <c r="B264" i="1"/>
  <c r="C264" i="1"/>
  <c r="D264" i="1"/>
  <c r="E264" i="1"/>
  <c r="F264" i="1"/>
  <c r="G264" i="1"/>
  <c r="A265" i="1"/>
  <c r="B265" i="1"/>
  <c r="C265" i="1"/>
  <c r="E265" i="1"/>
  <c r="F265" i="1"/>
  <c r="G265" i="1"/>
  <c r="A266" i="1"/>
  <c r="B266" i="1"/>
  <c r="C266" i="1"/>
  <c r="E266" i="1"/>
  <c r="F266" i="1"/>
  <c r="G266" i="1"/>
  <c r="A267" i="1"/>
  <c r="B267" i="1"/>
  <c r="C267" i="1"/>
  <c r="D267" i="1"/>
  <c r="E267" i="1"/>
  <c r="F267" i="1"/>
  <c r="G267" i="1"/>
  <c r="A268" i="1"/>
  <c r="B268" i="1"/>
  <c r="C268" i="1"/>
  <c r="D268" i="1"/>
  <c r="E268" i="1"/>
  <c r="F268" i="1"/>
  <c r="G268" i="1"/>
  <c r="A269" i="1"/>
  <c r="B269" i="1"/>
  <c r="C269" i="1"/>
  <c r="E269" i="1"/>
  <c r="F269" i="1"/>
  <c r="G269" i="1"/>
  <c r="A270" i="1"/>
  <c r="B270" i="1"/>
  <c r="C270" i="1"/>
  <c r="E270" i="1"/>
  <c r="F270" i="1"/>
  <c r="G270" i="1"/>
  <c r="A271" i="1"/>
  <c r="B271" i="1"/>
  <c r="C271" i="1"/>
  <c r="D271" i="1"/>
  <c r="E271" i="1"/>
  <c r="F271" i="1"/>
  <c r="G271" i="1"/>
  <c r="A272" i="1"/>
  <c r="B272" i="1"/>
  <c r="C272" i="1"/>
  <c r="E272" i="1"/>
  <c r="F272" i="1"/>
  <c r="G272" i="1"/>
  <c r="A273" i="1"/>
  <c r="B273" i="1"/>
  <c r="C273" i="1"/>
  <c r="E273" i="1"/>
  <c r="F273" i="1"/>
  <c r="G273" i="1"/>
  <c r="A274" i="1"/>
  <c r="B274" i="1"/>
  <c r="C274" i="1"/>
  <c r="E274" i="1"/>
  <c r="F274" i="1"/>
  <c r="G274" i="1"/>
  <c r="A275" i="1"/>
  <c r="B275" i="1"/>
  <c r="C275" i="1"/>
  <c r="D275" i="1"/>
  <c r="E275" i="1"/>
  <c r="F275" i="1"/>
  <c r="G275" i="1"/>
  <c r="A276" i="1"/>
  <c r="B276" i="1"/>
  <c r="C276" i="1"/>
  <c r="E276" i="1"/>
  <c r="F276" i="1"/>
  <c r="G276" i="1"/>
  <c r="A277" i="1"/>
  <c r="B277" i="1"/>
  <c r="C277" i="1"/>
  <c r="E277" i="1"/>
  <c r="F277" i="1"/>
  <c r="G277" i="1"/>
  <c r="A278" i="1"/>
  <c r="B278" i="1"/>
  <c r="C278" i="1"/>
  <c r="E278" i="1"/>
  <c r="F278" i="1"/>
  <c r="G278" i="1"/>
  <c r="A279" i="1"/>
  <c r="B279" i="1"/>
  <c r="C279" i="1"/>
  <c r="E279" i="1"/>
  <c r="F279" i="1"/>
  <c r="G279" i="1"/>
  <c r="A280" i="1"/>
  <c r="B280" i="1"/>
  <c r="C280" i="1"/>
  <c r="E280" i="1"/>
  <c r="F280" i="1"/>
  <c r="G280" i="1"/>
  <c r="A281" i="1"/>
  <c r="B281" i="1"/>
  <c r="C281" i="1"/>
  <c r="E281" i="1"/>
  <c r="F281" i="1"/>
  <c r="G281" i="1"/>
  <c r="A282" i="1"/>
  <c r="B282" i="1"/>
  <c r="C282" i="1"/>
  <c r="E282" i="1"/>
  <c r="F282" i="1"/>
  <c r="G282" i="1"/>
  <c r="A283" i="1"/>
  <c r="B283" i="1"/>
  <c r="C283" i="1"/>
  <c r="D283" i="1"/>
  <c r="E283" i="1"/>
  <c r="F283" i="1"/>
  <c r="G283" i="1"/>
  <c r="A284" i="1"/>
  <c r="B284" i="1"/>
  <c r="C284" i="1"/>
  <c r="E284" i="1"/>
  <c r="F284" i="1"/>
  <c r="G284" i="1"/>
  <c r="A285" i="1"/>
  <c r="B285" i="1"/>
  <c r="C285" i="1"/>
  <c r="E285" i="1"/>
  <c r="F285" i="1"/>
  <c r="G285" i="1"/>
  <c r="A286" i="1"/>
  <c r="B286" i="1"/>
  <c r="C286" i="1"/>
  <c r="D286" i="1"/>
  <c r="E286" i="1"/>
  <c r="F286" i="1"/>
  <c r="G286" i="1"/>
  <c r="A287" i="1"/>
  <c r="B287" i="1"/>
  <c r="C287" i="1"/>
  <c r="E287" i="1"/>
  <c r="F287" i="1"/>
  <c r="G287" i="1"/>
  <c r="A288" i="1"/>
  <c r="B288" i="1"/>
  <c r="C288" i="1"/>
  <c r="E288" i="1"/>
  <c r="F288" i="1"/>
  <c r="G288" i="1"/>
  <c r="A289" i="1"/>
  <c r="B289" i="1"/>
  <c r="C289" i="1"/>
  <c r="D289" i="1"/>
  <c r="E289" i="1"/>
  <c r="F289" i="1"/>
  <c r="G289" i="1"/>
  <c r="A290" i="1"/>
  <c r="B290" i="1"/>
  <c r="C290" i="1"/>
  <c r="E290" i="1"/>
  <c r="F290" i="1"/>
  <c r="G290" i="1"/>
  <c r="A291" i="1"/>
  <c r="B291" i="1"/>
  <c r="C291" i="1"/>
  <c r="D291" i="1"/>
  <c r="E291" i="1"/>
  <c r="F291" i="1"/>
  <c r="G291" i="1"/>
  <c r="A292" i="1"/>
  <c r="B292" i="1"/>
  <c r="C292" i="1"/>
  <c r="D292" i="1"/>
  <c r="E292" i="1"/>
  <c r="F292" i="1"/>
  <c r="G292" i="1"/>
  <c r="A293" i="1"/>
  <c r="B293" i="1"/>
  <c r="C293" i="1"/>
  <c r="E293" i="1"/>
  <c r="F293" i="1"/>
  <c r="G293" i="1"/>
  <c r="A294" i="1"/>
  <c r="B294" i="1"/>
  <c r="C294" i="1"/>
  <c r="E294" i="1"/>
  <c r="F294" i="1"/>
  <c r="G294" i="1"/>
  <c r="A295" i="1"/>
  <c r="B295" i="1"/>
  <c r="C295" i="1"/>
  <c r="E295" i="1"/>
  <c r="F295" i="1"/>
  <c r="G295" i="1"/>
  <c r="A296" i="1"/>
  <c r="B296" i="1"/>
  <c r="C296" i="1"/>
  <c r="E296" i="1"/>
  <c r="F296" i="1"/>
  <c r="G296" i="1"/>
  <c r="A297" i="1"/>
  <c r="B297" i="1"/>
  <c r="C297" i="1"/>
  <c r="E297" i="1"/>
  <c r="F297" i="1"/>
  <c r="G297" i="1"/>
  <c r="A298" i="1"/>
  <c r="B298" i="1"/>
  <c r="C298" i="1"/>
  <c r="E298" i="1"/>
  <c r="F298" i="1"/>
  <c r="G298" i="1"/>
  <c r="A299" i="1"/>
  <c r="B299" i="1"/>
  <c r="C299" i="1"/>
  <c r="D299" i="1"/>
  <c r="E299" i="1"/>
  <c r="F299" i="1"/>
  <c r="G299" i="1"/>
  <c r="A300" i="1"/>
  <c r="B300" i="1"/>
  <c r="C300" i="1"/>
  <c r="E300" i="1"/>
  <c r="F300" i="1"/>
  <c r="G300" i="1"/>
  <c r="A301" i="1"/>
  <c r="B301" i="1"/>
  <c r="C301" i="1"/>
  <c r="E301" i="1"/>
  <c r="F301" i="1"/>
  <c r="G301" i="1"/>
  <c r="A302" i="1"/>
  <c r="B302" i="1"/>
  <c r="C302" i="1"/>
  <c r="E302" i="1"/>
  <c r="F302" i="1"/>
  <c r="G302" i="1"/>
  <c r="A303" i="1"/>
  <c r="B303" i="1"/>
  <c r="C303" i="1"/>
  <c r="D303" i="1"/>
  <c r="E303" i="1"/>
  <c r="F303" i="1"/>
  <c r="G303" i="1"/>
  <c r="A304" i="1"/>
  <c r="B304" i="1"/>
  <c r="C304" i="1"/>
  <c r="D304" i="1"/>
  <c r="E304" i="1"/>
  <c r="F304" i="1"/>
  <c r="G304" i="1"/>
  <c r="A305" i="1"/>
  <c r="B305" i="1"/>
  <c r="C305" i="1"/>
  <c r="E305" i="1"/>
  <c r="F305" i="1"/>
  <c r="G305" i="1"/>
  <c r="A306" i="1"/>
  <c r="B306" i="1"/>
  <c r="C306" i="1"/>
  <c r="D306" i="1"/>
  <c r="E306" i="1"/>
  <c r="F306" i="1"/>
  <c r="G306" i="1"/>
  <c r="A307" i="1"/>
  <c r="B307" i="1"/>
  <c r="C307" i="1"/>
  <c r="E307" i="1"/>
  <c r="F307" i="1"/>
  <c r="G307" i="1"/>
  <c r="A308" i="1"/>
  <c r="B308" i="1"/>
  <c r="C308" i="1"/>
  <c r="D308" i="1"/>
  <c r="E308" i="1"/>
  <c r="F308" i="1"/>
  <c r="G308" i="1"/>
  <c r="A309" i="1"/>
  <c r="B309" i="1"/>
  <c r="C309" i="1"/>
  <c r="E309" i="1"/>
  <c r="F309" i="1"/>
  <c r="G309" i="1"/>
  <c r="A310" i="1"/>
  <c r="B310" i="1"/>
  <c r="C310" i="1"/>
  <c r="E310" i="1"/>
  <c r="F310" i="1"/>
  <c r="G310" i="1"/>
  <c r="A311" i="1"/>
  <c r="B311" i="1"/>
  <c r="C311" i="1"/>
  <c r="E311" i="1"/>
  <c r="F311" i="1"/>
  <c r="G311" i="1"/>
  <c r="A312" i="1"/>
  <c r="B312" i="1"/>
  <c r="C312" i="1"/>
  <c r="E312" i="1"/>
  <c r="F312" i="1"/>
  <c r="G312" i="1"/>
  <c r="A313" i="1"/>
  <c r="B313" i="1"/>
  <c r="C313" i="1"/>
  <c r="E313" i="1"/>
  <c r="F313" i="1"/>
  <c r="G313" i="1"/>
  <c r="A314" i="1"/>
  <c r="B314" i="1"/>
  <c r="C314" i="1"/>
  <c r="E314" i="1"/>
  <c r="F314" i="1"/>
  <c r="G314" i="1"/>
  <c r="A315" i="1"/>
  <c r="B315" i="1"/>
  <c r="C315" i="1"/>
  <c r="D315" i="1"/>
  <c r="E315" i="1"/>
  <c r="F315" i="1"/>
  <c r="G315" i="1"/>
  <c r="A316" i="1"/>
  <c r="B316" i="1"/>
  <c r="C316" i="1"/>
  <c r="E316" i="1"/>
  <c r="F316" i="1"/>
  <c r="G316" i="1"/>
  <c r="A317" i="1"/>
  <c r="B317" i="1"/>
  <c r="C317" i="1"/>
  <c r="E317" i="1"/>
  <c r="F317" i="1"/>
  <c r="G317" i="1"/>
  <c r="A318" i="1"/>
  <c r="B318" i="1"/>
  <c r="C318" i="1"/>
  <c r="E318" i="1"/>
  <c r="F318" i="1"/>
  <c r="G318" i="1"/>
  <c r="A319" i="1"/>
  <c r="B319" i="1"/>
  <c r="C319" i="1"/>
  <c r="E319" i="1"/>
  <c r="F319" i="1"/>
  <c r="G319" i="1"/>
  <c r="A320" i="1"/>
  <c r="B320" i="1"/>
  <c r="C320" i="1"/>
  <c r="E320" i="1"/>
  <c r="F320" i="1"/>
  <c r="G320" i="1"/>
  <c r="A321" i="1"/>
  <c r="B321" i="1"/>
  <c r="C321" i="1"/>
  <c r="E321" i="1"/>
  <c r="F321" i="1"/>
  <c r="G321" i="1"/>
  <c r="A322" i="1"/>
  <c r="B322" i="1"/>
  <c r="C322" i="1"/>
  <c r="E322" i="1"/>
  <c r="F322" i="1"/>
  <c r="G322" i="1"/>
  <c r="A323" i="1"/>
  <c r="B323" i="1"/>
  <c r="C323" i="1"/>
  <c r="E323" i="1"/>
  <c r="F323" i="1"/>
  <c r="G323" i="1"/>
  <c r="A324" i="1"/>
  <c r="B324" i="1"/>
  <c r="C324" i="1"/>
  <c r="E324" i="1"/>
  <c r="F324" i="1"/>
  <c r="G324" i="1"/>
  <c r="A325" i="1"/>
  <c r="B325" i="1"/>
  <c r="C325" i="1"/>
  <c r="E325" i="1"/>
  <c r="F325" i="1"/>
  <c r="G325" i="1"/>
  <c r="A326" i="1"/>
  <c r="B326" i="1"/>
  <c r="C326" i="1"/>
  <c r="D326" i="1"/>
  <c r="E326" i="1"/>
  <c r="F326" i="1"/>
  <c r="G326" i="1"/>
  <c r="A327" i="1"/>
  <c r="B327" i="1"/>
  <c r="C327" i="1"/>
  <c r="D327" i="1"/>
  <c r="E327" i="1"/>
  <c r="F327" i="1"/>
  <c r="G327" i="1"/>
  <c r="A328" i="1"/>
  <c r="B328" i="1"/>
  <c r="C328" i="1"/>
  <c r="D328" i="1"/>
  <c r="E328" i="1"/>
  <c r="F328" i="1"/>
  <c r="G328" i="1"/>
  <c r="A329" i="1"/>
  <c r="B329" i="1"/>
  <c r="C329" i="1"/>
  <c r="E329" i="1"/>
  <c r="F329" i="1"/>
  <c r="G329" i="1"/>
  <c r="A330" i="1"/>
  <c r="B330" i="1"/>
  <c r="C330" i="1"/>
  <c r="E330" i="1"/>
  <c r="F330" i="1"/>
  <c r="G330" i="1"/>
  <c r="A331" i="1"/>
  <c r="B331" i="1"/>
  <c r="C331" i="1"/>
  <c r="E331" i="1"/>
  <c r="F331" i="1"/>
  <c r="G331" i="1"/>
  <c r="A332" i="1"/>
  <c r="B332" i="1"/>
  <c r="C332" i="1"/>
  <c r="E332" i="1"/>
  <c r="F332" i="1"/>
  <c r="G332" i="1"/>
  <c r="A333" i="1"/>
  <c r="B333" i="1"/>
  <c r="C333" i="1"/>
  <c r="E333" i="1"/>
  <c r="F333" i="1"/>
  <c r="G333" i="1"/>
  <c r="A334" i="1"/>
  <c r="B334" i="1"/>
  <c r="C334" i="1"/>
  <c r="E334" i="1"/>
  <c r="F334" i="1"/>
  <c r="G334" i="1"/>
  <c r="A335" i="1"/>
  <c r="B335" i="1"/>
  <c r="C335" i="1"/>
  <c r="E335" i="1"/>
  <c r="F335" i="1"/>
  <c r="G335" i="1"/>
  <c r="A336" i="1"/>
  <c r="B336" i="1"/>
  <c r="C336" i="1"/>
  <c r="E336" i="1"/>
  <c r="F336" i="1"/>
  <c r="G336" i="1"/>
  <c r="A337" i="1"/>
  <c r="B337" i="1"/>
  <c r="C337" i="1"/>
  <c r="E337" i="1"/>
  <c r="F337" i="1"/>
  <c r="G337" i="1"/>
  <c r="A338" i="1"/>
  <c r="B338" i="1"/>
  <c r="C338" i="1"/>
  <c r="E338" i="1"/>
  <c r="F338" i="1"/>
  <c r="G338" i="1"/>
  <c r="A339" i="1"/>
  <c r="B339" i="1"/>
  <c r="C339" i="1"/>
  <c r="D339" i="1"/>
  <c r="E339" i="1"/>
  <c r="F339" i="1"/>
  <c r="G339" i="1"/>
  <c r="A340" i="1"/>
  <c r="B340" i="1"/>
  <c r="C340" i="1"/>
  <c r="D340" i="1"/>
  <c r="E340" i="1"/>
  <c r="F340" i="1"/>
  <c r="G340" i="1"/>
  <c r="A341" i="1"/>
  <c r="B341" i="1"/>
  <c r="C341" i="1"/>
  <c r="E341" i="1"/>
  <c r="F341" i="1"/>
  <c r="G341" i="1"/>
  <c r="A342" i="1"/>
  <c r="B342" i="1"/>
  <c r="C342" i="1"/>
  <c r="E342" i="1"/>
  <c r="F342" i="1"/>
  <c r="G342" i="1"/>
  <c r="A343" i="1"/>
  <c r="B343" i="1"/>
  <c r="C343" i="1"/>
  <c r="D343" i="1"/>
  <c r="E343" i="1"/>
  <c r="F343" i="1"/>
  <c r="G343" i="1"/>
  <c r="A344" i="1"/>
  <c r="B344" i="1"/>
  <c r="C344" i="1"/>
  <c r="E344" i="1"/>
  <c r="F344" i="1"/>
  <c r="G344" i="1"/>
  <c r="A345" i="1"/>
  <c r="B345" i="1"/>
  <c r="C345" i="1"/>
  <c r="E345" i="1"/>
  <c r="F345" i="1"/>
  <c r="G345" i="1"/>
  <c r="A346" i="1"/>
  <c r="B346" i="1"/>
  <c r="C346" i="1"/>
  <c r="E346" i="1"/>
  <c r="F346" i="1"/>
  <c r="G346" i="1"/>
  <c r="A347" i="1"/>
  <c r="B347" i="1"/>
  <c r="C347" i="1"/>
  <c r="E347" i="1"/>
  <c r="F347" i="1"/>
  <c r="G347" i="1"/>
  <c r="A348" i="1"/>
  <c r="B348" i="1"/>
  <c r="C348" i="1"/>
  <c r="E348" i="1"/>
  <c r="F348" i="1"/>
  <c r="G348" i="1"/>
  <c r="A349" i="1"/>
  <c r="B349" i="1"/>
  <c r="C349" i="1"/>
  <c r="E349" i="1"/>
  <c r="F349" i="1"/>
  <c r="G349" i="1"/>
  <c r="A350" i="1"/>
  <c r="B350" i="1"/>
  <c r="C350" i="1"/>
  <c r="E350" i="1"/>
  <c r="F350" i="1"/>
  <c r="G350" i="1"/>
  <c r="A351" i="1"/>
  <c r="B351" i="1"/>
  <c r="C351" i="1"/>
  <c r="D351" i="1"/>
  <c r="E351" i="1"/>
  <c r="F351" i="1"/>
  <c r="G351" i="1"/>
  <c r="A352" i="1"/>
  <c r="B352" i="1"/>
  <c r="C352" i="1"/>
  <c r="E352" i="1"/>
  <c r="F352" i="1"/>
  <c r="G352" i="1"/>
  <c r="A353" i="1"/>
  <c r="B353" i="1"/>
  <c r="C353" i="1"/>
  <c r="E353" i="1"/>
  <c r="F353" i="1"/>
  <c r="G353" i="1"/>
  <c r="A354" i="1"/>
  <c r="B354" i="1"/>
  <c r="C354" i="1"/>
  <c r="E354" i="1"/>
  <c r="F354" i="1"/>
  <c r="G354" i="1"/>
  <c r="A355" i="1"/>
  <c r="B355" i="1"/>
  <c r="C355" i="1"/>
  <c r="E355" i="1"/>
  <c r="F355" i="1"/>
  <c r="G355" i="1"/>
  <c r="A356" i="1"/>
  <c r="B356" i="1"/>
  <c r="C356" i="1"/>
  <c r="E356" i="1"/>
  <c r="F356" i="1"/>
  <c r="G356" i="1"/>
  <c r="A357" i="1"/>
  <c r="B357" i="1"/>
  <c r="C357" i="1"/>
  <c r="D357" i="1"/>
  <c r="E357" i="1"/>
  <c r="F357" i="1"/>
  <c r="G357" i="1"/>
  <c r="A358" i="1"/>
  <c r="B358" i="1"/>
  <c r="C358" i="1"/>
  <c r="E358" i="1"/>
  <c r="F358" i="1"/>
  <c r="G358" i="1"/>
  <c r="A359" i="1"/>
  <c r="B359" i="1"/>
  <c r="C359" i="1"/>
  <c r="E359" i="1"/>
  <c r="F359" i="1"/>
  <c r="G359" i="1"/>
  <c r="A360" i="1"/>
  <c r="B360" i="1"/>
  <c r="C360" i="1"/>
  <c r="E360" i="1"/>
  <c r="F360" i="1"/>
  <c r="G360" i="1"/>
  <c r="A361" i="1"/>
  <c r="B361" i="1"/>
  <c r="C361" i="1"/>
  <c r="E361" i="1"/>
  <c r="F361" i="1"/>
  <c r="G361" i="1"/>
  <c r="A362" i="1"/>
  <c r="B362" i="1"/>
  <c r="C362" i="1"/>
  <c r="E362" i="1"/>
  <c r="F362" i="1"/>
  <c r="G362" i="1"/>
  <c r="A363" i="1"/>
  <c r="B363" i="1"/>
  <c r="C363" i="1"/>
  <c r="E363" i="1"/>
  <c r="F363" i="1"/>
  <c r="G363" i="1"/>
  <c r="A364" i="1"/>
  <c r="B364" i="1"/>
  <c r="C364" i="1"/>
  <c r="E364" i="1"/>
  <c r="F364" i="1"/>
  <c r="G364" i="1"/>
  <c r="A365" i="1"/>
  <c r="B365" i="1"/>
  <c r="C365" i="1"/>
  <c r="E365" i="1"/>
  <c r="F365" i="1"/>
  <c r="G365" i="1"/>
  <c r="A366" i="1"/>
  <c r="B366" i="1"/>
  <c r="C366" i="1"/>
  <c r="E366" i="1"/>
  <c r="F366" i="1"/>
  <c r="G366" i="1"/>
  <c r="A367" i="1"/>
  <c r="B367" i="1"/>
  <c r="C367" i="1"/>
  <c r="D367" i="1"/>
  <c r="E367" i="1"/>
  <c r="F367" i="1"/>
  <c r="G367" i="1"/>
  <c r="A368" i="1"/>
  <c r="B368" i="1"/>
  <c r="C368" i="1"/>
  <c r="D368" i="1"/>
  <c r="E368" i="1"/>
  <c r="F368" i="1"/>
  <c r="G368" i="1"/>
  <c r="A369" i="1"/>
  <c r="B369" i="1"/>
  <c r="C369" i="1"/>
  <c r="D369" i="1"/>
  <c r="E369" i="1"/>
  <c r="F369" i="1"/>
  <c r="G369" i="1"/>
  <c r="A370" i="1"/>
  <c r="B370" i="1"/>
  <c r="C370" i="1"/>
  <c r="E370" i="1"/>
  <c r="F370" i="1"/>
  <c r="G370" i="1"/>
  <c r="A371" i="1"/>
  <c r="B371" i="1"/>
  <c r="C371" i="1"/>
  <c r="D371" i="1"/>
  <c r="E371" i="1"/>
  <c r="F371" i="1"/>
  <c r="G371" i="1"/>
  <c r="A372" i="1"/>
  <c r="B372" i="1"/>
  <c r="C372" i="1"/>
  <c r="E372" i="1"/>
  <c r="F372" i="1"/>
  <c r="G372" i="1"/>
  <c r="A373" i="1"/>
  <c r="B373" i="1"/>
  <c r="C373" i="1"/>
  <c r="E373" i="1"/>
  <c r="F373" i="1"/>
  <c r="G373" i="1"/>
  <c r="A374" i="1"/>
  <c r="B374" i="1"/>
  <c r="C374" i="1"/>
  <c r="E374" i="1"/>
  <c r="F374" i="1"/>
  <c r="G374" i="1"/>
  <c r="A375" i="1"/>
  <c r="B375" i="1"/>
  <c r="C375" i="1"/>
  <c r="E375" i="1"/>
  <c r="F375" i="1"/>
  <c r="G375" i="1"/>
  <c r="A376" i="1"/>
  <c r="B376" i="1"/>
  <c r="C376" i="1"/>
  <c r="E376" i="1"/>
  <c r="F376" i="1"/>
  <c r="G376" i="1"/>
  <c r="A377" i="1"/>
  <c r="B377" i="1"/>
  <c r="C377" i="1"/>
  <c r="E377" i="1"/>
  <c r="F377" i="1"/>
  <c r="G377" i="1"/>
  <c r="A378" i="1"/>
  <c r="B378" i="1"/>
  <c r="C378" i="1"/>
  <c r="E378" i="1"/>
  <c r="F378" i="1"/>
  <c r="G378" i="1"/>
  <c r="A379" i="1"/>
  <c r="B379" i="1"/>
  <c r="C379" i="1"/>
  <c r="D379" i="1"/>
  <c r="E379" i="1"/>
  <c r="F379" i="1"/>
  <c r="G379" i="1"/>
  <c r="A380" i="1"/>
  <c r="B380" i="1"/>
  <c r="C380" i="1"/>
  <c r="E380" i="1"/>
  <c r="F380" i="1"/>
  <c r="G380" i="1"/>
  <c r="A381" i="1"/>
  <c r="B381" i="1"/>
  <c r="C381" i="1"/>
  <c r="E381" i="1"/>
  <c r="F381" i="1"/>
  <c r="G381" i="1"/>
  <c r="A382" i="1"/>
  <c r="B382" i="1"/>
  <c r="C382" i="1"/>
  <c r="E382" i="1"/>
  <c r="F382" i="1"/>
  <c r="G382" i="1"/>
  <c r="A383" i="1"/>
  <c r="B383" i="1"/>
  <c r="C383" i="1"/>
  <c r="E383" i="1"/>
  <c r="F383" i="1"/>
  <c r="G383" i="1"/>
  <c r="A384" i="1"/>
  <c r="B384" i="1"/>
  <c r="C384" i="1"/>
  <c r="E384" i="1"/>
  <c r="F384" i="1"/>
  <c r="G384" i="1"/>
  <c r="A385" i="1"/>
  <c r="B385" i="1"/>
  <c r="C385" i="1"/>
  <c r="E385" i="1"/>
  <c r="F385" i="1"/>
  <c r="G385" i="1"/>
  <c r="A386" i="1"/>
  <c r="B386" i="1"/>
  <c r="C386" i="1"/>
  <c r="E386" i="1"/>
  <c r="F386" i="1"/>
  <c r="G386" i="1"/>
  <c r="A387" i="1"/>
  <c r="B387" i="1"/>
  <c r="C387" i="1"/>
  <c r="D387" i="1"/>
  <c r="E387" i="1"/>
  <c r="F387" i="1"/>
  <c r="G387" i="1"/>
  <c r="A388" i="1"/>
  <c r="B388" i="1"/>
  <c r="C388" i="1"/>
  <c r="D388" i="1"/>
  <c r="E388" i="1"/>
  <c r="F388" i="1"/>
  <c r="G388" i="1"/>
  <c r="A389" i="1"/>
  <c r="B389" i="1"/>
  <c r="C389" i="1"/>
  <c r="D389" i="1"/>
  <c r="E389" i="1"/>
  <c r="F389" i="1"/>
  <c r="G389" i="1"/>
  <c r="A390" i="1"/>
  <c r="B390" i="1"/>
  <c r="C390" i="1"/>
  <c r="E390" i="1"/>
  <c r="F390" i="1"/>
  <c r="G390" i="1"/>
  <c r="A391" i="1"/>
  <c r="B391" i="1"/>
  <c r="C391" i="1"/>
  <c r="E391" i="1"/>
  <c r="F391" i="1"/>
  <c r="G391" i="1"/>
  <c r="A392" i="1"/>
  <c r="B392" i="1"/>
  <c r="C392" i="1"/>
  <c r="E392" i="1"/>
  <c r="F392" i="1"/>
  <c r="G392" i="1"/>
  <c r="A393" i="1"/>
  <c r="B393" i="1"/>
  <c r="C393" i="1"/>
  <c r="E393" i="1"/>
  <c r="F393" i="1"/>
  <c r="G393" i="1"/>
  <c r="A394" i="1"/>
  <c r="B394" i="1"/>
  <c r="C394" i="1"/>
  <c r="E394" i="1"/>
  <c r="F394" i="1"/>
  <c r="G394" i="1"/>
  <c r="A395" i="1"/>
  <c r="B395" i="1"/>
  <c r="C395" i="1"/>
  <c r="D395" i="1"/>
  <c r="E395" i="1"/>
  <c r="F395" i="1"/>
  <c r="G395" i="1"/>
  <c r="A396" i="1"/>
  <c r="B396" i="1"/>
  <c r="C396" i="1"/>
  <c r="E396" i="1"/>
  <c r="F396" i="1"/>
  <c r="G396" i="1"/>
  <c r="A397" i="1"/>
  <c r="B397" i="1"/>
  <c r="C397" i="1"/>
  <c r="E397" i="1"/>
  <c r="F397" i="1"/>
  <c r="G397" i="1"/>
  <c r="A398" i="1"/>
  <c r="B398" i="1"/>
  <c r="C398" i="1"/>
  <c r="E398" i="1"/>
  <c r="F398" i="1"/>
  <c r="G398" i="1"/>
  <c r="A399" i="1"/>
  <c r="B399" i="1"/>
  <c r="C399" i="1"/>
  <c r="E399" i="1"/>
  <c r="F399" i="1"/>
  <c r="G399" i="1"/>
  <c r="A400" i="1"/>
  <c r="B400" i="1"/>
  <c r="C400" i="1"/>
  <c r="D400" i="1"/>
  <c r="E400" i="1"/>
  <c r="F400" i="1"/>
  <c r="G400" i="1"/>
  <c r="A401" i="1"/>
  <c r="B401" i="1"/>
  <c r="C401" i="1"/>
  <c r="E401" i="1"/>
  <c r="F401" i="1"/>
  <c r="G401" i="1"/>
  <c r="A402" i="1"/>
  <c r="B402" i="1"/>
  <c r="C402" i="1"/>
  <c r="E402" i="1"/>
  <c r="F402" i="1"/>
  <c r="G402" i="1"/>
  <c r="A403" i="1"/>
  <c r="B403" i="1"/>
  <c r="C403" i="1"/>
  <c r="D403" i="1"/>
  <c r="E403" i="1"/>
  <c r="F403" i="1"/>
  <c r="G403" i="1"/>
  <c r="A404" i="1"/>
  <c r="B404" i="1"/>
  <c r="C404" i="1"/>
  <c r="E404" i="1"/>
  <c r="F404" i="1"/>
  <c r="G404" i="1"/>
  <c r="A405" i="1"/>
  <c r="B405" i="1"/>
  <c r="C405" i="1"/>
  <c r="E405" i="1"/>
  <c r="F405" i="1"/>
  <c r="G405" i="1"/>
  <c r="A406" i="1"/>
  <c r="B406" i="1"/>
  <c r="C406" i="1"/>
  <c r="E406" i="1"/>
  <c r="F406" i="1"/>
  <c r="G406" i="1"/>
  <c r="A407" i="1"/>
  <c r="B407" i="1"/>
  <c r="C407" i="1"/>
  <c r="E407" i="1"/>
  <c r="F407" i="1"/>
  <c r="G407" i="1"/>
  <c r="A408" i="1"/>
  <c r="B408" i="1"/>
  <c r="C408" i="1"/>
  <c r="E408" i="1"/>
  <c r="F408" i="1"/>
  <c r="G408" i="1"/>
  <c r="A409" i="1"/>
  <c r="B409" i="1"/>
  <c r="C409" i="1"/>
  <c r="E409" i="1"/>
  <c r="F409" i="1"/>
  <c r="G409" i="1"/>
  <c r="A410" i="1"/>
  <c r="B410" i="1"/>
  <c r="C410" i="1"/>
  <c r="E410" i="1"/>
  <c r="F410" i="1"/>
  <c r="G410" i="1"/>
  <c r="A411" i="1"/>
  <c r="B411" i="1"/>
  <c r="C411" i="1"/>
  <c r="E411" i="1"/>
  <c r="F411" i="1"/>
  <c r="G411" i="1"/>
  <c r="A412" i="1"/>
  <c r="B412" i="1"/>
  <c r="C412" i="1"/>
  <c r="E412" i="1"/>
  <c r="F412" i="1"/>
  <c r="G412" i="1"/>
  <c r="A413" i="1"/>
  <c r="B413" i="1"/>
  <c r="C413" i="1"/>
  <c r="E413" i="1"/>
  <c r="F413" i="1"/>
  <c r="G413" i="1"/>
  <c r="A414" i="1"/>
  <c r="B414" i="1"/>
  <c r="C414" i="1"/>
  <c r="E414" i="1"/>
  <c r="F414" i="1"/>
  <c r="G414" i="1"/>
  <c r="A415" i="1"/>
  <c r="B415" i="1"/>
  <c r="C415" i="1"/>
  <c r="E415" i="1"/>
  <c r="F415" i="1"/>
  <c r="G415" i="1"/>
  <c r="A416" i="1"/>
  <c r="B416" i="1"/>
  <c r="C416" i="1"/>
  <c r="D416" i="1"/>
  <c r="E416" i="1"/>
  <c r="F416" i="1"/>
  <c r="G416" i="1"/>
  <c r="A417" i="1"/>
  <c r="B417" i="1"/>
  <c r="C417" i="1"/>
  <c r="E417" i="1"/>
  <c r="F417" i="1"/>
  <c r="G417" i="1"/>
  <c r="A418" i="1"/>
  <c r="B418" i="1"/>
  <c r="C418" i="1"/>
  <c r="E418" i="1"/>
  <c r="F418" i="1"/>
  <c r="G418" i="1"/>
  <c r="A419" i="1"/>
  <c r="B419" i="1"/>
  <c r="C419" i="1"/>
  <c r="D419" i="1"/>
  <c r="E419" i="1"/>
  <c r="F419" i="1"/>
  <c r="G419" i="1"/>
  <c r="A420" i="1"/>
  <c r="B420" i="1"/>
  <c r="C420" i="1"/>
  <c r="E420" i="1"/>
  <c r="F420" i="1"/>
  <c r="G420" i="1"/>
  <c r="A421" i="1"/>
  <c r="B421" i="1"/>
  <c r="C421" i="1"/>
  <c r="E421" i="1"/>
  <c r="F421" i="1"/>
  <c r="G421" i="1"/>
  <c r="A422" i="1"/>
  <c r="B422" i="1"/>
  <c r="C422" i="1"/>
  <c r="E422" i="1"/>
  <c r="F422" i="1"/>
  <c r="G422" i="1"/>
  <c r="A423" i="1"/>
  <c r="B423" i="1"/>
  <c r="C423" i="1"/>
  <c r="E423" i="1"/>
  <c r="F423" i="1"/>
  <c r="G423" i="1"/>
  <c r="A424" i="1"/>
  <c r="B424" i="1"/>
  <c r="C424" i="1"/>
  <c r="E424" i="1"/>
  <c r="F424" i="1"/>
  <c r="G424" i="1"/>
  <c r="A425" i="1"/>
  <c r="B425" i="1"/>
  <c r="C425" i="1"/>
  <c r="E425" i="1"/>
  <c r="F425" i="1"/>
  <c r="G425" i="1"/>
  <c r="A426" i="1"/>
  <c r="B426" i="1"/>
  <c r="C426" i="1"/>
  <c r="E426" i="1"/>
  <c r="F426" i="1"/>
  <c r="G426" i="1"/>
  <c r="A427" i="1"/>
  <c r="B427" i="1"/>
  <c r="C427" i="1"/>
  <c r="E427" i="1"/>
  <c r="F427" i="1"/>
  <c r="G427" i="1"/>
  <c r="A428" i="1"/>
  <c r="B428" i="1"/>
  <c r="C428" i="1"/>
  <c r="D428" i="1"/>
  <c r="E428" i="1"/>
  <c r="F428" i="1"/>
  <c r="G428" i="1"/>
  <c r="A429" i="1"/>
  <c r="B429" i="1"/>
  <c r="C429" i="1"/>
  <c r="E429" i="1"/>
  <c r="F429" i="1"/>
  <c r="G429" i="1"/>
  <c r="A430" i="1"/>
  <c r="B430" i="1"/>
  <c r="C430" i="1"/>
  <c r="E430" i="1"/>
  <c r="F430" i="1"/>
  <c r="G430" i="1"/>
  <c r="A431" i="1"/>
  <c r="B431" i="1"/>
  <c r="C431" i="1"/>
  <c r="E431" i="1"/>
  <c r="F431" i="1"/>
  <c r="G431" i="1"/>
  <c r="A432" i="1"/>
  <c r="B432" i="1"/>
  <c r="C432" i="1"/>
  <c r="E432" i="1"/>
  <c r="F432" i="1"/>
  <c r="G432" i="1"/>
  <c r="A433" i="1"/>
  <c r="B433" i="1"/>
  <c r="C433" i="1"/>
  <c r="E433" i="1"/>
  <c r="F433" i="1"/>
  <c r="G433" i="1"/>
  <c r="A434" i="1"/>
  <c r="B434" i="1"/>
  <c r="C434" i="1"/>
  <c r="E434" i="1"/>
  <c r="F434" i="1"/>
  <c r="G434" i="1"/>
  <c r="A435" i="1"/>
  <c r="B435" i="1"/>
  <c r="C435" i="1"/>
  <c r="D435" i="1"/>
  <c r="E435" i="1"/>
  <c r="F435" i="1"/>
  <c r="G435" i="1"/>
  <c r="A436" i="1"/>
  <c r="B436" i="1"/>
  <c r="C436" i="1"/>
  <c r="D436" i="1"/>
  <c r="E436" i="1"/>
  <c r="F436" i="1"/>
  <c r="G436" i="1"/>
  <c r="A437" i="1"/>
  <c r="B437" i="1"/>
  <c r="C437" i="1"/>
  <c r="E437" i="1"/>
  <c r="F437" i="1"/>
  <c r="G437" i="1"/>
  <c r="A438" i="1"/>
  <c r="B438" i="1"/>
  <c r="C438" i="1"/>
  <c r="E438" i="1"/>
  <c r="F438" i="1"/>
  <c r="G438" i="1"/>
  <c r="A439" i="1"/>
  <c r="B439" i="1"/>
  <c r="C439" i="1"/>
  <c r="E439" i="1"/>
  <c r="F439" i="1"/>
  <c r="G439" i="1"/>
  <c r="A440" i="1"/>
  <c r="B440" i="1"/>
  <c r="C440" i="1"/>
  <c r="E440" i="1"/>
  <c r="F440" i="1"/>
  <c r="G440" i="1"/>
  <c r="A441" i="1"/>
  <c r="B441" i="1"/>
  <c r="C441" i="1"/>
  <c r="E441" i="1"/>
  <c r="F441" i="1"/>
  <c r="G441" i="1"/>
  <c r="A442" i="1"/>
  <c r="B442" i="1"/>
  <c r="C442" i="1"/>
  <c r="E442" i="1"/>
  <c r="F442" i="1"/>
  <c r="G442" i="1"/>
  <c r="A443" i="1"/>
  <c r="B443" i="1"/>
  <c r="C443" i="1"/>
  <c r="D443" i="1"/>
  <c r="E443" i="1"/>
  <c r="F443" i="1"/>
  <c r="G443" i="1"/>
  <c r="A444" i="1"/>
  <c r="B444" i="1"/>
  <c r="C444" i="1"/>
  <c r="D444" i="1"/>
  <c r="E444" i="1"/>
  <c r="F444" i="1"/>
  <c r="G444" i="1"/>
  <c r="A445" i="1"/>
  <c r="B445" i="1"/>
  <c r="C445" i="1"/>
  <c r="E445" i="1"/>
  <c r="F445" i="1"/>
  <c r="G445" i="1"/>
  <c r="A446" i="1"/>
  <c r="B446" i="1"/>
  <c r="C446" i="1"/>
  <c r="E446" i="1"/>
  <c r="F446" i="1"/>
  <c r="G446" i="1"/>
  <c r="A447" i="1"/>
  <c r="B447" i="1"/>
  <c r="C447" i="1"/>
  <c r="E447" i="1"/>
  <c r="F447" i="1"/>
  <c r="G447" i="1"/>
  <c r="A448" i="1"/>
  <c r="B448" i="1"/>
  <c r="C448" i="1"/>
  <c r="E448" i="1"/>
  <c r="F448" i="1"/>
  <c r="G448" i="1"/>
  <c r="A449" i="1"/>
  <c r="B449" i="1"/>
  <c r="C449" i="1"/>
  <c r="E449" i="1"/>
  <c r="F449" i="1"/>
  <c r="G449" i="1"/>
  <c r="A450" i="1"/>
  <c r="B450" i="1"/>
  <c r="C450" i="1"/>
  <c r="E450" i="1"/>
  <c r="F450" i="1"/>
  <c r="G450" i="1"/>
  <c r="A451" i="1"/>
  <c r="B451" i="1"/>
  <c r="C451" i="1"/>
  <c r="D451" i="1"/>
  <c r="E451" i="1"/>
  <c r="F451" i="1"/>
  <c r="G451" i="1"/>
  <c r="A452" i="1"/>
  <c r="B452" i="1"/>
  <c r="C452" i="1"/>
  <c r="D452" i="1"/>
  <c r="E452" i="1"/>
  <c r="F452" i="1"/>
  <c r="G452" i="1"/>
  <c r="A453" i="1"/>
  <c r="B453" i="1"/>
  <c r="C453" i="1"/>
  <c r="E453" i="1"/>
  <c r="F453" i="1"/>
  <c r="G453" i="1"/>
  <c r="A454" i="1"/>
  <c r="B454" i="1"/>
  <c r="C454" i="1"/>
  <c r="E454" i="1"/>
  <c r="F454" i="1"/>
  <c r="G454" i="1"/>
  <c r="A455" i="1"/>
  <c r="B455" i="1"/>
  <c r="C455" i="1"/>
  <c r="E455" i="1"/>
  <c r="F455" i="1"/>
  <c r="G455" i="1"/>
  <c r="A456" i="1"/>
  <c r="B456" i="1"/>
  <c r="C456" i="1"/>
  <c r="E456" i="1"/>
  <c r="F456" i="1"/>
  <c r="G456" i="1"/>
  <c r="A457" i="1"/>
  <c r="B457" i="1"/>
  <c r="C457" i="1"/>
  <c r="E457" i="1"/>
  <c r="F457" i="1"/>
  <c r="G457" i="1"/>
  <c r="A458" i="1"/>
  <c r="B458" i="1"/>
  <c r="C458" i="1"/>
  <c r="E458" i="1"/>
  <c r="F458" i="1"/>
  <c r="G458" i="1"/>
  <c r="A459" i="1"/>
  <c r="B459" i="1"/>
  <c r="C459" i="1"/>
  <c r="D459" i="1"/>
  <c r="E459" i="1"/>
  <c r="F459" i="1"/>
  <c r="G459" i="1"/>
  <c r="A460" i="1"/>
  <c r="B460" i="1"/>
  <c r="C460" i="1"/>
  <c r="E460" i="1"/>
  <c r="F460" i="1"/>
  <c r="G460" i="1"/>
  <c r="A461" i="1"/>
  <c r="B461" i="1"/>
  <c r="C461" i="1"/>
  <c r="E461" i="1"/>
  <c r="F461" i="1"/>
  <c r="G461" i="1"/>
  <c r="A462" i="1"/>
  <c r="B462" i="1"/>
  <c r="C462" i="1"/>
  <c r="E462" i="1"/>
  <c r="F462" i="1"/>
  <c r="G462" i="1"/>
  <c r="A463" i="1"/>
  <c r="B463" i="1"/>
  <c r="C463" i="1"/>
  <c r="E463" i="1"/>
  <c r="F463" i="1"/>
  <c r="G463" i="1"/>
  <c r="A464" i="1"/>
  <c r="B464" i="1"/>
  <c r="C464" i="1"/>
  <c r="D464" i="1"/>
  <c r="E464" i="1"/>
  <c r="F464" i="1"/>
  <c r="G464" i="1"/>
  <c r="A465" i="1"/>
  <c r="B465" i="1"/>
  <c r="C465" i="1"/>
  <c r="E465" i="1"/>
  <c r="F465" i="1"/>
  <c r="G465" i="1"/>
  <c r="A466" i="1"/>
  <c r="B466" i="1"/>
  <c r="C466" i="1"/>
  <c r="E466" i="1"/>
  <c r="F466" i="1"/>
  <c r="G466" i="1"/>
  <c r="A467" i="1"/>
  <c r="B467" i="1"/>
  <c r="C467" i="1"/>
  <c r="D467" i="1"/>
  <c r="E467" i="1"/>
  <c r="F467" i="1"/>
  <c r="G467" i="1"/>
  <c r="A468" i="1"/>
  <c r="B468" i="1"/>
  <c r="C468" i="1"/>
  <c r="E468" i="1"/>
  <c r="F468" i="1"/>
  <c r="G468" i="1"/>
  <c r="A469" i="1"/>
  <c r="B469" i="1"/>
  <c r="C469" i="1"/>
  <c r="E469" i="1"/>
  <c r="F469" i="1"/>
  <c r="G469" i="1"/>
  <c r="A470" i="1"/>
  <c r="B470" i="1"/>
  <c r="C470" i="1"/>
  <c r="E470" i="1"/>
  <c r="F470" i="1"/>
  <c r="G470" i="1"/>
  <c r="A471" i="1"/>
  <c r="B471" i="1"/>
  <c r="C471" i="1"/>
  <c r="E471" i="1"/>
  <c r="F471" i="1"/>
  <c r="G471" i="1"/>
  <c r="A472" i="1"/>
  <c r="B472" i="1"/>
  <c r="C472" i="1"/>
  <c r="E472" i="1"/>
  <c r="F472" i="1"/>
  <c r="G472" i="1"/>
  <c r="A473" i="1"/>
  <c r="B473" i="1"/>
  <c r="C473" i="1"/>
  <c r="E473" i="1"/>
  <c r="F473" i="1"/>
  <c r="G473" i="1"/>
  <c r="A474" i="1"/>
  <c r="B474" i="1"/>
  <c r="C474" i="1"/>
  <c r="E474" i="1"/>
  <c r="F474" i="1"/>
  <c r="G474" i="1"/>
  <c r="A475" i="1"/>
  <c r="B475" i="1"/>
  <c r="C475" i="1"/>
  <c r="E475" i="1"/>
  <c r="F475" i="1"/>
  <c r="G475" i="1"/>
  <c r="A476" i="1"/>
  <c r="B476" i="1"/>
  <c r="C476" i="1"/>
  <c r="E476" i="1"/>
  <c r="F476" i="1"/>
  <c r="G476" i="1"/>
  <c r="A477" i="1"/>
  <c r="B477" i="1"/>
  <c r="C477" i="1"/>
  <c r="E477" i="1"/>
  <c r="F477" i="1"/>
  <c r="G477" i="1"/>
  <c r="A478" i="1"/>
  <c r="B478" i="1"/>
  <c r="C478" i="1"/>
  <c r="E478" i="1"/>
  <c r="F478" i="1"/>
  <c r="G478" i="1"/>
  <c r="A479" i="1"/>
  <c r="B479" i="1"/>
  <c r="C479" i="1"/>
  <c r="E479" i="1"/>
  <c r="F479" i="1"/>
  <c r="G479" i="1"/>
  <c r="A480" i="1"/>
  <c r="B480" i="1"/>
  <c r="C480" i="1"/>
  <c r="D480" i="1"/>
  <c r="E480" i="1"/>
  <c r="F480" i="1"/>
  <c r="G480" i="1"/>
  <c r="A481" i="1"/>
  <c r="B481" i="1"/>
  <c r="C481" i="1"/>
  <c r="E481" i="1"/>
  <c r="F481" i="1"/>
  <c r="G481" i="1"/>
  <c r="A482" i="1"/>
  <c r="B482" i="1"/>
  <c r="C482" i="1"/>
  <c r="E482" i="1"/>
  <c r="F482" i="1"/>
  <c r="G482" i="1"/>
  <c r="A483" i="1"/>
  <c r="B483" i="1"/>
  <c r="C483" i="1"/>
  <c r="D483" i="1"/>
  <c r="E483" i="1"/>
  <c r="F483" i="1"/>
  <c r="G483" i="1"/>
  <c r="A484" i="1"/>
  <c r="B484" i="1"/>
  <c r="C484" i="1"/>
  <c r="E484" i="1"/>
  <c r="F484" i="1"/>
  <c r="G484" i="1"/>
  <c r="A485" i="1"/>
  <c r="B485" i="1"/>
  <c r="C485" i="1"/>
  <c r="E485" i="1"/>
  <c r="F485" i="1"/>
  <c r="G485" i="1"/>
  <c r="A486" i="1"/>
  <c r="B486" i="1"/>
  <c r="C486" i="1"/>
  <c r="E486" i="1"/>
  <c r="F486" i="1"/>
  <c r="G486" i="1"/>
  <c r="A487" i="1"/>
  <c r="B487" i="1"/>
  <c r="C487" i="1"/>
  <c r="E487" i="1"/>
  <c r="F487" i="1"/>
  <c r="G487" i="1"/>
  <c r="A488" i="1"/>
  <c r="B488" i="1"/>
  <c r="C488" i="1"/>
  <c r="E488" i="1"/>
  <c r="F488" i="1"/>
  <c r="G488" i="1"/>
  <c r="A489" i="1"/>
  <c r="B489" i="1"/>
  <c r="C489" i="1"/>
  <c r="E489" i="1"/>
  <c r="F489" i="1"/>
  <c r="G489" i="1"/>
  <c r="A490" i="1"/>
  <c r="B490" i="1"/>
  <c r="C490" i="1"/>
  <c r="E490" i="1"/>
  <c r="F490" i="1"/>
  <c r="G490" i="1"/>
  <c r="A491" i="1"/>
  <c r="B491" i="1"/>
  <c r="C491" i="1"/>
  <c r="E491" i="1"/>
  <c r="F491" i="1"/>
  <c r="G491" i="1"/>
  <c r="A492" i="1"/>
  <c r="B492" i="1"/>
  <c r="C492" i="1"/>
  <c r="D492" i="1"/>
  <c r="E492" i="1"/>
  <c r="F492" i="1"/>
  <c r="G492" i="1"/>
  <c r="A493" i="1"/>
  <c r="B493" i="1"/>
  <c r="C493" i="1"/>
  <c r="E493" i="1"/>
  <c r="F493" i="1"/>
  <c r="G493" i="1"/>
  <c r="A494" i="1"/>
  <c r="B494" i="1"/>
  <c r="C494" i="1"/>
  <c r="E494" i="1"/>
  <c r="F494" i="1"/>
  <c r="G494" i="1"/>
  <c r="A495" i="1"/>
  <c r="B495" i="1"/>
  <c r="C495" i="1"/>
  <c r="E495" i="1"/>
  <c r="F495" i="1"/>
  <c r="G495" i="1"/>
  <c r="A496" i="1"/>
  <c r="B496" i="1"/>
  <c r="C496" i="1"/>
  <c r="E496" i="1"/>
  <c r="F496" i="1"/>
  <c r="G496" i="1"/>
  <c r="A497" i="1"/>
  <c r="B497" i="1"/>
  <c r="C497" i="1"/>
  <c r="E497" i="1"/>
  <c r="F497" i="1"/>
  <c r="G497" i="1"/>
  <c r="A498" i="1"/>
  <c r="B498" i="1"/>
  <c r="C498" i="1"/>
  <c r="E498" i="1"/>
  <c r="F498" i="1"/>
  <c r="G498" i="1"/>
  <c r="A499" i="1"/>
  <c r="B499" i="1"/>
  <c r="C499" i="1"/>
  <c r="D499" i="1"/>
  <c r="E499" i="1"/>
  <c r="F499" i="1"/>
  <c r="G499" i="1"/>
  <c r="A500" i="1"/>
  <c r="B500" i="1"/>
  <c r="C500" i="1"/>
  <c r="D500" i="1"/>
  <c r="E500" i="1"/>
  <c r="F500" i="1"/>
  <c r="G500" i="1"/>
  <c r="A501" i="1"/>
  <c r="B501" i="1"/>
  <c r="C501" i="1"/>
  <c r="E501" i="1"/>
  <c r="F501" i="1"/>
  <c r="G501" i="1"/>
  <c r="A502" i="1"/>
  <c r="B502" i="1"/>
  <c r="C502" i="1"/>
  <c r="E502" i="1"/>
  <c r="F502" i="1"/>
  <c r="G502" i="1"/>
  <c r="A503" i="1"/>
  <c r="B503" i="1"/>
  <c r="C503" i="1"/>
  <c r="E503" i="1"/>
  <c r="F503" i="1"/>
  <c r="G503" i="1"/>
  <c r="A504" i="1"/>
  <c r="B504" i="1"/>
  <c r="C504" i="1"/>
  <c r="E504" i="1"/>
  <c r="F504" i="1"/>
  <c r="G504" i="1"/>
  <c r="A505" i="1"/>
  <c r="B505" i="1"/>
  <c r="C505" i="1"/>
  <c r="E505" i="1"/>
  <c r="F505" i="1"/>
  <c r="G505" i="1"/>
  <c r="A506" i="1"/>
  <c r="B506" i="1"/>
  <c r="C506" i="1"/>
  <c r="E506" i="1"/>
  <c r="F506" i="1"/>
  <c r="G506" i="1"/>
  <c r="A507" i="1"/>
  <c r="B507" i="1"/>
  <c r="C507" i="1"/>
  <c r="D507" i="1"/>
  <c r="E507" i="1"/>
  <c r="F507" i="1"/>
  <c r="G507" i="1"/>
  <c r="A508" i="1"/>
  <c r="B508" i="1"/>
  <c r="C508" i="1"/>
  <c r="D508" i="1"/>
  <c r="E508" i="1"/>
  <c r="F508" i="1"/>
  <c r="G508" i="1"/>
  <c r="A509" i="1"/>
  <c r="B509" i="1"/>
  <c r="C509" i="1"/>
  <c r="E509" i="1"/>
  <c r="F509" i="1"/>
  <c r="G509" i="1"/>
  <c r="A510" i="1"/>
  <c r="B510" i="1"/>
  <c r="C510" i="1"/>
  <c r="E510" i="1"/>
  <c r="F510" i="1"/>
  <c r="G510" i="1"/>
  <c r="A511" i="1"/>
  <c r="B511" i="1"/>
  <c r="C511" i="1"/>
  <c r="E511" i="1"/>
  <c r="F511" i="1"/>
  <c r="G511" i="1"/>
  <c r="A512" i="1"/>
  <c r="B512" i="1"/>
  <c r="C512" i="1"/>
  <c r="E512" i="1"/>
  <c r="F512" i="1"/>
  <c r="G512" i="1"/>
  <c r="A513" i="1"/>
  <c r="B513" i="1"/>
  <c r="C513" i="1"/>
  <c r="D513" i="1"/>
  <c r="E513" i="1"/>
  <c r="F513" i="1"/>
  <c r="G513" i="1"/>
  <c r="A514" i="1"/>
  <c r="B514" i="1"/>
  <c r="C514" i="1"/>
  <c r="E514" i="1"/>
  <c r="F514" i="1"/>
  <c r="G514" i="1"/>
  <c r="A515" i="1"/>
  <c r="B515" i="1"/>
  <c r="C515" i="1"/>
  <c r="E515" i="1"/>
  <c r="F515" i="1"/>
  <c r="G515" i="1"/>
  <c r="A516" i="1"/>
  <c r="B516" i="1"/>
  <c r="C516" i="1"/>
  <c r="D516" i="1"/>
  <c r="E516" i="1"/>
  <c r="F516" i="1"/>
  <c r="G516" i="1"/>
  <c r="A517" i="1"/>
  <c r="B517" i="1"/>
  <c r="C517" i="1"/>
  <c r="E517" i="1"/>
  <c r="F517" i="1"/>
  <c r="G517" i="1"/>
  <c r="A518" i="1"/>
  <c r="B518" i="1"/>
  <c r="C518" i="1"/>
  <c r="E518" i="1"/>
  <c r="F518" i="1"/>
  <c r="G518" i="1"/>
  <c r="A519" i="1"/>
  <c r="B519" i="1"/>
  <c r="C519" i="1"/>
  <c r="D519" i="1"/>
  <c r="E519" i="1"/>
  <c r="F519" i="1"/>
  <c r="G519" i="1"/>
  <c r="A520" i="1"/>
  <c r="B520" i="1"/>
  <c r="C520" i="1"/>
  <c r="E520" i="1"/>
  <c r="F520" i="1"/>
  <c r="G520" i="1"/>
  <c r="A521" i="1"/>
  <c r="B521" i="1"/>
  <c r="C521" i="1"/>
  <c r="E521" i="1"/>
  <c r="F521" i="1"/>
  <c r="G521" i="1"/>
  <c r="A522" i="1"/>
  <c r="B522" i="1"/>
  <c r="C522" i="1"/>
  <c r="E522" i="1"/>
  <c r="F522" i="1"/>
  <c r="G522" i="1"/>
  <c r="A523" i="1"/>
  <c r="B523" i="1"/>
  <c r="C523" i="1"/>
  <c r="E523" i="1"/>
  <c r="F523" i="1"/>
  <c r="G523" i="1"/>
  <c r="A524" i="1"/>
  <c r="B524" i="1"/>
  <c r="C524" i="1"/>
  <c r="E524" i="1"/>
  <c r="F524" i="1"/>
  <c r="G524" i="1"/>
  <c r="A525" i="1"/>
  <c r="B525" i="1"/>
  <c r="C525" i="1"/>
  <c r="E525" i="1"/>
  <c r="F525" i="1"/>
  <c r="G525" i="1"/>
  <c r="A526" i="1"/>
  <c r="B526" i="1"/>
  <c r="C526" i="1"/>
  <c r="E526" i="1"/>
  <c r="F526" i="1"/>
  <c r="G526" i="1"/>
  <c r="A527" i="1"/>
  <c r="B527" i="1"/>
  <c r="C527" i="1"/>
  <c r="E527" i="1"/>
  <c r="F527" i="1"/>
  <c r="G527" i="1"/>
  <c r="A528" i="1"/>
  <c r="B528" i="1"/>
  <c r="C528" i="1"/>
  <c r="D528" i="1"/>
  <c r="E528" i="1"/>
  <c r="F528" i="1"/>
  <c r="G528" i="1"/>
  <c r="A529" i="1"/>
  <c r="B529" i="1"/>
  <c r="C529" i="1"/>
  <c r="D529" i="1"/>
  <c r="E529" i="1"/>
  <c r="F529" i="1"/>
  <c r="G529" i="1"/>
  <c r="A530" i="1"/>
  <c r="B530" i="1"/>
  <c r="C530" i="1"/>
  <c r="E530" i="1"/>
  <c r="F530" i="1"/>
  <c r="G530" i="1"/>
  <c r="A531" i="1"/>
  <c r="B531" i="1"/>
  <c r="C531" i="1"/>
  <c r="D531" i="1"/>
  <c r="E531" i="1"/>
  <c r="F531" i="1"/>
  <c r="G531" i="1"/>
  <c r="A532" i="1"/>
  <c r="B532" i="1"/>
  <c r="C532" i="1"/>
  <c r="D532" i="1"/>
  <c r="E532" i="1"/>
  <c r="F532" i="1"/>
  <c r="G532" i="1"/>
  <c r="A533" i="1"/>
  <c r="B533" i="1"/>
  <c r="C533" i="1"/>
  <c r="E533" i="1"/>
  <c r="F533" i="1"/>
  <c r="G533" i="1"/>
  <c r="A534" i="1"/>
  <c r="B534" i="1"/>
  <c r="C534" i="1"/>
  <c r="E534" i="1"/>
  <c r="F534" i="1"/>
  <c r="G534" i="1"/>
  <c r="A535" i="1"/>
  <c r="B535" i="1"/>
  <c r="C535" i="1"/>
  <c r="E535" i="1"/>
  <c r="F535" i="1"/>
  <c r="G535" i="1"/>
  <c r="A536" i="1"/>
  <c r="B536" i="1"/>
  <c r="C536" i="1"/>
  <c r="E536" i="1"/>
  <c r="F536" i="1"/>
  <c r="G536" i="1"/>
  <c r="A537" i="1"/>
  <c r="B537" i="1"/>
  <c r="C537" i="1"/>
  <c r="E537" i="1"/>
  <c r="F537" i="1"/>
  <c r="G537" i="1"/>
  <c r="A538" i="1"/>
  <c r="B538" i="1"/>
  <c r="C538" i="1"/>
  <c r="E538" i="1"/>
  <c r="F538" i="1"/>
  <c r="G538" i="1"/>
  <c r="A539" i="1"/>
  <c r="B539" i="1"/>
  <c r="C539" i="1"/>
  <c r="E539" i="1"/>
  <c r="F539" i="1"/>
  <c r="G539" i="1"/>
  <c r="A540" i="1"/>
  <c r="B540" i="1"/>
  <c r="C540" i="1"/>
  <c r="E540" i="1"/>
  <c r="F540" i="1"/>
  <c r="G540" i="1"/>
  <c r="A541" i="1"/>
  <c r="B541" i="1"/>
  <c r="C541" i="1"/>
  <c r="E541" i="1"/>
  <c r="F541" i="1"/>
  <c r="G541" i="1"/>
  <c r="A542" i="1"/>
  <c r="B542" i="1"/>
  <c r="C542" i="1"/>
  <c r="E542" i="1"/>
  <c r="F542" i="1"/>
  <c r="G542" i="1"/>
  <c r="A543" i="1"/>
  <c r="B543" i="1"/>
  <c r="C543" i="1"/>
  <c r="E543" i="1"/>
  <c r="F543" i="1"/>
  <c r="G543" i="1"/>
  <c r="A544" i="1"/>
  <c r="B544" i="1"/>
  <c r="C544" i="1"/>
  <c r="E544" i="1"/>
  <c r="F544" i="1"/>
  <c r="G544" i="1"/>
  <c r="A545" i="1"/>
  <c r="B545" i="1"/>
  <c r="C545" i="1"/>
  <c r="E545" i="1"/>
  <c r="F545" i="1"/>
  <c r="G545" i="1"/>
  <c r="A546" i="1"/>
  <c r="B546" i="1"/>
  <c r="C546" i="1"/>
  <c r="D546" i="1"/>
  <c r="E546" i="1"/>
  <c r="F546" i="1"/>
  <c r="G546" i="1"/>
  <c r="A547" i="1"/>
  <c r="B547" i="1"/>
  <c r="C547" i="1"/>
  <c r="E547" i="1"/>
  <c r="F547" i="1"/>
  <c r="G547" i="1"/>
  <c r="A548" i="1"/>
  <c r="B548" i="1"/>
  <c r="C548" i="1"/>
  <c r="E548" i="1"/>
  <c r="F548" i="1"/>
  <c r="G548" i="1"/>
  <c r="A549" i="1"/>
  <c r="B549" i="1"/>
  <c r="C549" i="1"/>
  <c r="E549" i="1"/>
  <c r="F549" i="1"/>
  <c r="G549" i="1"/>
  <c r="A550" i="1"/>
  <c r="B550" i="1"/>
  <c r="C550" i="1"/>
  <c r="E550" i="1"/>
  <c r="F550" i="1"/>
  <c r="G550" i="1"/>
  <c r="A551" i="1"/>
  <c r="B551" i="1"/>
  <c r="C551" i="1"/>
  <c r="E551" i="1"/>
  <c r="F551" i="1"/>
  <c r="G551" i="1"/>
  <c r="A552" i="1"/>
  <c r="B552" i="1"/>
  <c r="C552" i="1"/>
  <c r="D552" i="1"/>
  <c r="E552" i="1"/>
  <c r="F552" i="1"/>
  <c r="G552" i="1"/>
  <c r="A553" i="1"/>
  <c r="B553" i="1"/>
  <c r="C553" i="1"/>
  <c r="E553" i="1"/>
  <c r="F553" i="1"/>
  <c r="G553" i="1"/>
  <c r="A554" i="1"/>
  <c r="B554" i="1"/>
  <c r="C554" i="1"/>
  <c r="E554" i="1"/>
  <c r="F554" i="1"/>
  <c r="G554" i="1"/>
  <c r="A555" i="1"/>
  <c r="B555" i="1"/>
  <c r="C555" i="1"/>
  <c r="E555" i="1"/>
  <c r="F555" i="1"/>
  <c r="G555" i="1"/>
  <c r="A556" i="1"/>
  <c r="B556" i="1"/>
  <c r="C556" i="1"/>
  <c r="E556" i="1"/>
  <c r="F556" i="1"/>
  <c r="G556" i="1"/>
  <c r="A557" i="1"/>
  <c r="B557" i="1"/>
  <c r="C557" i="1"/>
  <c r="E557" i="1"/>
  <c r="F557" i="1"/>
  <c r="G557" i="1"/>
  <c r="A558" i="1"/>
  <c r="B558" i="1"/>
  <c r="C558" i="1"/>
  <c r="E558" i="1"/>
  <c r="F558" i="1"/>
  <c r="G558" i="1"/>
  <c r="A559" i="1"/>
  <c r="B559" i="1"/>
  <c r="C559" i="1"/>
  <c r="E559" i="1"/>
  <c r="F559" i="1"/>
  <c r="G559" i="1"/>
  <c r="A560" i="1"/>
  <c r="B560" i="1"/>
  <c r="C560" i="1"/>
  <c r="E560" i="1"/>
  <c r="F560" i="1"/>
  <c r="G560" i="1"/>
  <c r="A561" i="1"/>
  <c r="B561" i="1"/>
  <c r="C561" i="1"/>
  <c r="E561" i="1"/>
  <c r="F561" i="1"/>
  <c r="G561" i="1"/>
  <c r="A562" i="1"/>
  <c r="B562" i="1"/>
  <c r="C562" i="1"/>
  <c r="E562" i="1"/>
  <c r="F562" i="1"/>
  <c r="G562" i="1"/>
  <c r="A563" i="1"/>
  <c r="B563" i="1"/>
  <c r="C563" i="1"/>
  <c r="E563" i="1"/>
  <c r="F563" i="1"/>
  <c r="G563" i="1"/>
  <c r="A564" i="1"/>
  <c r="B564" i="1"/>
  <c r="C564" i="1"/>
  <c r="E564" i="1"/>
  <c r="F564" i="1"/>
  <c r="G564" i="1"/>
  <c r="A565" i="1"/>
  <c r="B565" i="1"/>
  <c r="C565" i="1"/>
  <c r="E565" i="1"/>
  <c r="F565" i="1"/>
  <c r="G565" i="1"/>
  <c r="A566" i="1"/>
  <c r="B566" i="1"/>
  <c r="C566" i="1"/>
  <c r="E566" i="1"/>
  <c r="F566" i="1"/>
  <c r="G566" i="1"/>
  <c r="A567" i="1"/>
  <c r="B567" i="1"/>
  <c r="C567" i="1"/>
  <c r="D567" i="1"/>
  <c r="E567" i="1"/>
  <c r="F567" i="1"/>
  <c r="G567" i="1"/>
  <c r="A568" i="1"/>
  <c r="B568" i="1"/>
  <c r="C568" i="1"/>
  <c r="E568" i="1"/>
  <c r="F568" i="1"/>
  <c r="G568" i="1"/>
  <c r="A569" i="1"/>
  <c r="B569" i="1"/>
  <c r="C569" i="1"/>
  <c r="E569" i="1"/>
  <c r="F569" i="1"/>
  <c r="G569" i="1"/>
  <c r="A570" i="1"/>
  <c r="B570" i="1"/>
  <c r="C570" i="1"/>
  <c r="E570" i="1"/>
  <c r="F570" i="1"/>
  <c r="G570" i="1"/>
  <c r="A571" i="1"/>
  <c r="B571" i="1"/>
  <c r="C571" i="1"/>
  <c r="E571" i="1"/>
  <c r="F571" i="1"/>
  <c r="G571" i="1"/>
  <c r="A572" i="1"/>
  <c r="B572" i="1"/>
  <c r="C572" i="1"/>
  <c r="E572" i="1"/>
  <c r="F572" i="1"/>
  <c r="G572" i="1"/>
  <c r="A573" i="1"/>
  <c r="B573" i="1"/>
  <c r="C573" i="1"/>
  <c r="E573" i="1"/>
  <c r="F573" i="1"/>
  <c r="G573" i="1"/>
  <c r="A574" i="1"/>
  <c r="B574" i="1"/>
  <c r="C574" i="1"/>
  <c r="E574" i="1"/>
  <c r="F574" i="1"/>
  <c r="G574" i="1"/>
  <c r="A575" i="1"/>
  <c r="B575" i="1"/>
  <c r="C575" i="1"/>
  <c r="E575" i="1"/>
  <c r="F575" i="1"/>
  <c r="G575" i="1"/>
  <c r="A576" i="1"/>
  <c r="B576" i="1"/>
  <c r="C576" i="1"/>
  <c r="E576" i="1"/>
  <c r="F576" i="1"/>
  <c r="G576" i="1"/>
  <c r="A577" i="1"/>
  <c r="B577" i="1"/>
  <c r="C577" i="1"/>
  <c r="E577" i="1"/>
  <c r="F577" i="1"/>
  <c r="G577" i="1"/>
  <c r="A578" i="1"/>
  <c r="B578" i="1"/>
  <c r="C578" i="1"/>
  <c r="D578" i="1"/>
  <c r="E578" i="1"/>
  <c r="F578" i="1"/>
  <c r="G578" i="1"/>
  <c r="K598" i="1" l="1"/>
  <c r="D598" i="1" s="1"/>
  <c r="K495" i="1"/>
  <c r="D495" i="1" s="1"/>
  <c r="K479" i="1"/>
  <c r="D479" i="1" s="1"/>
  <c r="K463" i="1"/>
  <c r="D463" i="1" s="1"/>
  <c r="K447" i="1"/>
  <c r="D447" i="1" s="1"/>
  <c r="K399" i="1"/>
  <c r="D399" i="1" s="1"/>
  <c r="K573" i="1"/>
  <c r="D573" i="1" s="1"/>
  <c r="K571" i="1"/>
  <c r="D571" i="1" s="1"/>
  <c r="K569" i="1"/>
  <c r="D569" i="1" s="1"/>
  <c r="K548" i="1"/>
  <c r="D548" i="1" s="1"/>
  <c r="K247" i="1"/>
  <c r="D247" i="1" s="1"/>
  <c r="K114" i="1"/>
  <c r="D114" i="1" s="1"/>
  <c r="K563" i="1"/>
  <c r="D563" i="1" s="1"/>
  <c r="K545" i="1"/>
  <c r="D545" i="1" s="1"/>
  <c r="K509" i="1"/>
  <c r="D509" i="1" s="1"/>
  <c r="K431" i="1"/>
  <c r="D431" i="1" s="1"/>
  <c r="K415" i="1"/>
  <c r="D415" i="1" s="1"/>
  <c r="K242" i="1"/>
  <c r="D242" i="1" s="1"/>
  <c r="K75" i="1"/>
  <c r="D75" i="1" s="1"/>
  <c r="K591" i="1"/>
  <c r="D591" i="1" s="1"/>
  <c r="K535" i="1"/>
  <c r="D535" i="1" s="1"/>
  <c r="K503" i="1"/>
  <c r="D503" i="1" s="1"/>
  <c r="K487" i="1"/>
  <c r="D487" i="1" s="1"/>
  <c r="K471" i="1"/>
  <c r="D471" i="1" s="1"/>
  <c r="K455" i="1"/>
  <c r="D455" i="1" s="1"/>
  <c r="K439" i="1"/>
  <c r="D439" i="1" s="1"/>
  <c r="K423" i="1"/>
  <c r="D423" i="1" s="1"/>
  <c r="K407" i="1"/>
  <c r="D407" i="1" s="1"/>
  <c r="K384" i="1"/>
  <c r="D384" i="1" s="1"/>
  <c r="K338" i="1"/>
  <c r="D338" i="1" s="1"/>
  <c r="K290" i="1"/>
  <c r="D290" i="1" s="1"/>
  <c r="K119" i="1"/>
  <c r="D119" i="1" s="1"/>
  <c r="K556" i="1"/>
  <c r="D556" i="1" s="1"/>
  <c r="K533" i="1"/>
  <c r="D533" i="1" s="1"/>
  <c r="K530" i="1"/>
  <c r="D530" i="1" s="1"/>
  <c r="K527" i="1"/>
  <c r="D527" i="1" s="1"/>
  <c r="K501" i="1"/>
  <c r="D501" i="1" s="1"/>
  <c r="K493" i="1"/>
  <c r="D493" i="1" s="1"/>
  <c r="K485" i="1"/>
  <c r="D485" i="1" s="1"/>
  <c r="K477" i="1"/>
  <c r="D477" i="1" s="1"/>
  <c r="K469" i="1"/>
  <c r="D469" i="1" s="1"/>
  <c r="K461" i="1"/>
  <c r="D461" i="1" s="1"/>
  <c r="K453" i="1"/>
  <c r="D453" i="1" s="1"/>
  <c r="K445" i="1"/>
  <c r="D445" i="1" s="1"/>
  <c r="K437" i="1"/>
  <c r="D437" i="1" s="1"/>
  <c r="K429" i="1"/>
  <c r="D429" i="1" s="1"/>
  <c r="K421" i="1"/>
  <c r="D421" i="1" s="1"/>
  <c r="K413" i="1"/>
  <c r="D413" i="1" s="1"/>
  <c r="K405" i="1"/>
  <c r="D405" i="1" s="1"/>
  <c r="K397" i="1"/>
  <c r="D397" i="1" s="1"/>
  <c r="K358" i="1"/>
  <c r="D358" i="1" s="1"/>
  <c r="K336" i="1"/>
  <c r="D336" i="1" s="1"/>
  <c r="K323" i="1"/>
  <c r="D323" i="1" s="1"/>
  <c r="K321" i="1"/>
  <c r="D321" i="1" s="1"/>
  <c r="K312" i="1"/>
  <c r="D312" i="1" s="1"/>
  <c r="K310" i="1"/>
  <c r="D310" i="1" s="1"/>
  <c r="K288" i="1"/>
  <c r="D288" i="1" s="1"/>
  <c r="K258" i="1"/>
  <c r="D258" i="1" s="1"/>
  <c r="K256" i="1"/>
  <c r="D256" i="1" s="1"/>
  <c r="K254" i="1"/>
  <c r="D254" i="1" s="1"/>
  <c r="K240" i="1"/>
  <c r="D240" i="1" s="1"/>
  <c r="K227" i="1"/>
  <c r="D227" i="1" s="1"/>
  <c r="K220" i="1"/>
  <c r="D220" i="1" s="1"/>
  <c r="K190" i="1"/>
  <c r="D190" i="1" s="1"/>
  <c r="K175" i="1"/>
  <c r="D175" i="1" s="1"/>
  <c r="K164" i="1"/>
  <c r="D164" i="1" s="1"/>
  <c r="K138" i="1"/>
  <c r="D138" i="1" s="1"/>
  <c r="K136" i="1"/>
  <c r="D136" i="1" s="1"/>
  <c r="K134" i="1"/>
  <c r="D134" i="1" s="1"/>
  <c r="K129" i="1"/>
  <c r="D129" i="1" s="1"/>
  <c r="K112" i="1"/>
  <c r="D112" i="1" s="1"/>
  <c r="K99" i="1"/>
  <c r="D99" i="1" s="1"/>
  <c r="K92" i="1"/>
  <c r="D92" i="1" s="1"/>
  <c r="K62" i="1"/>
  <c r="D62" i="1" s="1"/>
  <c r="K47" i="1"/>
  <c r="D47" i="1" s="1"/>
  <c r="K45" i="1"/>
  <c r="D45" i="1" s="1"/>
  <c r="K36" i="1"/>
  <c r="D36" i="1" s="1"/>
  <c r="K10" i="1"/>
  <c r="D10" i="1" s="1"/>
  <c r="K8" i="1"/>
  <c r="D8" i="1" s="1"/>
  <c r="K584" i="1"/>
  <c r="D584" i="1" s="1"/>
  <c r="K580" i="1"/>
  <c r="D580" i="1" s="1"/>
  <c r="K565" i="1"/>
  <c r="D565" i="1" s="1"/>
  <c r="K562" i="1"/>
  <c r="D562" i="1" s="1"/>
  <c r="K559" i="1"/>
  <c r="D559" i="1" s="1"/>
  <c r="K539" i="1"/>
  <c r="D539" i="1" s="1"/>
  <c r="K537" i="1"/>
  <c r="D537" i="1" s="1"/>
  <c r="K524" i="1"/>
  <c r="D524" i="1" s="1"/>
  <c r="K505" i="1"/>
  <c r="D505" i="1" s="1"/>
  <c r="K502" i="1"/>
  <c r="D502" i="1" s="1"/>
  <c r="K497" i="1"/>
  <c r="D497" i="1" s="1"/>
  <c r="K494" i="1"/>
  <c r="D494" i="1" s="1"/>
  <c r="K489" i="1"/>
  <c r="D489" i="1" s="1"/>
  <c r="K486" i="1"/>
  <c r="D486" i="1" s="1"/>
  <c r="K481" i="1"/>
  <c r="D481" i="1" s="1"/>
  <c r="K478" i="1"/>
  <c r="D478" i="1" s="1"/>
  <c r="K473" i="1"/>
  <c r="D473" i="1" s="1"/>
  <c r="K470" i="1"/>
  <c r="D470" i="1" s="1"/>
  <c r="K465" i="1"/>
  <c r="D465" i="1" s="1"/>
  <c r="K462" i="1"/>
  <c r="D462" i="1" s="1"/>
  <c r="K457" i="1"/>
  <c r="D457" i="1" s="1"/>
  <c r="K454" i="1"/>
  <c r="D454" i="1" s="1"/>
  <c r="K449" i="1"/>
  <c r="D449" i="1" s="1"/>
  <c r="K446" i="1"/>
  <c r="D446" i="1" s="1"/>
  <c r="K441" i="1"/>
  <c r="D441" i="1" s="1"/>
  <c r="K438" i="1"/>
  <c r="D438" i="1" s="1"/>
  <c r="K433" i="1"/>
  <c r="D433" i="1" s="1"/>
  <c r="K430" i="1"/>
  <c r="D430" i="1" s="1"/>
  <c r="K425" i="1"/>
  <c r="D425" i="1" s="1"/>
  <c r="K422" i="1"/>
  <c r="D422" i="1" s="1"/>
  <c r="K417" i="1"/>
  <c r="D417" i="1" s="1"/>
  <c r="K414" i="1"/>
  <c r="D414" i="1" s="1"/>
  <c r="K409" i="1"/>
  <c r="D409" i="1" s="1"/>
  <c r="K406" i="1"/>
  <c r="D406" i="1" s="1"/>
  <c r="K401" i="1"/>
  <c r="D401" i="1" s="1"/>
  <c r="K383" i="1"/>
  <c r="D383" i="1" s="1"/>
  <c r="K381" i="1"/>
  <c r="D381" i="1" s="1"/>
  <c r="K361" i="1"/>
  <c r="D361" i="1" s="1"/>
  <c r="K359" i="1"/>
  <c r="D359" i="1" s="1"/>
  <c r="K335" i="1"/>
  <c r="D335" i="1" s="1"/>
  <c r="K324" i="1"/>
  <c r="D324" i="1" s="1"/>
  <c r="K302" i="1"/>
  <c r="D302" i="1" s="1"/>
  <c r="K287" i="1"/>
  <c r="D287" i="1" s="1"/>
  <c r="K276" i="1"/>
  <c r="D276" i="1" s="1"/>
  <c r="K239" i="1"/>
  <c r="D239" i="1" s="1"/>
  <c r="K228" i="1"/>
  <c r="D228" i="1" s="1"/>
  <c r="K202" i="1"/>
  <c r="D202" i="1" s="1"/>
  <c r="K200" i="1"/>
  <c r="D200" i="1" s="1"/>
  <c r="K198" i="1"/>
  <c r="D198" i="1" s="1"/>
  <c r="K193" i="1"/>
  <c r="D193" i="1" s="1"/>
  <c r="K176" i="1"/>
  <c r="D176" i="1" s="1"/>
  <c r="K163" i="1"/>
  <c r="D163" i="1" s="1"/>
  <c r="K156" i="1"/>
  <c r="D156" i="1" s="1"/>
  <c r="K126" i="1"/>
  <c r="D126" i="1" s="1"/>
  <c r="K111" i="1"/>
  <c r="D111" i="1" s="1"/>
  <c r="K100" i="1"/>
  <c r="D100" i="1" s="1"/>
  <c r="K74" i="1"/>
  <c r="D74" i="1" s="1"/>
  <c r="K72" i="1"/>
  <c r="D72" i="1" s="1"/>
  <c r="K70" i="1"/>
  <c r="D70" i="1" s="1"/>
  <c r="K65" i="1"/>
  <c r="D65" i="1" s="1"/>
  <c r="K53" i="1"/>
  <c r="D53" i="1" s="1"/>
  <c r="K48" i="1"/>
  <c r="D48" i="1" s="1"/>
  <c r="K35" i="1"/>
  <c r="D35" i="1" s="1"/>
  <c r="K28" i="1"/>
  <c r="D28" i="1" s="1"/>
  <c r="K398" i="1"/>
  <c r="D398" i="1" s="1"/>
  <c r="K393" i="1"/>
  <c r="D393" i="1" s="1"/>
  <c r="K390" i="1"/>
  <c r="D390" i="1" s="1"/>
  <c r="K385" i="1"/>
  <c r="D385" i="1" s="1"/>
  <c r="K382" i="1"/>
  <c r="D382" i="1" s="1"/>
  <c r="K377" i="1"/>
  <c r="D377" i="1" s="1"/>
  <c r="K375" i="1"/>
  <c r="D375" i="1" s="1"/>
  <c r="K372" i="1"/>
  <c r="D372" i="1" s="1"/>
  <c r="K362" i="1"/>
  <c r="D362" i="1" s="1"/>
  <c r="K344" i="1"/>
  <c r="D344" i="1" s="1"/>
  <c r="K342" i="1"/>
  <c r="D342" i="1" s="1"/>
  <c r="K332" i="1"/>
  <c r="D332" i="1" s="1"/>
  <c r="K329" i="1"/>
  <c r="D329" i="1" s="1"/>
  <c r="K320" i="1"/>
  <c r="D320" i="1" s="1"/>
  <c r="K318" i="1"/>
  <c r="D318" i="1" s="1"/>
  <c r="K296" i="1"/>
  <c r="D296" i="1" s="1"/>
  <c r="K294" i="1"/>
  <c r="D294" i="1" s="1"/>
  <c r="K284" i="1"/>
  <c r="D284" i="1" s="1"/>
  <c r="K282" i="1"/>
  <c r="D282" i="1" s="1"/>
  <c r="K272" i="1"/>
  <c r="D272" i="1" s="1"/>
  <c r="K270" i="1"/>
  <c r="D270" i="1" s="1"/>
  <c r="K260" i="1"/>
  <c r="D260" i="1" s="1"/>
  <c r="K257" i="1"/>
  <c r="D257" i="1" s="1"/>
  <c r="K248" i="1"/>
  <c r="D248" i="1" s="1"/>
  <c r="K246" i="1"/>
  <c r="D246" i="1" s="1"/>
  <c r="K236" i="1"/>
  <c r="D236" i="1" s="1"/>
  <c r="K216" i="1"/>
  <c r="D216" i="1" s="1"/>
  <c r="K214" i="1"/>
  <c r="D214" i="1" s="1"/>
  <c r="K204" i="1"/>
  <c r="D204" i="1" s="1"/>
  <c r="K184" i="1"/>
  <c r="D184" i="1" s="1"/>
  <c r="K182" i="1"/>
  <c r="D182" i="1" s="1"/>
  <c r="K172" i="1"/>
  <c r="D172" i="1" s="1"/>
  <c r="K152" i="1"/>
  <c r="D152" i="1" s="1"/>
  <c r="K150" i="1"/>
  <c r="D150" i="1" s="1"/>
  <c r="K140" i="1"/>
  <c r="D140" i="1" s="1"/>
  <c r="K120" i="1"/>
  <c r="D120" i="1" s="1"/>
  <c r="K118" i="1"/>
  <c r="D118" i="1" s="1"/>
  <c r="K108" i="1"/>
  <c r="D108" i="1" s="1"/>
  <c r="K88" i="1"/>
  <c r="D88" i="1" s="1"/>
  <c r="K86" i="1"/>
  <c r="D86" i="1" s="1"/>
  <c r="K76" i="1"/>
  <c r="D76" i="1" s="1"/>
  <c r="K61" i="1"/>
  <c r="D61" i="1" s="1"/>
  <c r="K56" i="1"/>
  <c r="D56" i="1" s="1"/>
  <c r="K54" i="1"/>
  <c r="D54" i="1" s="1"/>
  <c r="K44" i="1"/>
  <c r="D44" i="1" s="1"/>
  <c r="K29" i="1"/>
  <c r="D29" i="1" s="1"/>
  <c r="K24" i="1"/>
  <c r="D24" i="1" s="1"/>
  <c r="K22" i="1"/>
  <c r="D22" i="1" s="1"/>
  <c r="K12" i="1"/>
  <c r="D12" i="1" s="1"/>
  <c r="K597" i="1"/>
  <c r="D597" i="1" s="1"/>
  <c r="K595" i="1"/>
  <c r="D595" i="1" s="1"/>
  <c r="K594" i="1"/>
  <c r="D594" i="1" s="1"/>
  <c r="K583" i="1"/>
  <c r="D583" i="1" s="1"/>
  <c r="K581" i="1"/>
  <c r="D581" i="1" s="1"/>
  <c r="K599" i="1"/>
  <c r="D599" i="1" s="1"/>
  <c r="K596" i="1"/>
  <c r="D596" i="1" s="1"/>
  <c r="K593" i="1"/>
  <c r="D593" i="1" s="1"/>
  <c r="K587" i="1"/>
  <c r="D587" i="1" s="1"/>
  <c r="K585" i="1"/>
  <c r="D585" i="1" s="1"/>
  <c r="K582" i="1"/>
  <c r="D582" i="1" s="1"/>
  <c r="K566" i="1"/>
  <c r="D566" i="1" s="1"/>
  <c r="K534" i="1"/>
  <c r="D534" i="1" s="1"/>
  <c r="K518" i="1"/>
  <c r="D518" i="1" s="1"/>
  <c r="K349" i="1"/>
  <c r="D349" i="1" s="1"/>
  <c r="K233" i="1"/>
  <c r="D233" i="1" s="1"/>
  <c r="K169" i="1"/>
  <c r="D169" i="1" s="1"/>
  <c r="K137" i="1"/>
  <c r="D137" i="1" s="1"/>
  <c r="K73" i="1"/>
  <c r="D73" i="1" s="1"/>
  <c r="K586" i="1"/>
  <c r="D586" i="1" s="1"/>
  <c r="K570" i="1"/>
  <c r="D570" i="1" s="1"/>
  <c r="K538" i="1"/>
  <c r="D538" i="1" s="1"/>
  <c r="K522" i="1"/>
  <c r="D522" i="1" s="1"/>
  <c r="K592" i="1"/>
  <c r="D592" i="1" s="1"/>
  <c r="K574" i="1"/>
  <c r="D574" i="1" s="1"/>
  <c r="K558" i="1"/>
  <c r="D558" i="1" s="1"/>
  <c r="K542" i="1"/>
  <c r="D542" i="1" s="1"/>
  <c r="K526" i="1"/>
  <c r="D526" i="1" s="1"/>
  <c r="K510" i="1"/>
  <c r="D510" i="1" s="1"/>
  <c r="K356" i="1"/>
  <c r="D356" i="1" s="1"/>
  <c r="K297" i="1"/>
  <c r="D297" i="1" s="1"/>
  <c r="K600" i="1"/>
  <c r="D600" i="1" s="1"/>
  <c r="K550" i="1"/>
  <c r="D550" i="1" s="1"/>
  <c r="K201" i="1"/>
  <c r="D201" i="1" s="1"/>
  <c r="K105" i="1"/>
  <c r="D105" i="1" s="1"/>
  <c r="K41" i="1"/>
  <c r="D41" i="1" s="1"/>
  <c r="K9" i="1"/>
  <c r="D9" i="1" s="1"/>
  <c r="K554" i="1"/>
  <c r="D554" i="1" s="1"/>
  <c r="K506" i="1"/>
  <c r="D506" i="1" s="1"/>
  <c r="K498" i="1"/>
  <c r="D498" i="1" s="1"/>
  <c r="K490" i="1"/>
  <c r="D490" i="1" s="1"/>
  <c r="K482" i="1"/>
  <c r="D482" i="1" s="1"/>
  <c r="K474" i="1"/>
  <c r="D474" i="1" s="1"/>
  <c r="K466" i="1"/>
  <c r="D466" i="1" s="1"/>
  <c r="K458" i="1"/>
  <c r="D458" i="1" s="1"/>
  <c r="K450" i="1"/>
  <c r="D450" i="1" s="1"/>
  <c r="K442" i="1"/>
  <c r="D442" i="1" s="1"/>
  <c r="K434" i="1"/>
  <c r="D434" i="1" s="1"/>
  <c r="K426" i="1"/>
  <c r="D426" i="1" s="1"/>
  <c r="K418" i="1"/>
  <c r="D418" i="1" s="1"/>
  <c r="K410" i="1"/>
  <c r="D410" i="1" s="1"/>
  <c r="K402" i="1"/>
  <c r="D402" i="1" s="1"/>
  <c r="K394" i="1"/>
  <c r="D394" i="1" s="1"/>
  <c r="K386" i="1"/>
  <c r="D386" i="1" s="1"/>
  <c r="K378" i="1"/>
  <c r="D378" i="1" s="1"/>
  <c r="K365" i="1"/>
  <c r="D365" i="1" s="1"/>
  <c r="K265" i="1"/>
  <c r="D265" i="1" s="1"/>
  <c r="K364" i="1"/>
  <c r="D364" i="1" s="1"/>
  <c r="K348" i="1"/>
  <c r="D348" i="1" s="1"/>
  <c r="K345" i="1"/>
  <c r="D345" i="1" s="1"/>
  <c r="K313" i="1"/>
  <c r="D313" i="1" s="1"/>
  <c r="K281" i="1"/>
  <c r="D281" i="1" s="1"/>
  <c r="K249" i="1"/>
  <c r="D249" i="1" s="1"/>
  <c r="K217" i="1"/>
  <c r="D217" i="1" s="1"/>
  <c r="K185" i="1"/>
  <c r="D185" i="1" s="1"/>
  <c r="K153" i="1"/>
  <c r="D153" i="1" s="1"/>
  <c r="K121" i="1"/>
  <c r="D121" i="1" s="1"/>
  <c r="K89" i="1"/>
  <c r="D89" i="1" s="1"/>
  <c r="K57" i="1"/>
  <c r="D57" i="1" s="1"/>
  <c r="K25" i="1"/>
  <c r="D25" i="1" s="1"/>
  <c r="K376" i="1"/>
  <c r="D376" i="1" s="1"/>
  <c r="K360" i="1"/>
  <c r="D360" i="1" s="1"/>
  <c r="K337" i="1"/>
  <c r="D337" i="1" s="1"/>
  <c r="K305" i="1"/>
  <c r="D305" i="1" s="1"/>
  <c r="K273" i="1"/>
  <c r="D273" i="1" s="1"/>
  <c r="K241" i="1"/>
  <c r="D241" i="1" s="1"/>
  <c r="K209" i="1"/>
  <c r="D209" i="1" s="1"/>
  <c r="K177" i="1"/>
  <c r="D177" i="1" s="1"/>
  <c r="K145" i="1"/>
  <c r="D145" i="1" s="1"/>
  <c r="K113" i="1"/>
  <c r="D113" i="1" s="1"/>
  <c r="K81" i="1"/>
  <c r="D81" i="1" s="1"/>
  <c r="K49" i="1"/>
  <c r="D49" i="1" s="1"/>
  <c r="K17" i="1"/>
  <c r="D17" i="1" s="1"/>
  <c r="K341" i="1"/>
  <c r="D341" i="1" s="1"/>
  <c r="K333" i="1"/>
  <c r="D333" i="1" s="1"/>
  <c r="K325" i="1"/>
  <c r="D325" i="1" s="1"/>
  <c r="K317" i="1"/>
  <c r="D317" i="1" s="1"/>
  <c r="K309" i="1"/>
  <c r="D309" i="1" s="1"/>
  <c r="K301" i="1"/>
  <c r="D301" i="1" s="1"/>
  <c r="K293" i="1"/>
  <c r="D293" i="1" s="1"/>
  <c r="K285" i="1"/>
  <c r="D285" i="1" s="1"/>
  <c r="K277" i="1"/>
  <c r="D277" i="1" s="1"/>
  <c r="K269" i="1"/>
  <c r="D269" i="1" s="1"/>
  <c r="K261" i="1"/>
  <c r="D261" i="1" s="1"/>
  <c r="K253" i="1"/>
  <c r="D253" i="1" s="1"/>
  <c r="K245" i="1"/>
  <c r="D245" i="1" s="1"/>
  <c r="K237" i="1"/>
  <c r="D237" i="1" s="1"/>
  <c r="K229" i="1"/>
  <c r="D229" i="1" s="1"/>
  <c r="K221" i="1"/>
  <c r="D221" i="1" s="1"/>
  <c r="K213" i="1"/>
  <c r="D213" i="1" s="1"/>
  <c r="K205" i="1"/>
  <c r="D205" i="1" s="1"/>
  <c r="K197" i="1"/>
  <c r="D197" i="1" s="1"/>
  <c r="K189" i="1"/>
  <c r="D189" i="1" s="1"/>
  <c r="K181" i="1"/>
  <c r="D181" i="1" s="1"/>
  <c r="K173" i="1"/>
  <c r="D173" i="1" s="1"/>
  <c r="K165" i="1"/>
  <c r="D165" i="1" s="1"/>
  <c r="K157" i="1"/>
  <c r="D157" i="1" s="1"/>
  <c r="K149" i="1"/>
  <c r="D149" i="1" s="1"/>
  <c r="K141" i="1"/>
  <c r="D141" i="1" s="1"/>
  <c r="K133" i="1"/>
  <c r="D133" i="1" s="1"/>
  <c r="K125" i="1"/>
  <c r="D125" i="1" s="1"/>
  <c r="K117" i="1"/>
  <c r="D117" i="1" s="1"/>
  <c r="K109" i="1"/>
  <c r="D109" i="1" s="1"/>
  <c r="K101" i="1"/>
  <c r="D101" i="1" s="1"/>
  <c r="K93" i="1"/>
  <c r="D93" i="1" s="1"/>
  <c r="K85" i="1"/>
  <c r="D85" i="1" s="1"/>
  <c r="K77" i="1"/>
  <c r="D77" i="1" s="1"/>
  <c r="K69" i="1"/>
  <c r="D69" i="1" s="1"/>
  <c r="A6" i="1"/>
  <c r="B6" i="1"/>
  <c r="C6" i="1"/>
  <c r="E6" i="1"/>
  <c r="F6" i="1"/>
  <c r="G6" i="1"/>
  <c r="I6" i="1"/>
  <c r="J6" i="1"/>
  <c r="K6" i="1" l="1"/>
  <c r="D6" i="1" s="1"/>
  <c r="J5" i="1"/>
  <c r="I5" i="1"/>
  <c r="K5" i="1" s="1"/>
  <c r="D5" i="1" s="1"/>
  <c r="C5" i="1"/>
  <c r="E5" i="1"/>
  <c r="G5" i="1"/>
  <c r="F5" i="1"/>
  <c r="B5" i="1"/>
  <c r="A5" i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318" i="2"/>
  <c r="C319" i="2"/>
  <c r="C320" i="2"/>
  <c r="C321" i="2"/>
  <c r="C322" i="2"/>
  <c r="C323" i="2"/>
  <c r="C324" i="2"/>
  <c r="C325" i="2"/>
  <c r="C326" i="2"/>
  <c r="C327" i="2"/>
  <c r="C328" i="2"/>
  <c r="C341" i="2"/>
  <c r="C329" i="2"/>
  <c r="C330" i="2"/>
  <c r="C331" i="2"/>
  <c r="C332" i="2"/>
  <c r="C333" i="2"/>
  <c r="C334" i="2"/>
  <c r="C335" i="2"/>
  <c r="C336" i="2"/>
  <c r="C337" i="2"/>
  <c r="C338" i="2"/>
  <c r="C339" i="2"/>
  <c r="C340" i="2"/>
  <c r="C342" i="2"/>
  <c r="C343" i="2"/>
  <c r="C344" i="2"/>
  <c r="C345" i="2"/>
  <c r="C346" i="2"/>
  <c r="C347" i="2"/>
  <c r="C348" i="2"/>
  <c r="C349" i="2"/>
  <c r="C350" i="2"/>
  <c r="C351" i="2"/>
  <c r="C352" i="2"/>
  <c r="C353" i="2"/>
  <c r="C354" i="2"/>
  <c r="C355" i="2"/>
  <c r="C356" i="2"/>
  <c r="C357" i="2"/>
  <c r="C358" i="2"/>
  <c r="C359" i="2"/>
  <c r="C360" i="2"/>
  <c r="C361" i="2"/>
  <c r="C362" i="2"/>
  <c r="C363" i="2"/>
  <c r="C364" i="2"/>
  <c r="C365" i="2"/>
  <c r="C366" i="2"/>
  <c r="C367" i="2"/>
  <c r="C368" i="2"/>
  <c r="C369" i="2"/>
  <c r="C370" i="2"/>
  <c r="C371" i="2"/>
  <c r="C372" i="2"/>
  <c r="C373" i="2"/>
  <c r="C374" i="2"/>
  <c r="C375" i="2"/>
  <c r="C376" i="2"/>
  <c r="C377" i="2"/>
  <c r="C378" i="2"/>
  <c r="C379" i="2"/>
  <c r="C380" i="2"/>
  <c r="C381" i="2"/>
  <c r="C382" i="2"/>
  <c r="C383" i="2"/>
  <c r="C384" i="2"/>
  <c r="C385" i="2"/>
  <c r="C386" i="2"/>
  <c r="C387" i="2"/>
  <c r="C388" i="2"/>
  <c r="C389" i="2"/>
  <c r="C390" i="2"/>
  <c r="C391" i="2"/>
  <c r="C392" i="2"/>
  <c r="C393" i="2"/>
  <c r="C394" i="2"/>
  <c r="C395" i="2"/>
  <c r="C396" i="2"/>
  <c r="C397" i="2"/>
  <c r="C398" i="2"/>
  <c r="C399" i="2"/>
  <c r="C400" i="2"/>
  <c r="C401" i="2"/>
  <c r="C402" i="2"/>
  <c r="C403" i="2"/>
  <c r="C404" i="2"/>
  <c r="C405" i="2"/>
  <c r="C406" i="2"/>
  <c r="C407" i="2"/>
  <c r="C408" i="2"/>
  <c r="C409" i="2"/>
  <c r="C410" i="2"/>
  <c r="C411" i="2"/>
  <c r="C412" i="2"/>
  <c r="C413" i="2"/>
  <c r="C414" i="2"/>
  <c r="C415" i="2"/>
  <c r="C416" i="2"/>
  <c r="C417" i="2"/>
  <c r="C418" i="2"/>
  <c r="C419" i="2"/>
  <c r="C420" i="2"/>
  <c r="C421" i="2"/>
  <c r="C422" i="2"/>
  <c r="C423" i="2"/>
  <c r="C424" i="2"/>
  <c r="C425" i="2"/>
  <c r="C426" i="2"/>
  <c r="C427" i="2"/>
  <c r="C428" i="2"/>
  <c r="C429" i="2"/>
  <c r="C430" i="2"/>
  <c r="C431" i="2"/>
  <c r="C432" i="2"/>
  <c r="C433" i="2"/>
  <c r="C434" i="2"/>
  <c r="C435" i="2"/>
  <c r="C436" i="2"/>
  <c r="C437" i="2"/>
  <c r="C438" i="2"/>
  <c r="C439" i="2"/>
  <c r="C440" i="2"/>
  <c r="C441" i="2"/>
  <c r="C442" i="2"/>
  <c r="C443" i="2"/>
  <c r="C444" i="2"/>
  <c r="C445" i="2"/>
  <c r="C446" i="2"/>
  <c r="C447" i="2"/>
  <c r="C448" i="2"/>
  <c r="C449" i="2"/>
  <c r="C450" i="2"/>
  <c r="C451" i="2"/>
  <c r="C452" i="2"/>
  <c r="C453" i="2"/>
  <c r="C454" i="2"/>
  <c r="C455" i="2"/>
  <c r="C456" i="2"/>
  <c r="C457" i="2"/>
  <c r="C458" i="2"/>
  <c r="C459" i="2"/>
  <c r="C460" i="2"/>
  <c r="C461" i="2"/>
  <c r="C462" i="2"/>
  <c r="C463" i="2"/>
  <c r="C464" i="2"/>
  <c r="C465" i="2"/>
  <c r="C466" i="2"/>
  <c r="C467" i="2"/>
  <c r="C468" i="2"/>
  <c r="C469" i="2"/>
  <c r="C470" i="2"/>
  <c r="C471" i="2"/>
  <c r="C472" i="2"/>
  <c r="C473" i="2"/>
  <c r="C474" i="2"/>
  <c r="C475" i="2"/>
  <c r="C476" i="2"/>
  <c r="C477" i="2"/>
  <c r="C478" i="2"/>
  <c r="C479" i="2"/>
  <c r="C480" i="2"/>
  <c r="C481" i="2"/>
  <c r="C482" i="2"/>
  <c r="C483" i="2"/>
  <c r="C484" i="2"/>
  <c r="C485" i="2"/>
  <c r="C486" i="2"/>
  <c r="C487" i="2"/>
  <c r="C488" i="2"/>
  <c r="C489" i="2"/>
  <c r="C490" i="2"/>
  <c r="C491" i="2"/>
  <c r="C492" i="2"/>
  <c r="C493" i="2"/>
  <c r="C494" i="2"/>
  <c r="C495" i="2"/>
  <c r="C496" i="2"/>
  <c r="C497" i="2"/>
  <c r="C498" i="2"/>
  <c r="C499" i="2"/>
  <c r="C500" i="2"/>
  <c r="C501" i="2"/>
  <c r="C502" i="2"/>
  <c r="C503" i="2"/>
  <c r="C504" i="2"/>
  <c r="C505" i="2"/>
  <c r="C506" i="2"/>
  <c r="C507" i="2"/>
  <c r="C508" i="2"/>
  <c r="C509" i="2"/>
  <c r="C510" i="2"/>
  <c r="C511" i="2"/>
  <c r="C512" i="2"/>
  <c r="C513" i="2"/>
  <c r="C514" i="2"/>
  <c r="C515" i="2"/>
  <c r="C516" i="2"/>
  <c r="C517" i="2"/>
  <c r="C518" i="2"/>
  <c r="C519" i="2"/>
  <c r="C520" i="2"/>
  <c r="C521" i="2"/>
  <c r="C522" i="2"/>
  <c r="C523" i="2"/>
  <c r="C524" i="2"/>
  <c r="C525" i="2"/>
  <c r="C526" i="2"/>
  <c r="C3" i="2"/>
</calcChain>
</file>

<file path=xl/sharedStrings.xml><?xml version="1.0" encoding="utf-8"?>
<sst xmlns="http://schemas.openxmlformats.org/spreadsheetml/2006/main" count="2390" uniqueCount="1178">
  <si>
    <t>Remark</t>
  </si>
  <si>
    <t>AH-A9VEY</t>
  </si>
  <si>
    <t>AH-A7VEY</t>
  </si>
  <si>
    <t>AH-A5VEY</t>
  </si>
  <si>
    <t>AH-AP5UHL</t>
  </si>
  <si>
    <t>AH-A5SAY</t>
  </si>
  <si>
    <t>AH-AP5SSY</t>
  </si>
  <si>
    <t>AH-X6ZY</t>
  </si>
  <si>
    <t>AH-AP9UHL</t>
  </si>
  <si>
    <t>AH-AP7SSY</t>
  </si>
  <si>
    <t>AH-AP9SSY2</t>
  </si>
  <si>
    <t>AH-XP6UHY</t>
  </si>
  <si>
    <t>AH-A9SAY</t>
  </si>
  <si>
    <t>Category</t>
  </si>
  <si>
    <t>model</t>
  </si>
  <si>
    <t>specification</t>
  </si>
  <si>
    <t>debut</t>
  </si>
  <si>
    <t>price</t>
  </si>
  <si>
    <t>is_nla</t>
  </si>
  <si>
    <t>CATEGORY</t>
  </si>
  <si>
    <t>MODEL</t>
  </si>
  <si>
    <t>SPECIFICATION</t>
  </si>
  <si>
    <t>DEBUT</t>
  </si>
  <si>
    <t>PRICE</t>
  </si>
  <si>
    <t>IS_NLA</t>
  </si>
  <si>
    <t>REMARK</t>
  </si>
  <si>
    <t>NE-080T1J</t>
  </si>
  <si>
    <t>ND-130T1J</t>
  </si>
  <si>
    <t>EC-CW60</t>
  </si>
  <si>
    <t>ES-T86CL-HK</t>
  </si>
  <si>
    <t>ND-T060M1</t>
  </si>
  <si>
    <t>R-230R(S)</t>
  </si>
  <si>
    <t>EM-125L(W)</t>
  </si>
  <si>
    <t>EO-18L(W)</t>
  </si>
  <si>
    <t>FRV-300</t>
  </si>
  <si>
    <t>SCH-210PS</t>
  </si>
  <si>
    <t>ND-T065M1</t>
  </si>
  <si>
    <t>FRW-210</t>
  </si>
  <si>
    <t>ES-T68MW-BK</t>
  </si>
  <si>
    <t>ES-T68MW-PK</t>
  </si>
  <si>
    <t>FU-A80Y-N</t>
  </si>
  <si>
    <t>FU-A80Y-W</t>
  </si>
  <si>
    <t>KZS-70L(W)</t>
  </si>
  <si>
    <t>PB3-1218</t>
  </si>
  <si>
    <t>HM-80L(W)</t>
  </si>
  <si>
    <t>FRV-127</t>
  </si>
  <si>
    <t>EO-28LP(K)</t>
  </si>
  <si>
    <t>KS-R18MS-BR</t>
  </si>
  <si>
    <t>KS-R18MS-PK</t>
  </si>
  <si>
    <t>KS-T18TL-GR</t>
  </si>
  <si>
    <t>KS-T18TL-RD</t>
  </si>
  <si>
    <t>KS-T18TL-ST</t>
  </si>
  <si>
    <t>KS-TH18-RD</t>
  </si>
  <si>
    <t>ES-T77DA-BK</t>
  </si>
  <si>
    <t>ES-T77DA-RK</t>
  </si>
  <si>
    <t>ES-T77F-PBK</t>
  </si>
  <si>
    <t>ES-T77F-PPK</t>
  </si>
  <si>
    <t>ES-T95CR-BK</t>
  </si>
  <si>
    <t>ES-T95CR-PK</t>
  </si>
  <si>
    <t>ES-T95CR-VK</t>
  </si>
  <si>
    <t>ES-T96CL-HK</t>
  </si>
  <si>
    <t>IB-SD23Y-N</t>
  </si>
  <si>
    <t>IB-SD23Y-P</t>
  </si>
  <si>
    <t>IB-SS53Y-P</t>
  </si>
  <si>
    <t>R-21A1(W)IN</t>
  </si>
  <si>
    <t>R-728(K)-IN</t>
  </si>
  <si>
    <t>R-728(S)-IN</t>
  </si>
  <si>
    <t>R-728(W)-IN</t>
  </si>
  <si>
    <t>DN4A6XD474</t>
  </si>
  <si>
    <t>FJ-M189N-SS</t>
  </si>
  <si>
    <t>FJ-M195N-SS</t>
  </si>
  <si>
    <t>IG-GC2Y-B</t>
  </si>
  <si>
    <t>IG-GC2Y-N</t>
  </si>
  <si>
    <t>IG-GC2Y-P</t>
  </si>
  <si>
    <t>FP-FM40Y-B</t>
  </si>
  <si>
    <t>EM-120-WH</t>
  </si>
  <si>
    <t>EM-121-BK</t>
  </si>
  <si>
    <t>EM-P01-BK</t>
  </si>
  <si>
    <t>EM-S53-WH</t>
  </si>
  <si>
    <t>SCH-50X-FS</t>
  </si>
  <si>
    <t>SWD-82EHL-PB</t>
  </si>
  <si>
    <t>SWD-83EHL-SL</t>
  </si>
  <si>
    <t>SWD-88EHL-SL</t>
  </si>
  <si>
    <t>SJ-420GP-SD</t>
  </si>
  <si>
    <t>SJ-450GP-SD</t>
  </si>
  <si>
    <t>ES-T79SJ-BL</t>
  </si>
  <si>
    <t>ES-T79SJ-PK</t>
  </si>
  <si>
    <t>FP-J30Y-A</t>
  </si>
  <si>
    <t>FP-J30Y-B</t>
  </si>
  <si>
    <t>FP-J30Y-P</t>
  </si>
  <si>
    <t>SJ-426GI-MK</t>
  </si>
  <si>
    <t>SJ-456GI-MK</t>
  </si>
  <si>
    <t>SJ-IG860PM-SL</t>
  </si>
  <si>
    <t>SJ-IG861PG-BK</t>
  </si>
  <si>
    <t>ES-T1070SJ-GR</t>
  </si>
  <si>
    <t>ES-T80MW-BK</t>
  </si>
  <si>
    <t>ES-T80MW-HK</t>
  </si>
  <si>
    <t>ES-T80MW-PK</t>
  </si>
  <si>
    <t>ES-T89SJ-GR</t>
  </si>
  <si>
    <t>ES-T90MW-BK</t>
  </si>
  <si>
    <t>ES-T90MW-HK</t>
  </si>
  <si>
    <t>ES-T90MW-PK</t>
  </si>
  <si>
    <t>2T-C32BG1I</t>
  </si>
  <si>
    <t>2T-C42BG1I</t>
  </si>
  <si>
    <t>2T-C50BG1I</t>
  </si>
  <si>
    <t>SCH-170FS</t>
  </si>
  <si>
    <t>SCH-210FS</t>
  </si>
  <si>
    <t>SCH-250FS</t>
  </si>
  <si>
    <t>SJ-197ND-VB</t>
  </si>
  <si>
    <t>SJ-197ND-VP</t>
  </si>
  <si>
    <t>SJ-236MG-GR</t>
  </si>
  <si>
    <t>SJ-237MG-DB</t>
  </si>
  <si>
    <t>SJ-237MG-DP</t>
  </si>
  <si>
    <t>SJ-237ND-AB</t>
  </si>
  <si>
    <t>SJ-237ND-AP</t>
  </si>
  <si>
    <t>SJ-237ND-AS</t>
  </si>
  <si>
    <t>SJ-317MG-DB</t>
  </si>
  <si>
    <t>SJ-317MG-DP</t>
  </si>
  <si>
    <t>4T-C65CK1X</t>
  </si>
  <si>
    <t>ES-M1000T-GG</t>
  </si>
  <si>
    <t>ES-M8000T-GG</t>
  </si>
  <si>
    <t>ES-M9000T-GG</t>
  </si>
  <si>
    <t>2T-C32DF1i</t>
  </si>
  <si>
    <t>2T-C42DF1i</t>
  </si>
  <si>
    <t>2T-C50DF1i</t>
  </si>
  <si>
    <t>4T-C50DL1X</t>
  </si>
  <si>
    <t>4T-C60DL1X</t>
  </si>
  <si>
    <t>AH-AP12SSY</t>
  </si>
  <si>
    <t>R-25C1(S)IN</t>
  </si>
  <si>
    <t>AH-A5UDL</t>
  </si>
  <si>
    <t>AH-A7UDL</t>
  </si>
  <si>
    <t>AH-A9UDL</t>
  </si>
  <si>
    <t>EJ-C20Y-RD</t>
  </si>
  <si>
    <t>PJ-A26MY-B</t>
  </si>
  <si>
    <t>R-21D0(S)-IN</t>
  </si>
  <si>
    <t>SJ-246XG-MR</t>
  </si>
  <si>
    <t>SJ-246XG-MS</t>
  </si>
  <si>
    <t>SJ-326XG-MR</t>
  </si>
  <si>
    <t>SJ-326XG-MS</t>
  </si>
  <si>
    <t>8T-C80AX1X</t>
  </si>
  <si>
    <t>2T-C32BB1I-TB</t>
  </si>
  <si>
    <t>2T-C32BD1I-TG</t>
  </si>
  <si>
    <t>AH-A5UCYN</t>
  </si>
  <si>
    <t>AH-A7UCYN</t>
  </si>
  <si>
    <t>AH-A9UCYN</t>
  </si>
  <si>
    <t>SH-S40P</t>
  </si>
  <si>
    <t>HP-BC50(BK)</t>
  </si>
  <si>
    <t>SH-C03(B)</t>
  </si>
  <si>
    <t>SH-C03(G)</t>
  </si>
  <si>
    <t>SH-C04(B)</t>
  </si>
  <si>
    <t>SH-C04(G)</t>
  </si>
  <si>
    <t>CBOX-1200UBL2</t>
  </si>
  <si>
    <t>CBOX-ASP250BL2</t>
  </si>
  <si>
    <t>CBOX-ASP350BL2</t>
  </si>
  <si>
    <t>CBOX-B805UBO2</t>
  </si>
  <si>
    <t>CBOX-B808UBO2</t>
  </si>
  <si>
    <t>CBOX-B880UBL2</t>
  </si>
  <si>
    <t>CBOX-G600UBL2</t>
  </si>
  <si>
    <t>SJ-X185MG-GB</t>
  </si>
  <si>
    <t>SJ-X185MG-GR</t>
  </si>
  <si>
    <t>ES-T99SJ-BL</t>
  </si>
  <si>
    <t>ES-T99SJ-PK</t>
  </si>
  <si>
    <t>LC-32SA4200I</t>
  </si>
  <si>
    <t>LC-32SA4500I</t>
  </si>
  <si>
    <t>IB-SB38Y-N</t>
  </si>
  <si>
    <t>IB-SD18Y-N</t>
  </si>
  <si>
    <t>IB-SD38Y-N</t>
  </si>
  <si>
    <t>IB-SS38Y-N</t>
  </si>
  <si>
    <t>IB-SS58Y-N</t>
  </si>
  <si>
    <t>2T-C24CB3I-BK</t>
  </si>
  <si>
    <t>SJ-N162D-SB</t>
  </si>
  <si>
    <t>SJ-N162D-SH</t>
  </si>
  <si>
    <t>SJ-N162D-SP</t>
  </si>
  <si>
    <t>SJ-N162D-VB</t>
  </si>
  <si>
    <t>SJ-N162D-VR</t>
  </si>
  <si>
    <t>SJ-N182D-SB</t>
  </si>
  <si>
    <t>SJ-N182D-SH</t>
  </si>
  <si>
    <t>SJ-N182D-SP</t>
  </si>
  <si>
    <t>SJ-N182D-VB</t>
  </si>
  <si>
    <t>SJ-N182D-VR</t>
  </si>
  <si>
    <t>SJ-N192D-SB</t>
  </si>
  <si>
    <t>SJ-N192D-SH</t>
  </si>
  <si>
    <t>SJ-N192D-SP</t>
  </si>
  <si>
    <t>SJ-N192D-VB</t>
  </si>
  <si>
    <t>SJ-N192D-VR</t>
  </si>
  <si>
    <t>SJ-IF85PG-GB</t>
  </si>
  <si>
    <t>SJ-IF85PG-GR</t>
  </si>
  <si>
    <t>SJ-IF85PM-DS</t>
  </si>
  <si>
    <t>SJ-IF90PM-DS</t>
  </si>
  <si>
    <t>SJ-IF91PG-GB</t>
  </si>
  <si>
    <t>SJ-IF91PG-GR</t>
  </si>
  <si>
    <t>2T-C42DD1i</t>
  </si>
  <si>
    <t>AH-X10ZY</t>
  </si>
  <si>
    <t>AH-X13ZY</t>
  </si>
  <si>
    <t>AH-X18ZY</t>
  </si>
  <si>
    <t>ES-T70MW-BL</t>
  </si>
  <si>
    <t>ES-T70MW-LC</t>
  </si>
  <si>
    <t>ES-T70MW-PK</t>
  </si>
  <si>
    <t>SJ-N162N-HS</t>
  </si>
  <si>
    <t>SJ-N192N-HS</t>
  </si>
  <si>
    <t>EO-25BK</t>
  </si>
  <si>
    <t>EO-32BK</t>
  </si>
  <si>
    <t>EO-38BK</t>
  </si>
  <si>
    <t>ES-T1290WA-BL</t>
  </si>
  <si>
    <t>ES-T1290WA-PK</t>
  </si>
  <si>
    <t>ES-T1490WA-BL</t>
  </si>
  <si>
    <t>ES-T1490WA-RD</t>
  </si>
  <si>
    <t>GS-A18SCY</t>
  </si>
  <si>
    <t>AH-X12VEY</t>
  </si>
  <si>
    <t>AH-X18VEY</t>
  </si>
  <si>
    <t>AH-X6VEY</t>
  </si>
  <si>
    <t>AH-X9VEY</t>
  </si>
  <si>
    <t>SJ-236MG-GB</t>
  </si>
  <si>
    <t>SJ-316MG-GB</t>
  </si>
  <si>
    <t>SJ-316MG-GR</t>
  </si>
  <si>
    <t>EM-181-GR</t>
  </si>
  <si>
    <t>EM-181-ST</t>
  </si>
  <si>
    <t>SJ-IF91PG-BK</t>
  </si>
  <si>
    <t>SJ-IS50M-SL</t>
  </si>
  <si>
    <t>SJ-IS60M-SL</t>
  </si>
  <si>
    <t>SJ-IS61G-BK</t>
  </si>
  <si>
    <t>2T-C24DC1I</t>
  </si>
  <si>
    <t>2T-C24DD1I</t>
  </si>
  <si>
    <t>2T-C24DD1I-TT</t>
  </si>
  <si>
    <t>2T-C32DC1I</t>
  </si>
  <si>
    <t>2T-C32DD1I</t>
  </si>
  <si>
    <t>2T-C32DD1I-TT</t>
  </si>
  <si>
    <t>AH-A18SAY2</t>
  </si>
  <si>
    <t>CBOX-D1280CB</t>
  </si>
  <si>
    <t>CBOX-D608WR</t>
  </si>
  <si>
    <t>CBOX-D805WR</t>
  </si>
  <si>
    <t>CBOX-D808XWB</t>
  </si>
  <si>
    <t>CBOX-D888WB</t>
  </si>
  <si>
    <t>CBOX-D988CB</t>
  </si>
  <si>
    <t>CBOX-DHB08WB</t>
  </si>
  <si>
    <t>CBOX-DHBPRO8CB</t>
  </si>
  <si>
    <t>CBOX-DPRO10CB</t>
  </si>
  <si>
    <t>CBOX-DPRO12CB</t>
  </si>
  <si>
    <t>CBOX-DPRO15CB</t>
  </si>
  <si>
    <t>CBOX-DPRO20CB</t>
  </si>
  <si>
    <t>CBOX-DPRO22CB</t>
  </si>
  <si>
    <t>EO-35SL</t>
  </si>
  <si>
    <t>FP-J50Y-H</t>
  </si>
  <si>
    <t>KI-L60Y-W</t>
  </si>
  <si>
    <t>KI-L80Y-T</t>
  </si>
  <si>
    <t>LC-32SA4200IWH</t>
  </si>
  <si>
    <t>4T-C50DK1I</t>
  </si>
  <si>
    <t>4T-C60DK1X</t>
  </si>
  <si>
    <t>STB-DD001i</t>
  </si>
  <si>
    <t>KC-F30Y-W</t>
  </si>
  <si>
    <t>AH-XP10UHY</t>
  </si>
  <si>
    <t>R-88D0(K)-IN</t>
  </si>
  <si>
    <t>SWD-66EHL-BP</t>
  </si>
  <si>
    <t>SWD-66EHL-BS</t>
  </si>
  <si>
    <t>AH-XP10VXY</t>
  </si>
  <si>
    <t>AH-XP13VXY</t>
  </si>
  <si>
    <t>EKJ-156-BK</t>
  </si>
  <si>
    <t>ES-H758T-GY</t>
  </si>
  <si>
    <t>ES-H858T-GY</t>
  </si>
  <si>
    <t>ES-H958T-GY</t>
  </si>
  <si>
    <t>ES-T1270SJ-BL</t>
  </si>
  <si>
    <t>ES-T1270SJ-PK</t>
  </si>
  <si>
    <t>KZ-2S02-BK</t>
  </si>
  <si>
    <t>KZS-71-BK</t>
  </si>
  <si>
    <t>R-735MT(K)</t>
  </si>
  <si>
    <t>R-735MT(S)</t>
  </si>
  <si>
    <t>SPS-109SN</t>
  </si>
  <si>
    <t>SPS-129SA</t>
  </si>
  <si>
    <t>ES-T65NT-BL</t>
  </si>
  <si>
    <t>ES-T65NT-GY</t>
  </si>
  <si>
    <t>ES-T75NT-BL</t>
  </si>
  <si>
    <t>ES-T75NT-PK</t>
  </si>
  <si>
    <t>FJ-G295N-SS</t>
  </si>
  <si>
    <t>SJ-N162D-AB</t>
  </si>
  <si>
    <t>SJ-N162D-AP</t>
  </si>
  <si>
    <t>SJ-N162D-AS</t>
  </si>
  <si>
    <t>SJ-N182D-AB</t>
  </si>
  <si>
    <t>SJ-N182D-AP</t>
  </si>
  <si>
    <t>SJ-N182D-AS</t>
  </si>
  <si>
    <t>SJ-N192D-AB</t>
  </si>
  <si>
    <t>SJ-N192D-AP</t>
  </si>
  <si>
    <t>SJ-N192D-AS</t>
  </si>
  <si>
    <t>SJ-X167MG-DB</t>
  </si>
  <si>
    <t>SJ-X167MG-DP</t>
  </si>
  <si>
    <t>SJ-X187MG-DB</t>
  </si>
  <si>
    <t>SJ-X187MG-DP</t>
  </si>
  <si>
    <t>SJ-X197MG-DB</t>
  </si>
  <si>
    <t>SJ-X197MG-DP</t>
  </si>
  <si>
    <t>SJ-X197W-DW</t>
  </si>
  <si>
    <t>CBOX-HBPRO8UBO</t>
  </si>
  <si>
    <t>ES-FL1062B</t>
  </si>
  <si>
    <t>ES-FL1072B</t>
  </si>
  <si>
    <t>ES-FL1082B</t>
  </si>
  <si>
    <t>ES-FL1082BG</t>
  </si>
  <si>
    <t>ES-FL1280BTX</t>
  </si>
  <si>
    <t>ES-FL1280BX</t>
  </si>
  <si>
    <t>ES-FL1290BG</t>
  </si>
  <si>
    <t>ES-FL1490BTX</t>
  </si>
  <si>
    <t>ES-FL1490BX</t>
  </si>
  <si>
    <t>CBOX-GSPRO10SB</t>
  </si>
  <si>
    <t>CBOX-GSPRO8SB</t>
  </si>
  <si>
    <t>CBOX-TR10CBL</t>
  </si>
  <si>
    <t>CBOX-TRB10MBO</t>
  </si>
  <si>
    <t>CBOX-TRB12CBL</t>
  </si>
  <si>
    <t>CBOX-TRB12MBO</t>
  </si>
  <si>
    <t>CBOX-X360DW</t>
  </si>
  <si>
    <t>CBOX-X360LW</t>
  </si>
  <si>
    <t>R-220MA-WH</t>
  </si>
  <si>
    <t>FP-F30Y-A</t>
  </si>
  <si>
    <t>FP-F30Y-C</t>
  </si>
  <si>
    <t>FP-F30Y-H</t>
  </si>
  <si>
    <t>FP-F40Y-T</t>
  </si>
  <si>
    <t>FP-F40Y-W</t>
  </si>
  <si>
    <t>LC-24LE170I</t>
  </si>
  <si>
    <t>SCH-190PS</t>
  </si>
  <si>
    <t>SWD-72EHL-BK</t>
  </si>
  <si>
    <t>SWD-72EHL-WH</t>
  </si>
  <si>
    <t>SWD-73EHL-BK</t>
  </si>
  <si>
    <t>SWD-75EHL-SL</t>
  </si>
  <si>
    <t>SWD-78EHL-SL</t>
  </si>
  <si>
    <t>PJ-A77TY-B</t>
  </si>
  <si>
    <t>AH-A12UCY</t>
  </si>
  <si>
    <t>AH-A18UCY</t>
  </si>
  <si>
    <t>AH-A5UCY</t>
  </si>
  <si>
    <t>AH-A7UCY</t>
  </si>
  <si>
    <t>AH-A9UCY</t>
  </si>
  <si>
    <t>AH-AP12UHL</t>
  </si>
  <si>
    <t>AH-AP7UHL</t>
  </si>
  <si>
    <t>FZ-STS2M</t>
  </si>
  <si>
    <t>SJ-246GC-SD</t>
  </si>
  <si>
    <t>SJ-246GC-SR</t>
  </si>
  <si>
    <t>SJ-326GC-SD</t>
  </si>
  <si>
    <t>SJ-326GC-SR</t>
  </si>
  <si>
    <t>4T-C50BK1I</t>
  </si>
  <si>
    <t>4T-C60CK1X</t>
  </si>
  <si>
    <t>4T-C70CK3X</t>
  </si>
  <si>
    <t>4T-C70DL1X</t>
  </si>
  <si>
    <t>8T-C60DW1X</t>
  </si>
  <si>
    <t>8T-C70DW1X</t>
  </si>
  <si>
    <t>CBOX-PRO10UBB</t>
  </si>
  <si>
    <t>CBOX-PRO12UBB</t>
  </si>
  <si>
    <t>CBOX-PRO15UBB</t>
  </si>
  <si>
    <t>CBOX-PRO20UBB</t>
  </si>
  <si>
    <t>CBOX-PRO22UBB</t>
  </si>
  <si>
    <t>KN-H24INA</t>
  </si>
  <si>
    <t>EI-N05-B</t>
  </si>
  <si>
    <t>EI-N05-P</t>
  </si>
  <si>
    <t>ES-F950P-GY</t>
  </si>
  <si>
    <t>ES-FL1073W</t>
  </si>
  <si>
    <t>ES-FL1083W</t>
  </si>
  <si>
    <t>ES-FL1491XW</t>
  </si>
  <si>
    <t>PS-920</t>
  </si>
  <si>
    <t>SJ-IG861PG-RD</t>
  </si>
  <si>
    <t>ES-M1008T-SAK</t>
  </si>
  <si>
    <t>ES-M1108T-SAK</t>
  </si>
  <si>
    <t>FP-JM30Y-B</t>
  </si>
  <si>
    <t>FP-JM40Y-B</t>
  </si>
  <si>
    <t>R-650GX(BS)</t>
  </si>
  <si>
    <t>R-751GX(BS)</t>
  </si>
  <si>
    <t>R-753GX(BS)</t>
  </si>
  <si>
    <t>SH-Z20</t>
  </si>
  <si>
    <t>SPS-101SN</t>
  </si>
  <si>
    <t>SPS-127SA</t>
  </si>
  <si>
    <t>SPS-150SJ</t>
  </si>
  <si>
    <t>SPS-155SJ</t>
  </si>
  <si>
    <t>SPS-19PT</t>
  </si>
  <si>
    <t>SPS-255JP</t>
  </si>
  <si>
    <t>EC-SA95Y-R</t>
  </si>
  <si>
    <t>ES-FL1410DPX</t>
  </si>
  <si>
    <t>SJ-236MN-HS</t>
  </si>
  <si>
    <t>SJ-326XG-CP</t>
  </si>
  <si>
    <t>SJ-N182N-HS</t>
  </si>
  <si>
    <t>EC-8305-B</t>
  </si>
  <si>
    <t>EC-8305-P</t>
  </si>
  <si>
    <t>FJ-M189K-SS</t>
  </si>
  <si>
    <t>PJ-A36TY-B</t>
  </si>
  <si>
    <t>PJ-A36TY-W</t>
  </si>
  <si>
    <t>PJ-A55TY-B</t>
  </si>
  <si>
    <t>PJ-A55TY-W</t>
  </si>
  <si>
    <t>SWD-80EHL-BK</t>
  </si>
  <si>
    <t>ES-F1208X-SL</t>
  </si>
  <si>
    <t>ES-F1408X-SL</t>
  </si>
  <si>
    <t>KC-G50Y-W</t>
  </si>
  <si>
    <t>SJ-246XI-MK</t>
  </si>
  <si>
    <t>SJ-326XI-MK</t>
  </si>
  <si>
    <t>ES-G876P-GY</t>
  </si>
  <si>
    <t>ES-M1009T-GG</t>
  </si>
  <si>
    <t>ES-M1109T-GG</t>
  </si>
  <si>
    <t>ES-M1209T-SA</t>
  </si>
  <si>
    <t>ES-M809T-GG</t>
  </si>
  <si>
    <t>ES-M909T-GG</t>
  </si>
  <si>
    <t>FU-A80Y-AM</t>
  </si>
  <si>
    <t>4T-C60CH1X</t>
  </si>
  <si>
    <t>GB-A18XEY</t>
  </si>
  <si>
    <t>GB-A24XEY</t>
  </si>
  <si>
    <t>GB-A36XEY</t>
  </si>
  <si>
    <t>GB-A42XEY</t>
  </si>
  <si>
    <t>GB-A48XEY</t>
  </si>
  <si>
    <t>GX-A18XEY</t>
  </si>
  <si>
    <t>GX-A24XEY</t>
  </si>
  <si>
    <t>GX-A36XEY</t>
  </si>
  <si>
    <t>GX-A42XEY</t>
  </si>
  <si>
    <t>GX-A48XEY</t>
  </si>
  <si>
    <t>SJ-IF50PM-DS</t>
  </si>
  <si>
    <t>SJ-IF51PG-BK</t>
  </si>
  <si>
    <t>SJ-IF51PG-CG</t>
  </si>
  <si>
    <t>SJ-IG762PM-SL</t>
  </si>
  <si>
    <t>SJ-IG763PG-BK</t>
  </si>
  <si>
    <t>SJ-IG862PM-SL</t>
  </si>
  <si>
    <t>SJ-IG863PG-BK</t>
  </si>
  <si>
    <t>SJ-IG962PM-SL</t>
  </si>
  <si>
    <t>SJ-IG963PG-BK</t>
  </si>
  <si>
    <t>AH-XP10YHY</t>
  </si>
  <si>
    <t>AH-XP13YHY</t>
  </si>
  <si>
    <t>AH-XP6YHY</t>
  </si>
  <si>
    <t>IG-NX2Y-A</t>
  </si>
  <si>
    <t>IG-NX2Y-B</t>
  </si>
  <si>
    <t>IG-NX2Y-W</t>
  </si>
  <si>
    <t>FJ-M195K-SS</t>
  </si>
  <si>
    <t>GS-A24SCY</t>
  </si>
  <si>
    <t>GS-A48SCY</t>
  </si>
  <si>
    <t>SJ-X165M-SG</t>
  </si>
  <si>
    <t>SJ-X165M-SR</t>
  </si>
  <si>
    <t>SJ-X185M-SG</t>
  </si>
  <si>
    <t>SJ-X185M-SR</t>
  </si>
  <si>
    <t>SJ-X195MG-GB</t>
  </si>
  <si>
    <t>SJ-X195MG-GR</t>
  </si>
  <si>
    <t>AH-A12VEY</t>
  </si>
  <si>
    <t>EM-H53-WH</t>
  </si>
  <si>
    <t>KS-N18MG-BL</t>
  </si>
  <si>
    <t>KS-N18MG-PK</t>
  </si>
  <si>
    <t>KS-N18MG-RD</t>
  </si>
  <si>
    <t>KS-N18MG-SL</t>
  </si>
  <si>
    <t>2T-C50AD1I</t>
  </si>
  <si>
    <t>2T-C42BB1I</t>
  </si>
  <si>
    <t>2T-C42BD1I</t>
  </si>
  <si>
    <t>CBOX-HB06UBO</t>
  </si>
  <si>
    <t>CBOX-HB08UBO</t>
  </si>
  <si>
    <t>CBOX-MAX06UBL</t>
  </si>
  <si>
    <t>FZ-A80HFU</t>
  </si>
  <si>
    <t>SJ-IFX94PG-CG</t>
  </si>
  <si>
    <t>HP-TW10</t>
  </si>
  <si>
    <t>KS-N18ME-C</t>
  </si>
  <si>
    <t>KS-N18ME-L</t>
  </si>
  <si>
    <t>SJ-195MD-SG</t>
  </si>
  <si>
    <t>SJ-195MD-SR</t>
  </si>
  <si>
    <t>SJ-X165MG-GB</t>
  </si>
  <si>
    <t>SJ-X165MG-GR</t>
  </si>
  <si>
    <t>CBOX-ART08UBO</t>
  </si>
  <si>
    <t>CBOX-ART10UBO</t>
  </si>
  <si>
    <t>CP-SW60A1</t>
  </si>
  <si>
    <t>4T-B60CP1X</t>
  </si>
  <si>
    <t>AN-SS2(BK)</t>
  </si>
  <si>
    <t>AN-SS2(WH)</t>
  </si>
  <si>
    <t>AN-SS2M(BK)</t>
  </si>
  <si>
    <t>AN-SS2M(WH)</t>
  </si>
  <si>
    <t>CBOX-B655UBO</t>
  </si>
  <si>
    <t>CBOX-MAX09PA</t>
  </si>
  <si>
    <t>CBOX-SBT300BL</t>
  </si>
  <si>
    <t>ES-M1050XT-SA</t>
  </si>
  <si>
    <t>ES-M8500XT-SA</t>
  </si>
  <si>
    <t>ES-M9500XT-SA</t>
  </si>
  <si>
    <t>FS2B2</t>
  </si>
  <si>
    <t>KS-FR18ND-BR</t>
  </si>
  <si>
    <t>KS-FR18ND-PK</t>
  </si>
  <si>
    <t>KS-FR18ND-SL</t>
  </si>
  <si>
    <t>PS-930</t>
  </si>
  <si>
    <t>ES-T85CR-BK</t>
  </si>
  <si>
    <t>ES-T85CR-PK</t>
  </si>
  <si>
    <t>ES-T85CR-VK</t>
  </si>
  <si>
    <t>ES-T1090-BK</t>
  </si>
  <si>
    <t>ES-T1090-PK</t>
  </si>
  <si>
    <t>ES-T1090-VK</t>
  </si>
  <si>
    <t>EC-HX100Y-S</t>
  </si>
  <si>
    <t>AH-A24UCY</t>
  </si>
  <si>
    <t>EC-NS18-BK</t>
  </si>
  <si>
    <t>EC-NS18-RD</t>
  </si>
  <si>
    <t>SJ-IG470M-SL</t>
  </si>
  <si>
    <t>SJ-IG471PG-BK</t>
  </si>
  <si>
    <t>SJ-IG570M-SL</t>
  </si>
  <si>
    <t>SJ-IG571PG-BK</t>
  </si>
  <si>
    <t>FP-J40Y-W</t>
  </si>
  <si>
    <t>FP-J60Y-W</t>
  </si>
  <si>
    <t>FP-J80Y-H</t>
  </si>
  <si>
    <t>AX-1700IN(R)</t>
  </si>
  <si>
    <t>SJ-IFX93PM-SL</t>
  </si>
  <si>
    <t>SJ-IFX96PDG-BK</t>
  </si>
  <si>
    <t>ES-F1500X-GY</t>
  </si>
  <si>
    <t>KD-HP901B</t>
  </si>
  <si>
    <t>ES-T871DM-BL</t>
  </si>
  <si>
    <t>ES-T871DM-PK</t>
  </si>
  <si>
    <t>ES-T971DM-BL</t>
  </si>
  <si>
    <t>ES-T971DM-PK</t>
  </si>
  <si>
    <t>FZ-40STS</t>
  </si>
  <si>
    <t>CBOX-B625UBO</t>
  </si>
  <si>
    <t>CBOX-B635UBO</t>
  </si>
  <si>
    <t>CBOX-RB1280UBL</t>
  </si>
  <si>
    <t>CBOX-RB988UBL</t>
  </si>
  <si>
    <t>AH-A12SAY</t>
  </si>
  <si>
    <t>AH-A7SAY</t>
  </si>
  <si>
    <t>EM-TI175G</t>
  </si>
  <si>
    <t>FRV-150X</t>
  </si>
  <si>
    <t>FRV-210X</t>
  </si>
  <si>
    <t>FRV-310X</t>
  </si>
  <si>
    <t>SJ-50MB-XW</t>
  </si>
  <si>
    <t>EKJ-177-BK</t>
  </si>
  <si>
    <t>EKJ-177-WH</t>
  </si>
  <si>
    <t>EKJ-178S</t>
  </si>
  <si>
    <t>KC-G40Y-H</t>
  </si>
  <si>
    <t>KC-G40Y-W</t>
  </si>
  <si>
    <t>AX-1500IN(R)</t>
  </si>
  <si>
    <t>SWD-289</t>
  </si>
  <si>
    <t>SWD-70EH-BK</t>
  </si>
  <si>
    <t>MA-950I-ID</t>
  </si>
  <si>
    <t>DL-0T13U</t>
  </si>
  <si>
    <t>DL-0TC3U</t>
  </si>
  <si>
    <t>DL-T431NM</t>
  </si>
  <si>
    <t>DL-YP046</t>
  </si>
  <si>
    <t>DN4A6XD475</t>
  </si>
  <si>
    <t>DN4A6XZ476</t>
  </si>
  <si>
    <t>ES-T65MW-BK</t>
  </si>
  <si>
    <t>ES-T65MW-GK</t>
  </si>
  <si>
    <t>ES-T65MW-PK</t>
  </si>
  <si>
    <t>FRV-200</t>
  </si>
  <si>
    <t>KS-A18TTR</t>
  </si>
  <si>
    <t>KSH-777</t>
  </si>
  <si>
    <t>MA-950I-IDR</t>
  </si>
  <si>
    <t>ND-R245A5</t>
  </si>
  <si>
    <t>ND-T060P1</t>
  </si>
  <si>
    <t>ND-T065P1</t>
  </si>
  <si>
    <t>PB2-0509</t>
  </si>
  <si>
    <t>PB2-1218</t>
  </si>
  <si>
    <t>PB3-0509</t>
  </si>
  <si>
    <t>SB-TW101P</t>
  </si>
  <si>
    <t>SJ-G190T-ZB</t>
  </si>
  <si>
    <t>SJ-G190T-ZS</t>
  </si>
  <si>
    <t>SJ-V190T-ZS</t>
  </si>
  <si>
    <t>ES-T97CM-BL</t>
  </si>
  <si>
    <t>TELEVISION</t>
  </si>
  <si>
    <t>BEGINNING</t>
  </si>
  <si>
    <t>AIR CONDITIONER</t>
  </si>
  <si>
    <t>AUDIO</t>
  </si>
  <si>
    <t>HEALSIO WATER OVEN</t>
  </si>
  <si>
    <t>LED LIGHT</t>
  </si>
  <si>
    <t>VACUUM CLEANER</t>
  </si>
  <si>
    <t>SMALL HOME APPLIANCES</t>
  </si>
  <si>
    <t>WASHING MACHINE</t>
  </si>
  <si>
    <t>REFRIGERATOR</t>
  </si>
  <si>
    <t>AIR PURIFIER</t>
  </si>
  <si>
    <t>HAIR DRYER &amp; STRAIGHTENER</t>
  </si>
  <si>
    <t>HEALSIO COOKWARE</t>
  </si>
  <si>
    <t>RICE COOKER</t>
  </si>
  <si>
    <t>FACE MASK</t>
  </si>
  <si>
    <t>SOLAR PANEL</t>
  </si>
  <si>
    <t>AIR COOLER</t>
  </si>
  <si>
    <t>MICROWAVE OVEN</t>
  </si>
  <si>
    <t>SMARTPHONE</t>
  </si>
  <si>
    <t>WATER PUMP</t>
  </si>
  <si>
    <t>WATER DISPENSER</t>
  </si>
  <si>
    <t>2T-</t>
  </si>
  <si>
    <t>4T-</t>
  </si>
  <si>
    <t>8T-</t>
  </si>
  <si>
    <t>AH-</t>
  </si>
  <si>
    <t>AN-</t>
  </si>
  <si>
    <t>AX-</t>
  </si>
  <si>
    <t>CBO</t>
  </si>
  <si>
    <t>CP-</t>
  </si>
  <si>
    <t>DL-</t>
  </si>
  <si>
    <t>DN4</t>
  </si>
  <si>
    <t>EC-</t>
  </si>
  <si>
    <t>EI-</t>
  </si>
  <si>
    <t>EJ-</t>
  </si>
  <si>
    <t>EKJ</t>
  </si>
  <si>
    <t>EM-</t>
  </si>
  <si>
    <t>EO-</t>
  </si>
  <si>
    <t>ES-</t>
  </si>
  <si>
    <t>FJ-</t>
  </si>
  <si>
    <t>FP-</t>
  </si>
  <si>
    <t>FRV</t>
  </si>
  <si>
    <t>FRW</t>
  </si>
  <si>
    <t>FS2</t>
  </si>
  <si>
    <t>FU-</t>
  </si>
  <si>
    <t>FZ-</t>
  </si>
  <si>
    <t>GB-</t>
  </si>
  <si>
    <t>GS-</t>
  </si>
  <si>
    <t>GX-</t>
  </si>
  <si>
    <t>HM-</t>
  </si>
  <si>
    <t>HP-</t>
  </si>
  <si>
    <t>IB-</t>
  </si>
  <si>
    <t>IG-</t>
  </si>
  <si>
    <t>KC-</t>
  </si>
  <si>
    <t>KD-</t>
  </si>
  <si>
    <t>KI-</t>
  </si>
  <si>
    <t>KN-</t>
  </si>
  <si>
    <t>KS-</t>
  </si>
  <si>
    <t>KSH</t>
  </si>
  <si>
    <t>KZ-</t>
  </si>
  <si>
    <t>KZS</t>
  </si>
  <si>
    <t>LC-</t>
  </si>
  <si>
    <t>MA-</t>
  </si>
  <si>
    <t>ND-</t>
  </si>
  <si>
    <t>NE-</t>
  </si>
  <si>
    <t>PB2</t>
  </si>
  <si>
    <t>PB3</t>
  </si>
  <si>
    <t>PJ-</t>
  </si>
  <si>
    <t>PS-</t>
  </si>
  <si>
    <t>R-2</t>
  </si>
  <si>
    <t>R-6</t>
  </si>
  <si>
    <t>R-7</t>
  </si>
  <si>
    <t>R-8</t>
  </si>
  <si>
    <t>SB-</t>
  </si>
  <si>
    <t>SCH</t>
  </si>
  <si>
    <t>SH-</t>
  </si>
  <si>
    <t>SJ-</t>
  </si>
  <si>
    <t>SPS</t>
  </si>
  <si>
    <t>STB</t>
  </si>
  <si>
    <t>SWD</t>
  </si>
  <si>
    <t>DISC</t>
  </si>
  <si>
    <t>PRICE LIST UPLOAD FORMAT TO CCC INFO</t>
  </si>
  <si>
    <t>Year</t>
  </si>
  <si>
    <t>Month</t>
  </si>
  <si>
    <t>string</t>
  </si>
  <si>
    <t>Debut</t>
  </si>
  <si>
    <t>CV-</t>
  </si>
  <si>
    <t>R-3</t>
  </si>
  <si>
    <t>R-4</t>
  </si>
  <si>
    <t>R-9</t>
  </si>
  <si>
    <t>AIR FRIER</t>
  </si>
  <si>
    <t>PJA</t>
  </si>
  <si>
    <t>PYS</t>
  </si>
  <si>
    <t>PMM</t>
  </si>
  <si>
    <t>PDA</t>
  </si>
  <si>
    <t>DW-</t>
  </si>
  <si>
    <t>DEHUMIDIFIER</t>
  </si>
  <si>
    <t>2T-C32EG1I</t>
  </si>
  <si>
    <t>2T-C42DD1i-SB</t>
  </si>
  <si>
    <t>2T-C42EG1I</t>
  </si>
  <si>
    <t>2T-C42EG1I-SB</t>
  </si>
  <si>
    <t>2T-C50EG1I</t>
  </si>
  <si>
    <t>4T-C55EJ2X</t>
  </si>
  <si>
    <t>4T-C55EK2X</t>
  </si>
  <si>
    <t>4T-C65DK1X</t>
  </si>
  <si>
    <t>4T-C65DL1X</t>
  </si>
  <si>
    <t>4T-C70DK1X</t>
  </si>
  <si>
    <t>4T-C75EK2X</t>
  </si>
  <si>
    <t>8A-C22CX1</t>
  </si>
  <si>
    <t>AH-A12ZCY</t>
  </si>
  <si>
    <t>AH-A18ZCY</t>
  </si>
  <si>
    <t>AH-A24ZCY</t>
  </si>
  <si>
    <t>AH-A5ZCY</t>
  </si>
  <si>
    <t>AH-A5ZCYN</t>
  </si>
  <si>
    <t>AH-A9ZCY</t>
  </si>
  <si>
    <t>AH-A9ZCYN</t>
  </si>
  <si>
    <t>AS-AG1Y</t>
  </si>
  <si>
    <t>CBOX-RLPRO12B</t>
  </si>
  <si>
    <t>CBOX-RLPRO15B</t>
  </si>
  <si>
    <t>CBOX-SUB18B</t>
  </si>
  <si>
    <t>CBOX-X360-DW</t>
  </si>
  <si>
    <t>CBOX-X360-LW</t>
  </si>
  <si>
    <t>DW-D12A-W</t>
  </si>
  <si>
    <t>DW-E16FA-W</t>
  </si>
  <si>
    <t>EI-N10-GY</t>
  </si>
  <si>
    <t>EI-N10-WH</t>
  </si>
  <si>
    <t>EM-151G-GY</t>
  </si>
  <si>
    <t>EM-151P-WH</t>
  </si>
  <si>
    <t>EM-152G-BL</t>
  </si>
  <si>
    <t>EM-152P-PK</t>
  </si>
  <si>
    <t>ES-FL1212SX</t>
  </si>
  <si>
    <t>ES-T85NT-LC</t>
  </si>
  <si>
    <t>ES-T85NT-PK</t>
  </si>
  <si>
    <t>ES-T95NT-LC</t>
  </si>
  <si>
    <t>ES-T95NT-PK</t>
  </si>
  <si>
    <t>FU-NC01-W</t>
  </si>
  <si>
    <t>KF-DP52BK</t>
  </si>
  <si>
    <t>KF-DP55BK</t>
  </si>
  <si>
    <t>KF-DP55BL</t>
  </si>
  <si>
    <t>KF-ML42BK</t>
  </si>
  <si>
    <t>KF-MP42WH</t>
  </si>
  <si>
    <t>KS-G18MH-BL</t>
  </si>
  <si>
    <t>KS-G18MH-BZ</t>
  </si>
  <si>
    <t>KS-G18MP-BL</t>
  </si>
  <si>
    <t>KS-G18MP-GR</t>
  </si>
  <si>
    <t>KS-G18MP-WT</t>
  </si>
  <si>
    <t>R-223DA-BK</t>
  </si>
  <si>
    <t>R-223MA-BK</t>
  </si>
  <si>
    <t>R-323DA-RT</t>
  </si>
  <si>
    <t>R-725DA-BK</t>
  </si>
  <si>
    <t>SH-C05(B)</t>
  </si>
  <si>
    <t>SH-C05(P)</t>
  </si>
  <si>
    <t>SJ-195MD-SG2</t>
  </si>
  <si>
    <t>SJ-195MD-SR2</t>
  </si>
  <si>
    <t>SJ-195MN-HS</t>
  </si>
  <si>
    <t>SJ-197ND-VB2</t>
  </si>
  <si>
    <t>SJ-197ND-VP2</t>
  </si>
  <si>
    <t>SJ-316MN-HS</t>
  </si>
  <si>
    <t>SJ-IG470M-DS</t>
  </si>
  <si>
    <t>SJ-IG570M-DS</t>
  </si>
  <si>
    <t>HD-Ready . DVB-T2 Ready,USB Music</t>
  </si>
  <si>
    <t>HD-Ready . DVB-T2 Ready,USB Movie</t>
  </si>
  <si>
    <t>HD-Ready,DVB-T2,Big sound 20W,Metal mesh design,USB movie</t>
  </si>
  <si>
    <t>HD-ready, Android TV,Google assistant,Bluetooth audio out, azan reminder</t>
  </si>
  <si>
    <t>HD-Ready,HDR,New EasySmart,Netflix,Youtube,Apps Store,Game Mode,Mirroring</t>
  </si>
  <si>
    <t>HD-Ready . Google TV . Kids Mode . Game Mode . Chromecast . Bluetooth Audio</t>
  </si>
  <si>
    <t>Full HD,DVB-T2,Child timer</t>
  </si>
  <si>
    <t>Full-HD, Android TV,Google assistant,Bluetooth audio out, azan reminder</t>
  </si>
  <si>
    <t>Full-HD . DVB-T2 . IIOTO SoundBar</t>
  </si>
  <si>
    <t>Full-HD,HDR,New EasySmart,Netflix,Youtube,Apps Store,Game Mode,Mirroring</t>
  </si>
  <si>
    <t>Full-HD . Google TV . Kids Mode . Game Mode . Chromecast . Bluetooth Audio</t>
  </si>
  <si>
    <t>Full-HD . Google TV . 20W SoundBar . Kids Mode . Game Mode . Chromecast . Bluetooth Audio</t>
  </si>
  <si>
    <t>Full-HD, HDMI,USB,super eco mode,child timer,comfort mode,HDD Support (NTFS,FAT32),usb auto play</t>
  </si>
  <si>
    <t>UHD . Easy VideoWall . 16 Hours Operation . Time-Based USB Contents</t>
  </si>
  <si>
    <t>UHD,  Android TV,  Google Assistant, Game Mode, Bluetooth Audio Out</t>
  </si>
  <si>
    <t>UHD . Android TV v11 . Google Assistant . HDMI 2.1 . Game Mode . Deep Chroma Display</t>
  </si>
  <si>
    <t>UHD . New EasySmart . Netflix . Youtube . Apps Store . Game Mode . Mirroring</t>
  </si>
  <si>
    <t>UHD,DVB-T2,Sound reflector,USB Movie</t>
  </si>
  <si>
    <t>UHD,Android TV,Google assistant,Bluetooth audio out,azan reminder</t>
  </si>
  <si>
    <t>UHD . Deep Chroma Display . Android TV . Google Assistant . Game Mode</t>
  </si>
  <si>
    <t>UHD, Android TV, Google assistant, bluetooth audio out, Azan reminder,</t>
  </si>
  <si>
    <t>UHD . Android TV v11 . Google Assistant . Game Mode . Bluetooth Audio Out</t>
  </si>
  <si>
    <t>UHD, Frameless, Android TV,  Google Assistant, Game Mode, Bluetooth Audio Out</t>
  </si>
  <si>
    <t xml:space="preserve">Sound Bar with OPSODIS Sound Technology,  Dolby ATMOS, Hi-Res Audio, Dolby Vision Compatible, Music Streamig via BLUETOOTH, HDMi (eARC), Wireless Active Subwoofer </t>
  </si>
  <si>
    <t>8k .  Android TV . Google Assistant . Eilex Prism</t>
  </si>
  <si>
    <t>1.5 PK (1,090 W), JetStream, Coanda, &amp; Comfort Mode</t>
  </si>
  <si>
    <t>1.5 PK (1,080 Watt), Turbo Cool Mode, Interactive LED Display Panel, X-Fan Function, 10 Years Compressor Warranty</t>
  </si>
  <si>
    <t>1.5 PK, 1.035 watt, Gold Fin On Evaporator, Turbo Mode, LED Display Temperature, Sleep Mode</t>
  </si>
  <si>
    <t>2 PK (1,722 W), JetStream, Coanda, &amp; Comfort Mode</t>
  </si>
  <si>
    <t>2 PK (1,590 Watt), Turbo Cool Mode, Interactive LED Display Panel, X-Fan Function, 10 Years Compressor Warranty</t>
  </si>
  <si>
    <t>2.0 PK, 1.640 watt, Gold Fin On Evaporator, Turbo Mode, LED Display Temperature, Sleep Mode</t>
  </si>
  <si>
    <t>2.5 PK (2,130 Watt), Turbo Cool Mode, Interactive LED Display Panel, X-Fan Function, 10 Years Compressor Warranty</t>
  </si>
  <si>
    <t>2.5 PK, 2.070 watt, Gold Fin On Evaporator, Turbo Mode, LED Display Temperature, Sleep Mode</t>
  </si>
  <si>
    <t>0.5 PK (390 W), JetStream, Coanda, &amp; Comfort Mode</t>
  </si>
  <si>
    <t>0.5 PK (350 Watt), Turbo Cool Mode, Interactive LED Display Panel, X-Fan Function, 10 Years Compressor Warranty</t>
  </si>
  <si>
    <t>0.5 PK (340 Watt), Turbo Cool Mode, Self Diagnosis,X-fan Function</t>
  </si>
  <si>
    <t>0.5 PK, 330 Watt, Jetstream J60, Low Wattage &amp; Low Voltage, Coanda Airflow.</t>
  </si>
  <si>
    <t>0.5 PK, 344 watt, Gold Fin On Evaporator, Turbo Mode, LED Display Temperature, Sleep Mode</t>
  </si>
  <si>
    <t>0.5 PK, 344 watt, Gold Fin On Evaporator &amp; Condensor, Turbo Mode, LED Display Temperature, Sleep Mode</t>
  </si>
  <si>
    <t>0.75 PK (595 W), JetStream, Coanda, &amp; Comfort Mode</t>
  </si>
  <si>
    <t xml:space="preserve"> 0.75 PK (560 Watt), Turbo Cool Mode, Interactive LED Display Panel, X-Fan Function, 10 Years Compressor Warranty</t>
  </si>
  <si>
    <t>0.75 PK (535 Watt), Turbo Cool Mode, Self Diagnosis,X-fan Function</t>
  </si>
  <si>
    <t>0.75 PK, 540 Watt, Jetstream J60, Low Wattage &amp; Low Voltage, Coanda Airflow.</t>
  </si>
  <si>
    <t>1 PK (800 W), JetStream,Coanda,Comfort Mode,Auto swing louver</t>
  </si>
  <si>
    <t>1 PK (750 Watt), Turbo Cool Mode, Interactive LED Display Panel, X-Fan Function, 10 Years Compressor Warranty</t>
  </si>
  <si>
    <t>1 PK (730 Watt), Turbo Cool Mode, Self Diagnosis,X-fan Function</t>
  </si>
  <si>
    <t xml:space="preserve">1 PK, 690 Watt, Jetstream J60, Low Wattage &amp; Low Voltage, Coanda Airflow </t>
  </si>
  <si>
    <t>1.0 PK, 765 watt, Gold Fin On Evaporator, Turbo Mode, LED Display Temperature, Sleep Mode</t>
  </si>
  <si>
    <t>1.0 PK, 765 watt, Gold Fin On Evaporator &amp; Condensor, Turbo Mode, LED Display Temperature, Sleep Mode</t>
  </si>
  <si>
    <t>1.5 PK (1,090 W), Plasmacluster HD 7000, JetStream, Coanda, Baby Mode, Self Cleaning Mode, &amp; Comfort Mode</t>
  </si>
  <si>
    <t>1.5 PK, Low Wattage (970 Watt), Plasmacluster, JetStream G9 &amp; Baby Mode, Comfort Mode, Four Way Auto Swing, Self-Cleaning function</t>
  </si>
  <si>
    <t>0.5 PK (390 W), Plasmacluster HD 7000, JetStream, Coanda, Baby Mode, Self Cleaning Mode, &amp; Comfort Mode</t>
  </si>
  <si>
    <t xml:space="preserve">0.5 PK, Low Wattage (330 Watt), Plasmacluster, JetStream G9 &amp; Baby Mode, Comfort Mode, Four Way Auto Swing, Self-Cleaning function </t>
  </si>
  <si>
    <t>0.75 PK (595 W), Plasmacluster HD 7000, JetStream, Coanda, Baby Mode, Self Cleaning Mode, &amp; Comfort Mode</t>
  </si>
  <si>
    <t>0.75 PK, Low Wattage (540 Watt), Plasmacluster, JetStream G9 &amp; Baby Mode, Comfort Mode, Four Way Auto Swing, Self-Cleaning function</t>
  </si>
  <si>
    <t>1 PK (800 W), Plasmacluster HD 7000, JetStream, Coanda, Baby Mode, Self Cleaning Mode, &amp; Comfort Mode</t>
  </si>
  <si>
    <t xml:space="preserve"> 1 PK, Low Wattage (690 Watt), Plasmacluster, JetStream G9 &amp; Baby Mode, Comfort Mode, Four Way Auto Swing, Self-Cleaning function</t>
  </si>
  <si>
    <t>1 PK, 720 watt, Powerful Jet, Eco Mode, Baby Sleep Mode</t>
  </si>
  <si>
    <t>1.5 PK, JetStream G9, Long airflow dengan teknologi coanda, Sleep Mode, 14 C setting</t>
  </si>
  <si>
    <t>1.5 PK, 1,060 watt, Powerful Jet, Eco Mode, Baby Sleep Mode</t>
  </si>
  <si>
    <t>2 PK, Super JetStream, Long airflow dengan teknologi coanda, Sleep Mode, 14 C setting</t>
  </si>
  <si>
    <t>2 PK, 1, 640 watt, Powerful Jet, Eco Mode, Baby Sleep Mode</t>
  </si>
  <si>
    <t>0.5 PK, JetStream G9, Long airflow dengan teknologi coanda, Sleep Mode, 14 C setting</t>
  </si>
  <si>
    <t>0.5 PK, 380 watt, Powerful Jet, Eco Mode, Baby Sleep Mode</t>
  </si>
  <si>
    <t>1 PK, JetStream G9, Long airflow dengan teknologi coanda, Sleep Mode, 14 C setting</t>
  </si>
  <si>
    <t xml:space="preserve"> 1 PK (695 Watt), W-Flex Louver, Dragonfly Wing Fan, Premium LED lighting, ECO mode, PCI HD 7000</t>
  </si>
  <si>
    <t>1 PK, Smart Operation dengan IOT, Plasmacluster, Dual long panel (140 mm) . ECO Aero system</t>
  </si>
  <si>
    <t>1 PK (780 W), Smart Operation dengan IOT, Plasmacluster, Motion Sensor . ECO Aero system</t>
  </si>
  <si>
    <t>1,5 PK, Smart Operation dengan IOT, Plasmacluster, Dual long panel (140 mm) . ECO Aero system</t>
  </si>
  <si>
    <t>1.5 PK (1,130 W), Smart Operation dengan IOT, Plasmacluster, Motion Sensor . ECO Aero system</t>
  </si>
  <si>
    <t>0.5 PK (360 Watt), W-Flex Louver, Dragonfly Wing Fan, Premium LED lighting, ECO mode, PCI HD 7000</t>
  </si>
  <si>
    <t>0.5 PK (370 W) , Smart Operation dengan IOT, Plasmacluster, Motion Sensor . ECO Aero system</t>
  </si>
  <si>
    <t>Sound partner,Ears free &amp; hands free,Bluetooth,Splash proof</t>
  </si>
  <si>
    <t>AG ION HOSE</t>
  </si>
  <si>
    <t>Healsio Superheated Steam Oven, Inverter, 31L, 800W, Full Automatic Cooking Mode, Teknologi Superheated Steam hingga 250?C.</t>
  </si>
  <si>
    <t>12"Big woofer,22.000W PMPO, USB, X-Bass, Magnetically shielded, karaoke function</t>
  </si>
  <si>
    <t xml:space="preserve"> Art &amp; Sound 8", Bluetooth, USB, FM Radio, AUX</t>
  </si>
  <si>
    <t xml:space="preserve"> Art &amp; Sound 10", Bluetooth, USB, FM Radio, AUX</t>
  </si>
  <si>
    <t>6" Woofer, 7500W PMPO, X-bass, Magnetically shielded, karaoke function</t>
  </si>
  <si>
    <t>6" Woofer, 8500W PMPO, X-bass, Magnetically shielded, karaoke function</t>
  </si>
  <si>
    <t>6" Woofer, 7500W PMPO, Bluetooth, USB, FM Radio, X-bass, karaoke function</t>
  </si>
  <si>
    <t>Tower 6" Woofer, 8500W PMPO, Bluetooth, USB, FM Radio, X-bass, karaoke function</t>
  </si>
  <si>
    <t>8" Big Woofer, Wooden design, 16.000W PMPO, Bluetooth, USB, X-Bass, Magnetically Shielded, Karaoke Function</t>
  </si>
  <si>
    <t>8' Big woofer, 18.000 PMPO, Bluetooth, USB, X-Bass, Magnetically Shielded, Karaoke Function</t>
  </si>
  <si>
    <t>8" Double Woofer, 20.000W PMPO, Bluetoth, USB, X-Bass, Magnetically Shielded, Karaoke Function</t>
  </si>
  <si>
    <t>12" Big woofer, 2x50 Watt RMS, Digital Sound Engine with Digital Equalizer, Bluetooth, USB,  2 Mic with Echo</t>
  </si>
  <si>
    <t>8" Woofer, Digital Sound Engine with Digital Equalizer, 2x20 Watt RMS, Bluetooth, USB, 2 Mic with Echo</t>
  </si>
  <si>
    <t>8" Woofer, Digital Sound Engine with Digital Equalizer, 3-Way Speaker, 2x50 Watt RMS, Bluetooth, USB, 2 Mic with Echo</t>
  </si>
  <si>
    <t>Double 8" Woofer, Digital Sound Engine with Digital Equalizer, 2x50 Watt RMS, Bluetooth, USB, 2 Mic with Echo</t>
  </si>
  <si>
    <t>Double 8" Woofer, Digital Sound Engine with Digital Equalizer, 3-Way Speaker, 2x50 Watt RMS, Bluetooth, USB, 2 Mic with Echo</t>
  </si>
  <si>
    <t>Hi-Beat Series 8", Stereo in One Box System, Digital Sound Engine with Digital Equalizer, Bluetooth, USB,  2 Mic with Echo</t>
  </si>
  <si>
    <t>Hibeat Professional Sound System, 8", Stereo in One Box System, Bluetooth, USB,   2 Mic with Echo, Tripod Included</t>
  </si>
  <si>
    <t>10" Big Woofer, Digital Sound Engine with Digital Equalizer, 60 Watt RMS, Bluetooth, USB, 2 Mic with Echo</t>
  </si>
  <si>
    <t>12" Big Woofer, Digital Sound Engine with Digital Equalizer, 60 Watt RMS, Bluetooth, USB, 2 Mic with Echo</t>
  </si>
  <si>
    <t>15" Big Woofer, Digital Sound Engine with Digital Equalizer, 60 Watt RMS, Bluetooth, USB, 2 Mic with Echo</t>
  </si>
  <si>
    <t>Double 10" Big Woofer, Digital Sound Engine with Digital Equalizer, 2x50 Watt RMS, Bluetooth, USB, 2 Mic with Echo</t>
  </si>
  <si>
    <t>Double 12" Big Woofer, Digital Sound Engine with Digital Equalizer, 2x50 Watt RMS, Bluetooth, USB, 2 Mic with Echo</t>
  </si>
  <si>
    <t>6" Woofer, 13.000W PMPO, USB, Magnetically Shielded, Karaoke Function</t>
  </si>
  <si>
    <t>GS PRO Series 10"</t>
  </si>
  <si>
    <t>GS PRO Series 8"</t>
  </si>
  <si>
    <t>Hi-Beat Series 6", One Box - Two Power Speaker System, Bluetooth, USB, FM Radio</t>
  </si>
  <si>
    <t>Hi-Beat Series 8", One Box - Two Power Speaker System, Bluetooth, USB, FM Radio</t>
  </si>
  <si>
    <t>Hibeat Professional Sound System, 8", One Box - Two Power Speaker System, Bluetooth, USB, FM Radio</t>
  </si>
  <si>
    <t>XMAX Series 8", 2.1 Audio Sistem, Bluetooth, USB, FM Radio</t>
  </si>
  <si>
    <t>Pre-amplifier tube built in,classic wood pvc design,Bluetooth,USB,FM radio,AUX-in</t>
  </si>
  <si>
    <t>10" Big Woofer . 16.000W PMPO . Carbon Design . Rainbow Light . Voice Cancelling . Bluetooth . USB . FM Radio . Karaoke Function</t>
  </si>
  <si>
    <t>12" Big Woofer . 17.000W PMPO . Carbon Design . Rainbow Light . Voice Cancelling . Bluetooth . USB . FM Radio . Karaoke Function</t>
  </si>
  <si>
    <t>15" Big Woofer . 19.000W PMPO . Carbon Design . Rainbow Light . Voice Cancelling . Bluetooth . USB . FM Radio . Karaoke Function</t>
  </si>
  <si>
    <t>Double 10’’ Woofer . 20.000W PMPO . Carbon Design . Rainbow Light . Voice Cancelling . Bluetooth . USB . FM Radio . Karaoke Function</t>
  </si>
  <si>
    <t>Double 12’’ Woofer . 22.000W PMPO . Carbon Design . Rainbow Light . Voice Cancelling . Bluetooth . USB . FM Radio . Karaoke Function</t>
  </si>
  <si>
    <t>12"Big woofer,22.000W PMPO, Carbon Texture, Bluetooth, USB, X-Bass, FM Radio, Karaoke function</t>
  </si>
  <si>
    <t>8" Double Woofer, 20.000W PMPO, Carbon Texture, Bluetooth, USB, FM Radio, X-Bass, Karaoke Function</t>
  </si>
  <si>
    <t>18" LF Driver, 400 W Continues - 800 W Peak/Dynamic, Water Protection Coat</t>
  </si>
  <si>
    <t>15" LF Driver and 1" Compression Driver, 200 W Continues - 800 W Peak/Dynamic, Controls (Level, Line/Mic, Bluetooth/TWS link, Mains on/off, Master Vol, Bass, Treble), Water Protection Coat</t>
  </si>
  <si>
    <t>LED TV sound enhancement with 2x15 watt RMS,Bluetooth&amp;AMP in audio source,wall mountable</t>
  </si>
  <si>
    <t>15" LF Driver and 1" HF Compression Driver, 200 W Power Handling, Sturdy Design, MDF with PVC Black rough, Controls (Level, Line/Mic, Bluetooth/TWS link, Mains on/off, Master Vol, Bass, Treble)</t>
  </si>
  <si>
    <t>Trolley Series 10", Non Baterai, Cloth Grill Black</t>
  </si>
  <si>
    <t>Trolley Series 10", Built-In Baterai, Metal Mesh Brown</t>
  </si>
  <si>
    <t>Trolley Series 12", Built-In Baterai, Cloth Grill Black</t>
  </si>
  <si>
    <t>Trolley Series 12", Built-In Baterai, Metal Mesh Brown</t>
  </si>
  <si>
    <t>360o Sound Speaker, Dark Colour Wood</t>
  </si>
  <si>
    <t>360o Sound Speaker, Light Colour Wood</t>
  </si>
  <si>
    <t xml:space="preserve">Wireless bluetooth subwoofer </t>
  </si>
  <si>
    <t>High Density 7000, Dry Clothing Mode, Dehumidifying Capacity, Dehumidification Area, Auto Louver</t>
  </si>
  <si>
    <t>High Density 7000, 2 IN 1, Dehumidifying Capacity, Dehumidification Area, Dry Clothing Mode</t>
  </si>
  <si>
    <t xml:space="preserve">400 Watt, </t>
  </si>
  <si>
    <t>Low Wattage 400 Watt</t>
  </si>
  <si>
    <t>Wet and Dry 600 Watt</t>
  </si>
  <si>
    <t>Bagless vacum cleaner,low wattage 450 watt, dry vacum cleaner, black colour</t>
  </si>
  <si>
    <t>Bagless vacum cleaner,low wattage 450 watt, dry vacum cleaner, red colour</t>
  </si>
  <si>
    <t>Cordless vacuum cleaner with Mop Kit, Mopping System with water release, Detachable Battery Pack</t>
  </si>
  <si>
    <t>Electric Iron (Dry), 350W</t>
  </si>
  <si>
    <t>Slow juicer, power 150 W, Grinding technology</t>
  </si>
  <si>
    <t>Auto lid opening function, Dry boil protection, On/off switch with indicator light, Capacity 1.5L</t>
  </si>
  <si>
    <t>Kettle jug,Black colour,1.7 Liter,800 Watt,Double layer cool touch body</t>
  </si>
  <si>
    <t>Kettle jug,White colour,1.7 Liter,800 Watt,Double layer cool touch body</t>
  </si>
  <si>
    <t>Kettle jug,Stainless body,1.7 Liter,800 Watt,with boil-dry protection</t>
  </si>
  <si>
    <t>Blender, plastic jug, capacity 1.25L</t>
  </si>
  <si>
    <t>variable speed button, Plastic jug 1000ml</t>
  </si>
  <si>
    <t>Blender Glass Jug 1.5L, 350W</t>
  </si>
  <si>
    <t>Blender Plastic Jug 1.5L, 350W</t>
  </si>
  <si>
    <t>Blender Glass Jug 1.5L with Chopper, 350W</t>
  </si>
  <si>
    <t>Blender Plastic Jug 1.5L with Chopper, 350W</t>
  </si>
  <si>
    <t>Blender &amp; Food Processor</t>
  </si>
  <si>
    <t>Hand mixer, Power 250-320W, With hook &amp; beater</t>
  </si>
  <si>
    <t>Personal Blender,Sport bottle with BPA Free,Capacity 600ml</t>
  </si>
  <si>
    <t>Stand mixer, 5 Speed level, With hooks &amp; beater</t>
  </si>
  <si>
    <t>Blender,capacity 1750ml</t>
  </si>
  <si>
    <t>18 lt</t>
  </si>
  <si>
    <t>Capacity 25 Liter, Power 1000 Watt, Temperature up to 230 derajat, inside lamp, Convection &amp; Rotisserie</t>
  </si>
  <si>
    <t>28 lt</t>
  </si>
  <si>
    <t>Capacity 32 Liter, Power 1300 Watt, Temperature up to 230 derajat, inside lamp, Convection &amp; Rotisserie</t>
  </si>
  <si>
    <t>Electric oven,Capacity 35Liter,Power 1500W,Functions toast,Grill,Bake,Roast,Rotisserie &amp; Convection</t>
  </si>
  <si>
    <t>Capacity 38 Liter, Power 1300 Watt, Temperature up to 230 derajat, inside lamp, Convection &amp; Rotisserie</t>
  </si>
  <si>
    <t>Capacity 12 kg, Stainless Steel, Adjustable Spin Speed 500/650RPM, 300 Watt</t>
  </si>
  <si>
    <t>Capacity 14 kg, Stainless Steel, Adjustable Spin Speed 300/500/650RPM, 300 Watt</t>
  </si>
  <si>
    <t>Capacity 15 kg, LED Touch Display, Glass Touch Panel, Tub Clean program, 10 Dry program, Air Dry program, Low Water Pressure</t>
  </si>
  <si>
    <t>Eco logic system, zero pressure technology, delay start, capacity 7.5kg</t>
  </si>
  <si>
    <t>Capacity 6 kg, Quick Wash, Eco Logic System, Boomerang Cabinet, LED Contro panel, Easy Ironing, White Colour</t>
  </si>
  <si>
    <t>Capacity 7 kg, Quick Wash, Eco Logic System, Boomerang Cabinet, LED Contro panel, Easy Ironing, White Colour</t>
  </si>
  <si>
    <t>Capacity 7 Kg, Triple Quick Wash, Eco Logic System, Turbo Key, Super Clean Rinse, Silent Wash</t>
  </si>
  <si>
    <t>Capacity 8 kg, Quick Wash, Eco Logic System, Boomerang Cabinet, LED Contro panel, Easy Ironing, White Colour</t>
  </si>
  <si>
    <t>Capacity 8 kg, Quick Wash, Eco Logic System, Boomerang Cabinet, Allergy Smart, White Colour</t>
  </si>
  <si>
    <t>Capacity 8.5 Kg, Triple Quick Wash, Eco Logic System, Turbo Key, Super Clean Rinse, Silent Wash</t>
  </si>
  <si>
    <t>Washer, Capacity 12.5Kg, J-Tech Inverter</t>
  </si>
  <si>
    <t>Capacity 8 kg, Eco Logic System, Bubble Drum, Allergy Smart, DoubleJet Tech, Dark Inox colour</t>
  </si>
  <si>
    <t>Capacity 8 kg, Eco Logic System, Bubble Drum, Allergy Smart, DoubleJet Tech, White Colour</t>
  </si>
  <si>
    <t>Capacity 9 kg, Quick Wash, Eco Logic System, Boomerang Cabinet, Allergy Smart, White Colour</t>
  </si>
  <si>
    <t>Washer Dryer, Capacity 10.5KG/7KG, Plasmacluster Technology, J-Tech Inverter</t>
  </si>
  <si>
    <t>Capacity 9 kg, Eco Logic System, Bubble Drum, Allergy Smart, DoubleJet Tech, Dark Inox colour</t>
  </si>
  <si>
    <t>Capacity 9 kg, Eco Logic System, Bubble Drum, Allergy Smart, DoubleJet Tech, White Colour</t>
  </si>
  <si>
    <t>Capacity 9.5 Kg, Triple Quick Wash, Eco Logic System, Turbo Key, Super Clean Rinse, Silent Wash</t>
  </si>
  <si>
    <t>Capacity 7KG, Quickwash Technology, 8 Washing Program, Child Lock</t>
  </si>
  <si>
    <t>Capacity 7.5kg. Quick Wash Technology, Zero Pressure Technology, Full Big True Temperred Glass Lid with Damper, Power off Memory</t>
  </si>
  <si>
    <t>Capacity 8.5kg. Quick Wash Technology, Zero Pressure Technology, Full Big True Temperred Glass Lid with Damper, Power off Memory</t>
  </si>
  <si>
    <t>Capacity 9.5kg. Quick Wash Technology, Zero Pressure Technology, Full Big True Temperred Glass Lid with Damper, Power off Memory</t>
  </si>
  <si>
    <t>Capacity 10 kg, Zero Pressure Technology, Long Time Soaking, Lid Damper, Ag Pulsator Anti Bacterial, Auto Tub Clean, Eco Shower Rinse</t>
  </si>
  <si>
    <t>Capacity 10kg, No Holes Tub, Double Screw Pulsator, Long Time Soak, True Temperred Glass</t>
  </si>
  <si>
    <t>Capacity 10kg, Anti Mold, Eco Shower Rinse, Zero Pressure Technology, True One Piece Temperred Glass</t>
  </si>
  <si>
    <t>Capacity 10.5kg, J-Tech Inverter, Quick Wash Program, Hijab Pouch, add Laundry, 8 Washing Programs, Ag+ pulsator Anti Bacterial</t>
  </si>
  <si>
    <t>Capacity 11kg, No Holes Tub, Double Screw Pulsator, Long Time Soak, True Temperred Glass</t>
  </si>
  <si>
    <t>Capacity 11kg, Anti Mold, Eco Shower Rinse, Zero Pressure Technology, True One Piece Temperred Glass</t>
  </si>
  <si>
    <t>Capacity 12kg, Anti Mold, Eco Shower Rinse, Zero Pressure Technology, True One Piece Temperred Glass</t>
  </si>
  <si>
    <t>Capacity 8 kg, Zero Pressure Technology, Long Time Soaking, Lid Damper, Ag Pulsator Anti Bacterial, Auto Tub Clean, Eco Shower Rinse</t>
  </si>
  <si>
    <t>Capacity 8kg, Anti Mold, Eco Shower Rinse, Zero Pressure Technology, True One Piece Temperred Glass</t>
  </si>
  <si>
    <t>Capacity 8.5kg, J-Tech Inverter, Quick Wash Program, Hijab Pouch, add Laundry, 8 Washing Programs, Ag+ pulsator Anti Bacterial</t>
  </si>
  <si>
    <t>Capacity 9 kg, Zero Pressure Technology, Long Time Soaking, Lid Damper, Ag Pulsator Anti Bacterial, Auto Tub Clean, Eco Shower Rinse</t>
  </si>
  <si>
    <t>Capacity 9kg, Anti Mold, Eco Shower Rinse, Zero Pressure Technology, True One Piece Temperred Glass</t>
  </si>
  <si>
    <t>Capacity 9.5kg, J-Tech Inverter, Quick Wash Program, Hijab Pouch, add Laundry, 8 Washing Programs, Ag+ pulsator Anti Bacterial</t>
  </si>
  <si>
    <t>Capacity 9 kg, Hijab Mode, Two Tone Colour, Aquamagic Filter</t>
  </si>
  <si>
    <t>Capacity 10 kg, Silver Magic Protection, Dolphin Pulsator, Low Wattage</t>
  </si>
  <si>
    <t>Capacity 11 kg, Super Aquamagic Filter, Wash Motor Input 310 watt</t>
  </si>
  <si>
    <t>Capacity 12KG, W-Screw Pulsator, Super Aquamagic Filter, Anti Bacteria, Spin Air Dry, Color: Blue</t>
  </si>
  <si>
    <t>Capacity 12KG, W-Screw Pulsator, Super Aquamagic Filter, Anti Bacteria, Spin Air Dry, Color: Pink</t>
  </si>
  <si>
    <t>Capacity 14KG, W-Screw Pulsator, Super Aquamagic Filter, Anti Bacteria, Spin Air Dry, Color: Blue</t>
  </si>
  <si>
    <t>Capacity 14KG, W-Screw Pulsator, Super Aquamagic Filter, Anti Bacteria, Spin Air Dry, Color: Red</t>
  </si>
  <si>
    <t>Capacity 6.5kg, Silver Magic Protection, Easy Function</t>
  </si>
  <si>
    <t xml:space="preserve">Capacity 6 kg, Supersoak magic, water inlet,transparent LID </t>
  </si>
  <si>
    <t>Capacity 7kg, Supersoak magic, water inlet,transparent LID</t>
  </si>
  <si>
    <t>Capacity 7kg, Dolphin Pulsator, Super Big Spin, Aerodry System, Super Aquamagic Filter, Soak Magic</t>
  </si>
  <si>
    <t>Capacity 7kg, Super Big Spin, Super Aquamagic Filter, Soak Magic</t>
  </si>
  <si>
    <t>Capacity 7,5kg, Dualtone Color, Hijab Mode, Jilbab Pouch, Soak Magic, Silver Magic</t>
  </si>
  <si>
    <t>Capacity 7kg, Silvermagic Protection, Easy Function</t>
  </si>
  <si>
    <t>Capacity 8kg, Super Aquamagic Filter, Soakmagic, Low Wattage System, Silvermagic protection</t>
  </si>
  <si>
    <t>Capacity 8kg, Silvermagic protection, Soakmagic</t>
  </si>
  <si>
    <t>Capacity 8,5kg, Dolphinwae Pulsator, Super Aquamagic Filter, Water Selector, Lint Filter</t>
  </si>
  <si>
    <t>Capacity 8kg, Silvermagic Protection, Easy Function, Water Inlet</t>
  </si>
  <si>
    <t>Capacity 9kg, Super Aquamagic Filter, Soakmagic, Low Wattage System, Silvermagic protection</t>
  </si>
  <si>
    <t>Capacity 9kg, Silvermagic protection, Soakmagic</t>
  </si>
  <si>
    <t>Capacity 9,5kg, Dolphinwave Pulsator, Super Aquamagic Filter, Water Selector, Lint Filter</t>
  </si>
  <si>
    <t>Double Pulsator, Double Antibacteria (pulsator &amp; Aqua filler), Aquamatic Filter, Low wattage</t>
  </si>
  <si>
    <t>Capacity 9kg, Super Soakmagic, Wash Motor Input 255 watt, Spin Motor Input 105 watt</t>
  </si>
  <si>
    <t>MEGA Freezer (239 L), Handle Grip, 10 rack &amp; 4 door pocket, Low Voltage System, HALAL certified</t>
  </si>
  <si>
    <t>MEGA Freezer (158 L) with key, 6 rack &amp; 3 door pocket, Low Voltage System, HALAL certified</t>
  </si>
  <si>
    <t>MEGA Freezer (158 L), 6 rack &amp; 3 door pocket, Low Voltage System, HALAL certified</t>
  </si>
  <si>
    <t>MEGA Freezer (185 L) with key, 8 rack &amp; 3 door pocket, Low Voltage System, HALAL certified</t>
  </si>
  <si>
    <t>MEGA Freezer (185 L), 8 rack &amp; 3 door pocket, Low Voltage System, HALAL certified</t>
  </si>
  <si>
    <t>Coverage Area 21 m², Pre-Filter + HEPA Filter (Lifetime up to 2 years), Dust Sensor</t>
  </si>
  <si>
    <t>Coverage Area 30 m², Pre-Filter + HEPA + Deodorizing Filter (Lifetime up to 2 years), Dust Sensor</t>
  </si>
  <si>
    <t>Coverage Area 30 m², Pre-Filter + HEPA + Deodorizing Filter (Lifetime up to 2 years), Dust Sensor, glue sheet, UV light, Mosquito trap</t>
  </si>
  <si>
    <t>Coverage Area 23 m², Pre-Filter + HEPA Filter (Lifetime up to 2 years), Dust Sensor,  Filter Maintenance Indicator</t>
  </si>
  <si>
    <t>Coverage Area 30 m², PCI HD 7000, ANTI Dust Mode, HEPA + Deodorizing Filter (Lifetime up to 2 years), (Dust, Odor, &amp; Light Sensor).</t>
  </si>
  <si>
    <t>Coverage Area 40 m², PCI HD 7000, Sleep Mode Function,2 Years lifetime filter,Wifi with AIOT,Anti dust mode,5 Detections</t>
  </si>
  <si>
    <t>Coverage Area 48 m², PCI HD 25000, SPOT Mode, HEPA + Deodorizing Filter (Lifetime up to 2 years), (PM 2.5, Dust, Odor, &amp; Light Sensor)</t>
  </si>
  <si>
    <t>Coverage Area 62 m², Smart Operation (via Wi-Fi), PCI HD 25000, SPOT Mode, HEPA + Deodorizing Filter (Lifetime up to 2 years), (PM 2.5, Dust, Odor, Light , Temperature, &amp; Humidity Sensor)</t>
  </si>
  <si>
    <t>plasmacluster HD 7000,Anti dust mode,Filter replacement indicator,Sharp original airflow at 20 angle</t>
  </si>
  <si>
    <t>plasmacluster HD 7000,Auto with 3 detection,Anti dust mode,Filter replacement indicator</t>
  </si>
  <si>
    <t>BIG capacity (120 L), Handle Grip &amp; Door key, Roller caster, ANTI Rust Cabinet</t>
  </si>
  <si>
    <t>BIG capacity (152 L), FAST Freezing, LED Lamp, Handle Grip &amp; Door key, Roller caster, ANTI Rust Cabinet</t>
  </si>
  <si>
    <t>BIG capacity (205 L), Handle Grip &amp; Door key, Roller caster, ANTI Rust Cabinet</t>
  </si>
  <si>
    <t>BIG capacity (212 L), FAST Freezing, LED Lamp, Handle Grip &amp; Door key, Roller caster, ANTI Rust Cabinet</t>
  </si>
  <si>
    <t>BIG capacity (315 L), Handle Grip &amp; Door key, Roller caster, ANTI Rust Cabinet</t>
  </si>
  <si>
    <t>BIG capacity (302 L), FAST Freezing, LED Lamp, Handle Grip &amp; Door key, Roller caster, ANTI Rust Cabinet</t>
  </si>
  <si>
    <t>BIG capacity (212 L), ANTI Dew Glass Door, Roller caster, ANTI Rust Cabinet</t>
  </si>
  <si>
    <t>Bracket with Wheels for 4T-B60CP1X ( up to 2x2 units )</t>
  </si>
  <si>
    <t>Coverage Area 62 m², Pre-Filter + HEPA + Deodorizing Filter (Lifetime up to 2 years), Dust Sensor</t>
  </si>
  <si>
    <t>High Density 7000, Night Lamp, Coverage Area 10m2, Easy To Clean, 360o Air Flow</t>
  </si>
  <si>
    <t>Single Cartridge with 3 Sticky Glue Layer (1 Glue layer for 1 month usage)</t>
  </si>
  <si>
    <t xml:space="preserve">HEPA Filter For FU-A80Y*, 2 Years Filter Lifetime </t>
  </si>
  <si>
    <t>Single Cartridge with 1 Sticky Glue Layer (1 Glue layer for 2 months usage)</t>
  </si>
  <si>
    <t>2 PK (16,700 BTU),powerful cooling performance it can creating an even and equal cooling temperature with low noise level</t>
  </si>
  <si>
    <t>2.5 PK (24,200 BTU),powerful cooling performance it can creating an even and equal cooling temperature with low noise level</t>
  </si>
  <si>
    <t>4 PK (35,800 BTU),powerful cooling performance it can creating an even and equal cooling temperature with low noise level</t>
  </si>
  <si>
    <t>4.5 PK (42,700 BTU),powerful cooling performance it can creating an even and equal cooling temperature with low noise level</t>
  </si>
  <si>
    <t>5 PK (48,100 BTU),powerful cooling performance it can creating an even and equal cooling temperature with low noise level</t>
  </si>
  <si>
    <t>2 PK(1,800 W), Single phase, Turbo Cooling, Auto Swing Louver, Self-Cleaning function</t>
  </si>
  <si>
    <t>2.5 PK(2.600 W), Single phase, Turbo Cooling, Auto Swing Louver, Self-Cleaning function</t>
  </si>
  <si>
    <t>5 PK (4.380 W), Three phase, Turbo Cooling, Auto Swing Louver, Self-Cleaning function</t>
  </si>
  <si>
    <t>2 PK (16,700 BTU),Best cooling perfomance fast &amp; powerful,equally cooling the area with auto swing function,sleep mode to automatically adjust cooling temperature for 8 hours and reduce energy consumption</t>
  </si>
  <si>
    <t>2.5 PK (24,200 BTU),Best cooling perfomance fast &amp; powerful,equally cooling the area with auto swing function,sleep mode to automatically adjust cooling temperature for 8 hours and reduce energy consumption</t>
  </si>
  <si>
    <t>4 PK (35,100 BTU),Best cooling perfomance fast &amp; powerful,equally cooling the area with auto swing function,sleep mode to automatically adjust cooling temperature for 8 hours and reduce energy consumption</t>
  </si>
  <si>
    <t>4.5 PK (40,900 BTU),Best cooling perfomance fast &amp; powerful,equally cooling the area with auto swing function,sleep mode to automatically adjust cooling temperature for 8 hours and reduce energy consumption</t>
  </si>
  <si>
    <t>5 PK (48,100 BTU),Best cooling perfomance fast &amp; powerful,equally cooling the area with auto swing function,sleep mode to automatically adjust cooling temperature for 8 hours and reduce energy consumption</t>
  </si>
  <si>
    <t>Capacity 10-12 Cup</t>
  </si>
  <si>
    <t>Audio Bone Conduction, Bluetooth 5.0, Waterproof IP66, Ear Free Listening with Privacy</t>
  </si>
  <si>
    <t>Audio Earbuds With TWS Function &amp; Bluetooth Connections</t>
  </si>
  <si>
    <t>Hair Styler . 4 in 1 Beauty Styler . Hanging Loop . 3 Level Speed</t>
  </si>
  <si>
    <t>Hair Dryer . Portable Design . Hanging Loop . 400 Watt</t>
  </si>
  <si>
    <t>Hair Dryer . Nozzle Concentrator . Diffuser . 1200 Watt</t>
  </si>
  <si>
    <t>Hair Straightener . LED Display . Handle Lock . 32 Watt</t>
  </si>
  <si>
    <t>Hair Straightener . LCD Display . Handle Lock . 40 - 44 Watt</t>
  </si>
  <si>
    <t>Coverage Area 3.6 m?, PCI HD 25,000, Dual USB Port, Dual Usage (car or office/home usage), Micro Particle Pre-Filter, Turbo Function (30% faster Odor elimination).</t>
  </si>
  <si>
    <t>Coverage Area 3.6 m, PCI HD NEXT 90,000 ,Dual USB Port, Dual Usage (Car or Office/Home Usage), Micro Particle Pre-Filter, Turbo Function - Quick Clean (30% faster Odor elimination)</t>
  </si>
  <si>
    <t>PCI HD 7000, TEMP/HUMIDIFY &amp; DUST SENSOR, EASY WATER TANK IN WATER SUPPLY (1.5 L CAPACITY),PREFILTER,DUST,DEODORIZING,HUMIDIFY  FILTER,INDIKATOR LIGHT DUST SENSOR,AUTO RESTART,SPECIAL MODE HAZE,PCI &amp; ANTIDUST,SLEEP MODE, COVERAGE AREA 21m2</t>
  </si>
  <si>
    <t>Coverage Area 28 m², PCI HD 7000,sleep mode function,10 years lifetime filter,timer function,PCI Spot mode,Humidifier function</t>
  </si>
  <si>
    <t>Coverage area 38m2, pre-filter + HEPA+ Deodorizing +Humadity Filter (Lifetime up to 10 years),7 detection, spot mode</t>
  </si>
  <si>
    <t>Capacity 9 Kg, LED Touch Display, 15 Dry Program, Child Lock, Wave Cabinet, Bubble Drum</t>
  </si>
  <si>
    <t>Air Fryer Digital 5.2L, Temperature Up To 200OC, 1525W</t>
  </si>
  <si>
    <t>Air Fryer Digital 5.5L, Temperature Up To 200OC, 1550W</t>
  </si>
  <si>
    <t>Air Fryer Mechanical 4.2L, Temperature Up To 200OC, 1225W</t>
  </si>
  <si>
    <t>Coverage Area 50 m², PCI HD 25,000, sleep mode function,wifi with AIOT,PCI Spot mode,Humidifier function</t>
  </si>
  <si>
    <t>Coverage Area 62 m², PCI HD 25,000, Automatic pre-filter cleaning,wifi with AIOT,PCI spot mode,Humidifier function</t>
  </si>
  <si>
    <t>Capacity 2.4 L, Power consumption 800 W</t>
  </si>
  <si>
    <t>Rice Cooker 1.8lt</t>
  </si>
  <si>
    <t>Mechanical Rice Cooker - 1.8 Liter - Cook, Keep Warm &amp; Steam</t>
  </si>
  <si>
    <t>Rice Cooker Mechanical 1.8L, 400W</t>
  </si>
  <si>
    <t>Capacity 7 liter, Cook and Warm, Power 2,000 Watt (Cook)</t>
  </si>
  <si>
    <t>3IN1 rice cooker, capacity 8L, NON-STICK coating</t>
  </si>
  <si>
    <t>Rice cooker, Power 400W, Capacity 1.8L, 3 IN 1 (cook,warm,steam)</t>
  </si>
  <si>
    <t>Adjustable browning control,self centering setting,removable crumb tray for easy cleaning,function:defrost, reheat, and cancel setting</t>
  </si>
  <si>
    <t>Sandwich Toaster</t>
  </si>
  <si>
    <t>Sandwich cooking plates,grill plates,waffle plates, Non-stick heating plate for easy cleaning, removable &amp; replacement heating plate, with two lamps "power on &amp; ready"</t>
  </si>
  <si>
    <t>HD-Ready, HDMI, USB, DVB-T2, Comfort mode, Child Timer, Super eco mode</t>
  </si>
  <si>
    <t>Full-HD . Easy Smart . Wireless Mirroring . Wallpaper Mode, Standby clock, Website bookmark, HDD support, USB Autoplay, DVB-T2</t>
  </si>
  <si>
    <t>50 pcs Box Packagin Medical Face Mask</t>
  </si>
  <si>
    <t>5 pcs Retail Packaging Medical Face Mask</t>
  </si>
  <si>
    <t>Max Power 130 watt, DC 12 Volt Polycrystaline</t>
  </si>
  <si>
    <t>Max Power 60 watt, DC 17.4 Volt Polycrystaline</t>
  </si>
  <si>
    <t>Max Power 80 watt, DC 12 Volt Polycrystaline</t>
  </si>
  <si>
    <t>Pipa AC (0.5 - 1 PK)</t>
  </si>
  <si>
    <t>Pipa AC (1.5 - 2 PK)</t>
  </si>
  <si>
    <t>6 L WATER CAPACITY, 4 ICE PACK, POWER CONSUMTION 65 W, AIR VOLUME 320m/h, 4 SPEED, WATER SCREEN AIR COOLER</t>
  </si>
  <si>
    <t>AIR COOLER, 6L, FOUR ICEPACK,65 WATT,  LED DISPLAY &amp; REMOTE CONTROL, AUTO SWING LOUVER</t>
  </si>
  <si>
    <t>AIR COOLER, 6L, FOUR ICEPACK,65 WATT, LED DISPLAY &amp; REMOTE CONTROL, AUTO SWING LOUVER</t>
  </si>
  <si>
    <t>AIR COOLER, 5L, FOUR ICEPACK, 100 WATT,LED DISPLAY &amp; REMOTE CONTROL, AUTO SWING LOUVER</t>
  </si>
  <si>
    <t>AIR COOLER, 7L, FOUR ICEPACK, 80WATT, LED DISPLAY &amp; REMOTE CONTROL, AUTO SWING LOUVER</t>
  </si>
  <si>
    <t>Digital amplifier with 60W RMS output power,portable system with built-in battery,flashing LED effect,bluetooth for wireless audio connection,karaoke MIX x2,FM Tuner,Dual USB slot</t>
  </si>
  <si>
    <t>Built in Rechargeable baterry-sporty design with handle,Dancing party light,Bluetooth,USB,FM radio,AUX in,2 Mic input karaoke</t>
  </si>
  <si>
    <t>Straight microwave oven, capacity 22L, Power 399 W</t>
  </si>
  <si>
    <t>Straight microwave oven, capacity 23L, Power 450 W</t>
  </si>
  <si>
    <t>Straight Microwave, Capacity 20L, Mechanic Panel, Output Power 450 Watt, 5 Power Level</t>
  </si>
  <si>
    <t>Microwave Solo, Capacity 23 Liter, Digital Panel, Output Power 450 Watt, 7 Automatic Programs, ECO Mode and Child Lock</t>
  </si>
  <si>
    <t>Microwave Solo, Capacity 23 Liter, Mechanical Panel, Output Power 450 Watt, 5 Power Level</t>
  </si>
  <si>
    <t>Microwave Straight Function-Digital-LoWatt 399 Watt</t>
  </si>
  <si>
    <t>Microwave Solo, Capacity 23 Liter, TOP Digital Panel, Output Power 800 Watt, One Touch Humidity Sensor Function and 5 Automatic Programs</t>
  </si>
  <si>
    <t>better cooking,faster cooking,enegry saving,capacity 23 liter,output power (800watt/micro, 1100 watt/grill)</t>
  </si>
  <si>
    <t>Microwave Grill, Capacity 25 Liter, Output Power 900W (Micro) &amp; 1000W (Grill), 9 Automatic Programs, ECO Mode and Push Door</t>
  </si>
  <si>
    <t>Microwave Straight Function</t>
  </si>
  <si>
    <t>MWO Grill with Indonesia languange</t>
  </si>
  <si>
    <t>Microwave with Grill Function</t>
  </si>
  <si>
    <t>Grill microwave oven, Top handle, Mirroring glass door,Eco mode, Big capacity 25lt</t>
  </si>
  <si>
    <t>better cooking,faster cooking,enegry saving,capacity 25 liter,output power (800watt/micro, 1100 watt/grill)</t>
  </si>
  <si>
    <t>better cooking,faster cooking,enegry saving,capacity 28 liter,output power (800watt/micro, 1100 watt/grill)</t>
  </si>
  <si>
    <t>Convection microwave oven (micro,grill,baking), capacity 28 L</t>
  </si>
  <si>
    <t>Capacity 160 L, ANTI Dew Glass Door, LED Lamp, Door Handle &amp; Door Key, New Tray Design, Roller Caster, Energy Saving</t>
  </si>
  <si>
    <t>Capacity 180 L, ANTI Dew Glass Door, LED Lamp, Door Handle &amp; Door key, Roller Caster, Energy Saving</t>
  </si>
  <si>
    <t>Capacity 212 L, ANTI Dew Glass Door, LED Lamp, Door Handle &amp; Door Key, New Tray Design, Roller Caster, Energy Saving</t>
  </si>
  <si>
    <t>Capacity 212 L, ANTI Dew Glass Door, LED Lamp &amp; Door key, Roller Caster, Energy Saving</t>
  </si>
  <si>
    <t>Capacity 260 L, ANTI Dew Glass Door, LED Lamp, Door Handle &amp; Door Key, New Tray Design, Roller Caster, Energy Saving</t>
  </si>
  <si>
    <t>Capacity 55 L, Double Glass Door (ANTI Dew), Right &amp; Left Door Opening</t>
  </si>
  <si>
    <t>Front camera (5 MP),Triple camera (13 MP/2MP/2MP),Memory /storage : RAM 3 GB/ROM 32GB,battery : 5000 mAh, Android 12, Mediatek Helio G25, NFC Feature ,Display 6,5"</t>
  </si>
  <si>
    <t>Front camera (8 MP), Triple camera (50 MP/2MP/2MP), Memory /storage : RAM 4 GB/ROM 64GB, battery : 5000 mAh, Android 12, Mediatek Helio G25, NFC Feature , Display 6,5"</t>
  </si>
  <si>
    <t>Front camera (8 MP), Triple camera (50 MP/2MP/2MP), Memory /storage : RAM 4 GB/ROM 128GB, battery : 5000 mAh, Android 12, Mediatek Dimensity 700, NFC Feature , Display 6,6"</t>
  </si>
  <si>
    <t>2 Door 172 L, Silver Hairline Stainless Steel Door, EXTRA BIG Freezer, LED Lamp, Low Voltage System, HALAL certified</t>
  </si>
  <si>
    <t>2 Door 172 L, RED Hairline Stainless Steel Door, EXTRA BIG Freezer, LED Lamp, Low Voltage System, HALAL certified</t>
  </si>
  <si>
    <t>2 Door 172 L, Dark Silver Hairline Steel Door, MEGA Freezer, MEGA Crisper,LED Lamp, Low Voltage System, HALAL certified</t>
  </si>
  <si>
    <t>2 Door 172 L, Blue Helix Stainless Steel Door, EXTRA BIG Freezer, LED Lamp, Low Voltage System, HALAL certified</t>
  </si>
  <si>
    <t>2 Door 172 L, Purple Helix Stainless Steel Door, EXTRA BIG Freezer, LED Lamp, Low Voltage System, HALAL certified</t>
  </si>
  <si>
    <t>2 Door 205 L, Blue Geometric Flat MagneGlass Steel Door, EXTRA BIG Freezer, LED Lamp, Low Voltage System, HALAL certified</t>
  </si>
  <si>
    <t>2 Door 205 L, Dark Silver Finish Stainless Steel Door, EXTRA BIG Freezer, LED Lamp, Low Wattage &amp; Low Voltage System, HALAL Certified</t>
  </si>
  <si>
    <t>2 Door 205 L, Blue Dandelion Flat MagneGlass Steel Door, EXTRA BIG Freezer, LED Lamp, Low Voltage System, HALAL certified</t>
  </si>
  <si>
    <t>2 Door 205 L, Purple Dandelion Flat MagneGlass Steel Door, EXTRA BIG Freezer, LED Lamp, Low Voltage System, HALAL certified</t>
  </si>
  <si>
    <t>2 Door 205 L, Blue Helix Stainless Steel Door, EXTRA BIG Freezer, LED Lamp, Low Voltage System, HALAL certified</t>
  </si>
  <si>
    <t>2 Door 205 L, Pink Helix Stainless Steel Door, EXTRA BIG Freezer, LED Lamp, Low Voltage System, HALAL certified</t>
  </si>
  <si>
    <t>2 Door 205 L, Silver Helix Stainless Steel Door, EXTRA BIG Freezer, LED Lamp, Low Voltage System, HALAL certified</t>
  </si>
  <si>
    <t>2 Door 205 L, Dark Gray Stainless Steel Door, Diamond Handle Grip, EXTRA BIG Freezer, LED Lamp, Low Voltage System, HALAL certified</t>
  </si>
  <si>
    <t>2 Door 205 L, Dark Purple Stainless Steel Door, Diamond Handle Grip, EXTRA BIG Freezer, LED Lamp, Low Voltage System, HALAL certified</t>
  </si>
  <si>
    <t>2 Door 205 L, Silver Matrix Glass Door, EXTRA BIG Freezer, LED Lamp, Low Voltage System, HALAL certified</t>
  </si>
  <si>
    <t>2 Door 205 L, RED Matrix Glass Door, EXTRA BIG Freezer, LED Lamp, Low Voltage System, HALAL certified</t>
  </si>
  <si>
    <t>2 Door 205 L, Black Hairline Glass Door, J-Tech INV, EXTRA BIG Freezer, LED Lamp, Low Voltage System, HALAL certified</t>
  </si>
  <si>
    <t>2 Door 256 L, Blue Geometric Flat MagneGlass Steel Door, EXTRA BIG Freezer, LED Lamp, Low Voltage System, HALAL certified</t>
  </si>
  <si>
    <t>2 Door 256 L, Dark Silver Hairline Steel Door, MEGA Freezer, MEGA Crisper,LED Lamp, Low Voltage System, HALAL certified</t>
  </si>
  <si>
    <t>2 Door 256 L, Dark Gray Stainless Steel Door, Diamond Handle Grip, EXTRA BIG Freezer, LED Lamp, Low Voltage System, HALAL certified</t>
  </si>
  <si>
    <t>2 Door 256 L, Dark Purple Stainless Steel Door, Diamond Handle Grip, EXTRA BIG Freezer, LED Lamp, Low Voltage System, HALAL certified</t>
  </si>
  <si>
    <t>2 Door 256 L, Chameleon Purple Glass Door, EXTRA BIG Freezer, LED Lamp, Low Voltage System, HALAL Certified</t>
  </si>
  <si>
    <t>2 Door 256 L, Silver Matrix Glass Door, EXTRA BIG Freezer, LED Lamp, Low Voltage System, HALAL certified</t>
  </si>
  <si>
    <t>2 Door 256 L, RED Matrix Glass Door, EXTRA BIG Freezer, LED Lamp, Low Voltage System, HALAL certified</t>
  </si>
  <si>
    <t>2 Door 256 L, Black Hairline Glass Door, J-Tech INV, EXTRA BIG Freezer, LED Lamp, Low Voltage System, HALAL certified</t>
  </si>
  <si>
    <t>2 Door 338 L, Silver Stainless Steel Door, Plasmacluster, EXTRA BIG Frezer, LED Lamp, Low Voltage System, HALAL certified</t>
  </si>
  <si>
    <t>2 Door 338 L, Black Hairline Glass Door, J-Tech INV, Plasmacluster, EXTRA BIG Freezer, LED Lamp, Low Voltage System, HALAL certified</t>
  </si>
  <si>
    <t>2 Door 352 L, Silver Stainless Steel Door, Plasmacluster, EXTRA BIG Frezer, LED Lamp, Low Voltage System, HALAL certified</t>
  </si>
  <si>
    <t>2 Door 352 L, Black Hairline Glass Door, J-Tech INV, Plasmacluster, EXTRA BIG Freezer, LED Lamp, Low Voltage System, HALAL certified</t>
  </si>
  <si>
    <t>1 Door 50 L, White Stainless Steel Door</t>
  </si>
  <si>
    <t>Direct Cooling</t>
  </si>
  <si>
    <t xml:space="preserve">Dark Inox Steel Door, 472L, Plasmacluster, Inverter,LED Display </t>
  </si>
  <si>
    <t xml:space="preserve">Piano Black Glass Door, 472L, Plasmacluster, Inverter,LED Display </t>
  </si>
  <si>
    <t xml:space="preserve">Champagne Gold Glass Door, 472L, Plasmacluster, Inverter,LED Display </t>
  </si>
  <si>
    <t>4 Door, Black Glass Door, J-Tech INV, PCI, HYBRID Cooling, Touch Control Panel, HALAL certified</t>
  </si>
  <si>
    <t>4 Door, Red Glass Door, J-Tech INV, PCI, HYBRID Cooling, Touch Control Panel, HALAL certified</t>
  </si>
  <si>
    <t>4 Door, Dark Silver Stainless Steel Door, J-Tech INV, PCI, HYBRID Cooling, Moisture Capsule, HALAL certified</t>
  </si>
  <si>
    <t>4 Door, Dark Silver Stainless Steel Door, J-Tech INV, PCI, HYBRID Cooling, Moisture, HALAL certified</t>
  </si>
  <si>
    <t>4 Door 695 L, Black Glass Door, J-Tech INV, Plasmacluster, HYBRID Cooling, HALAL certified</t>
  </si>
  <si>
    <t>5 Door 800 L, Silver Stainless Steel Door, J-Tech INV, Plasmacluster, HYBRID Cooling, LED Touch Panel, FREX Room, Auto Ice Making, HALAL certified</t>
  </si>
  <si>
    <t>5 Door 800 L, Champagne Gold Glass Door, J-Tech INV, Plasmacluster, HYBRID Cooling, LED Touch Panel, FREX Room, Auto Ice Making, HALAL certified</t>
  </si>
  <si>
    <t>5 Door 780 L, Black Glass Door, J-Tech INV, Plasmacluster, HYBRID Cooling, LED Touch Panel, FREX Room, Hidden Water Dispenser, Auto Ice Making, 9-Way Flexible Shelf, HALAL certified</t>
  </si>
  <si>
    <t>2 Door 397 L, Dark Silver Steel Door, J-Tech INV, HYBRID Cooling, HALAL certified</t>
  </si>
  <si>
    <t>2 Door 397 L, Silver Stainless Steel Door, J-Tech INV, HYBRID Cooling, HALAL certified</t>
  </si>
  <si>
    <t>2 Door 397 L, Black Glass Door, J-Tech INV, Plasmacluster, HYBRID Cooling, HALAL certified</t>
  </si>
  <si>
    <t>2 Door 428 L, Dark Silver Steel Door, J-Tech INV, HYBRID Cooling, HALAL certified</t>
  </si>
  <si>
    <t>2 Door 428 L, Silver Stainless Steel Door, J-Tech INV, HYBRID Cooling, HALAL certified</t>
  </si>
  <si>
    <t>2 Door 428 L, Black Glass Door, J-Tech INV, Plasmacluster, HYBRID Cooling, HALAL certified</t>
  </si>
  <si>
    <t>2 Door 570 L, Dark Silver Stainless Steel Door, J-Tech INV, Plasmacluster, HYBRID Cooling, MEGA Freezer, Moisture Capsule, HALAL certified</t>
  </si>
  <si>
    <t>2 Door 570 L, Black Glass Door, J-Tech INV, Plasmacluster, HYBRID Cooling, LED Touch Panel, MEGA Freezer, Moisture Capsule, HALAL certified</t>
  </si>
  <si>
    <t>2 Door 613 L, Silver Stainless Steel Door, J-Tech INV, Plasmacluster, HYBRID Cooling, LED Touch Control, MEGA Freezer, HALAL certified</t>
  </si>
  <si>
    <t>2 Door 613 L, Black Glass Door, J-Tech INV, Plasmacluster, HYBRID Cooling, LED Touch Panel, MEGA Freezer, HALAL certified</t>
  </si>
  <si>
    <t>2 Door 613 L, Red Wine Glass Door, J-Tech INV, Plasmacluster, HYBRID Cooling, LED Touch Panel, MEGA Freezer, HALAL certified</t>
  </si>
  <si>
    <t>2 Door 613 L, Dark Silver Stainless Steel Door, J-Tech INV, Plasmacluster, HYBRID Cooling, MEGA Freezer, Moisture Capsule, HALAL certified</t>
  </si>
  <si>
    <t>2 Door 613 L, Black Glass Door, J-Tech INV, Plasmacluster, HYBRID Cooling, LED Touch Panel, MEGA Freezer, Moisture Capsule, HALAL certified</t>
  </si>
  <si>
    <t>2 Door 656 L, Dark Silver Stainless Steel Door, J-Tech INV, Plasmacluster, HYBRID Cooling, MEGA Freezer, Moisture Capsule, HALAL certified</t>
  </si>
  <si>
    <t>2 Door 656 L, Black Glass Door, J-Tech INV, Plasmacluster, HYBRID Cooling, LED Touch Panel, MEGA Freezer, Moisture Capsule, HALAL certified</t>
  </si>
  <si>
    <t>2 Door 472 L, Silver Stainless Steel Door, INV, Multi &amp; Dyna Cooling, LED Touch Panel</t>
  </si>
  <si>
    <t>2 Door 563 L, Dark Silver Stainless Steel Door, INV, Multi &amp; Dyna Cooling, LED Touch Panel</t>
  </si>
  <si>
    <t>2 Door 563 L, Black Glass Door, INV, Multi &amp; Dyna Cooling, LED Touch Panel</t>
  </si>
  <si>
    <t>1 Door 133 L, Blue Aurora Stainless Steel Door, Low Voltage, HALAL certified</t>
  </si>
  <si>
    <t>1 Door 133 L, Pink Aurora Stainless Steel Door, Low Voltage, HALAL certified</t>
  </si>
  <si>
    <t>1 Door 133 L, Silver Aurora Stainless Steel Door, Low Voltage, HALAL certified</t>
  </si>
  <si>
    <t>1 Door 133 L, Blue Sakura Stainless Steel Door, Low Voltage, HALAL certified</t>
  </si>
  <si>
    <t>1 Door 133 L, Green Sakura Stainless Steel Door, Low Voltage, HALAL certified</t>
  </si>
  <si>
    <t>1 Door 133 L, Pink Sakura Stainless Steel Door, Low Voltage, HALAL certified</t>
  </si>
  <si>
    <t>1 Door 133 L, Vivid Blue Sakura Stainless Steel Door, Low Voltage, HALAL certified</t>
  </si>
  <si>
    <t>1 Door 133 L, Vivid Red Sakura Stainless Steel Door, Low Voltage, HALAL certified</t>
  </si>
  <si>
    <t>1 Door 133 L, Dark Silver Finish Stainless Steel Door, Low Wattage &amp; Low Voltage, HALAL Certified</t>
  </si>
  <si>
    <t>1 Door 166 L, Blue Aurora Stainless Steel Door, Low Voltage, HALAL certified</t>
  </si>
  <si>
    <t>1 Door 166 L, Pink Aurora Stainless Steel Door, Low Voltage, HALAL certified</t>
  </si>
  <si>
    <t>1 Door 166 L, Silver Aurora Stainless Steel Door, Low Voltage, HALAL certified</t>
  </si>
  <si>
    <t>1 Door 166 L, Blue Sakura Stainless Steel Door, Low Voltage, HALAL certified</t>
  </si>
  <si>
    <t>1 Door 166 L, Green Sakura Stainless Steel Door, Low Voltage, HALAL certified</t>
  </si>
  <si>
    <t>1 Door 166 L, Pink Sakura Stainless Steel Door, Low Voltage, HALAL certified</t>
  </si>
  <si>
    <t>1 Door 166 L, Vivid Blue Sakura Stainless Steel Door, Low Voltage, HALAL certified</t>
  </si>
  <si>
    <t>1 Door 166 L, Vivid Red Sakura Stainless Steel Door, Low Voltage, HALAL certified</t>
  </si>
  <si>
    <t>1 Door 166 L, Dark Silver Finish Stainless Steel Door, Low Wattage &amp; Low Voltage, HALAL Certified</t>
  </si>
  <si>
    <t>1 Door 184 L, Blue Aurora Stainless Steel Door, Low Voltage, HALAL certified</t>
  </si>
  <si>
    <t>1 Door 184 L, Pink Aurora Stainless Steel Door, Low Voltage, HALAL certified</t>
  </si>
  <si>
    <t>1 Door 184 L, Silver Aurora Stainless Steel Door, Low Voltage, HALAL certified</t>
  </si>
  <si>
    <t>1 Door 184 L, Blue Sakura Stainless Steel Door, Low Voltage, HALAL certified</t>
  </si>
  <si>
    <t>1 Door 184 L, Green Sakura Stainless Steel Door, Low Voltage, HALAL certified</t>
  </si>
  <si>
    <t>1 Door 184 L, Pink Sakura Stainless Steel Door, Low Voltage, HALAL certified</t>
  </si>
  <si>
    <t>1 Door 184 L, Vivid Blue Sakura Stainless Steel Door, Low Voltage, HALAL certified</t>
  </si>
  <si>
    <t>1 Door 184 L, Vivid Red Sakura Stainless Steel Door, Low Voltage, HALAL certified</t>
  </si>
  <si>
    <t>1 Door 184 L, Dark Silver Finish Stainless Steel Door, Low Wattage &amp; Low Voltage, HALAL Certified</t>
  </si>
  <si>
    <t>1 Door 133 L, Blue Geometric Flat MagneGlass Steel Door, Low Voltage System, HALAL certified</t>
  </si>
  <si>
    <t>1 Door 133 L, RED Geometric Flat MagneGlass Steel Door, Low Voltage System, HALAL certified</t>
  </si>
  <si>
    <t>1 Door 133 L, Silver Gray Hairline Stainless Steel Door, Low Voltage, HALAL certified</t>
  </si>
  <si>
    <t>1 Door 133 L, RED Hairline Stainless Steel Door, Low Voltage, HALAL certified</t>
  </si>
  <si>
    <t>1 Door 133 L, Blue Dandelion MagneGlass Steel Door, Low Voltage System, HALAL certified</t>
  </si>
  <si>
    <t>1 Door 133 L, Purple Dandelion MagneGlass Steel Door, Low Voltage System, HALAL certified</t>
  </si>
  <si>
    <t>1 Door 166 L, RED Geometric Flat MagneGlass Steel Door, Low Voltage System, HALAL certified</t>
  </si>
  <si>
    <t>1 Door 166 L, Blue Geometric Flat MagneGlass Steel Door, Low Voltage System, HALAL certified</t>
  </si>
  <si>
    <t>1 Door 166 L, Silver Gray Hairline Stainless Steel Door, Low Voltage, HALAL certified</t>
  </si>
  <si>
    <t>1 Door 166 L, RED Hairline Stainless Steel Door, Low Voltage, HALAL certified</t>
  </si>
  <si>
    <t>1 Door 166 L, Purple Dandelion MagneGlass Steel Door, Low Voltage System, HALAL certified</t>
  </si>
  <si>
    <t>1 Door 166 L, Blue Dandelion MagneGlass Steel Door, Low Voltage System, HALAL certified</t>
  </si>
  <si>
    <t>1 Door 184 L, Blue Geometric Flat MagneGlass Steel Door, Low Voltage System, HALAL certified</t>
  </si>
  <si>
    <t>1 Door 184 L, RED Geometric Flat MagneGlass Steel Door, Low Voltage System, HALAL certified</t>
  </si>
  <si>
    <t>1 Door 184 L, Purple Dandelion MagneGlass Steel Door, Low Voltage System, HALAL certified</t>
  </si>
  <si>
    <t>1 Door 184 L, Blue Dandelion MagneGlass Steel Door, Low Voltage System, HALAL certified</t>
  </si>
  <si>
    <t>1 Door 184 L, Dandelion Design Stainless Steel Door, DOUBLE Freezer, Low Voltage, HALAL certified</t>
  </si>
  <si>
    <t>Pompa non otomatis, total head 33m, Impeller dari kuningan, gulungan motor dari tembaga</t>
  </si>
  <si>
    <t>Pompa otomatis, total head 33m, Impeller dari kuningan, gulungan motor dari tembaga</t>
  </si>
  <si>
    <t>SemiJet pump, total head 30m, gulungan Motor dari tembaga</t>
  </si>
  <si>
    <t>SemiJet pump, total head 29m,gulungan motor Made tembaga</t>
  </si>
  <si>
    <t>Pressure tank model SPS-255JP</t>
  </si>
  <si>
    <t>Jet pump, Total Head 60 m, gulungan motor tembaga</t>
  </si>
  <si>
    <t>DVB-T2 Receiver . USB Movie . HDMI &amp; RCA Slot . RCA Cable Includes</t>
  </si>
  <si>
    <t>with extra hot</t>
  </si>
  <si>
    <t>Dispenser bottom loading, 2 wattage heater (185&amp;385 W), 5 LED Display</t>
  </si>
  <si>
    <t>3 WATTAGE (ECO, NORMAL, FAST), 3 FAUCETS (COLD, NORMAL, HOT), NIGHT LIGHT</t>
  </si>
  <si>
    <t>3 WATTAGE (ECO, NORMAL, FAST), 3 FAUCETS (COLD, NORMAL, HOT), NIGHT LIGHT, SELF-CLEANING</t>
  </si>
  <si>
    <t>3 WATTAGE (ECO, NORMAL, FAST), 3 FAUCETS (COLD, NORMAL, HOT), NIGHT LIGHT, SELF-CLEANING, ALKALINE FILTER</t>
  </si>
  <si>
    <t>Traditional</t>
  </si>
  <si>
    <t>KF-</t>
  </si>
  <si>
    <t>NU-</t>
  </si>
  <si>
    <t>PYS46L-04102E</t>
  </si>
  <si>
    <t>PYS46L-04202E</t>
  </si>
  <si>
    <t>PYS46L-04302E</t>
  </si>
  <si>
    <t>PYS46L-04402E</t>
  </si>
  <si>
    <t>PYS46L-04502E</t>
  </si>
  <si>
    <t>PYS46L-03H02F</t>
  </si>
  <si>
    <t>PYS46L-04602F</t>
  </si>
  <si>
    <t>PMM10L-0VP060</t>
  </si>
  <si>
    <t>PMM10L-0Y4060</t>
  </si>
  <si>
    <t>PMM10L-0Y5060</t>
  </si>
  <si>
    <t>FG-F10M</t>
  </si>
  <si>
    <t>MA-9501-ID</t>
  </si>
  <si>
    <t>MA-950I</t>
  </si>
  <si>
    <t>BC-01EB</t>
  </si>
  <si>
    <t>BC-01FB</t>
  </si>
  <si>
    <t>BC-01FR</t>
  </si>
  <si>
    <t>FACE SHIELD</t>
  </si>
  <si>
    <t>MEDICAL MASK</t>
  </si>
  <si>
    <t>BICYCLE ELECTRIC BIKE</t>
  </si>
  <si>
    <t>BICYCLE FOLDING BIKE BLACK</t>
  </si>
  <si>
    <t>BICYCLE FOLDING BIKE RED</t>
  </si>
  <si>
    <t>Satellite Pro C40-J Intel I3/RAM 4GB/SSD 256GB/ Intel® Iris ® Xe Graphics/Win 11 Home</t>
  </si>
  <si>
    <t>Satellite Pro C40-J Intel I3/RAM 8GB/SSD 256GB/ Intel® Iris ® Xe Graphics/Win 11 Home</t>
  </si>
  <si>
    <t>Satellite Pro C40-J Intel I5/RAM 8GB/SSD 256GB/ Intel® Iris ® Xe Graphics/Win 11 Home</t>
  </si>
  <si>
    <t>Satellite Pro C40-J Intel I5/RAM 8GB/SSD 512GB/ Intel® Iris ® Xe Graphics/Win 11 Home</t>
  </si>
  <si>
    <t>Satellite Pro C40-J Intel I5/RAM 16GB/SSD 512GB/ Intel® Iris ® Xe Graphics/Win 11 Home</t>
  </si>
  <si>
    <t>Satellite Pro C40-J Intel I7/RAM 16GB/SSD 512GB/ Intel® Iris ® Xe Graphics/Win 10 Home</t>
  </si>
  <si>
    <t>Tecra A40-J Intel I5/RAM 8GB/SSD 512GB/ Intel® Iris ® Xe Graphics/Win 10 Home</t>
  </si>
  <si>
    <t>Tecra A40-J Intel I7/RAM 8GB/SSD 512GB/ Intel® Iris ® Xe Graphics/Win 10 Pro 64-bit</t>
  </si>
  <si>
    <t>Tecra A40-J Intel I7/RAM 16GB/SSD 1TB/ Intel® Iris ® Xe Graphics/Win 10 Pro 64-bit</t>
  </si>
  <si>
    <t xml:space="preserve">Portege X30W-J </t>
  </si>
  <si>
    <t>FG-</t>
  </si>
  <si>
    <t>BC-</t>
  </si>
  <si>
    <t>BICYCLE</t>
  </si>
  <si>
    <t>PDA11L-01G06E</t>
  </si>
  <si>
    <t>PDA11L-0NR06E</t>
  </si>
  <si>
    <t>Portege X30W-J Intel core i7/RAM 32GB/SSD 1TB / Intel® Iris ® Xe Graphics/Win 10 Pro 64-bit</t>
  </si>
  <si>
    <t>Portege X30W-J Intel core i5/RAM 8GB/SSD 512GB / Intel® Iris ® Xe Graphics/Win 10 Pro 64-bit</t>
  </si>
  <si>
    <t>NOTEBOOK/DYNABOOK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</si>
</sst>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theme="1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</borders>
  <cellStyleXfs count="2">
    <xf numFmtId="0" fontId="0" fillId="0" borderId="0"/>
    <xf numFmtId="0" fontId="3" fillId="6" borderId="3" applyNumberFormat="0" applyFont="0" applyAlignment="0" applyProtection="0"/>
  </cellStyleXfs>
  <cellXfs count="33">
    <xf numFmtId="0" fontId="0" fillId="0" borderId="0" xfId="0"/>
    <xf numFmtId="0" fontId="0" fillId="0" borderId="0" xfId="0" applyAlignment="1">
      <alignment vertical="center"/>
    </xf>
    <xf numFmtId="0" fontId="0" fillId="0" borderId="2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 applyAlignment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1" fillId="0" borderId="4" xfId="0" applyFont="1" applyBorder="1" applyAlignment="1">
      <alignment horizontal="center"/>
    </xf>
    <xf numFmtId="0" fontId="1" fillId="6" borderId="3" xfId="1" applyFont="1" applyAlignment="1">
      <alignment horizontal="center"/>
    </xf>
    <xf numFmtId="0" fontId="0" fillId="6" borderId="5" xfId="1" applyFont="1" applyBorder="1"/>
    <xf numFmtId="0" fontId="0" fillId="6" borderId="6" xfId="1" applyFont="1" applyBorder="1"/>
    <xf numFmtId="0" fontId="0" fillId="6" borderId="7" xfId="1" applyFont="1" applyBorder="1"/>
    <xf numFmtId="0" fontId="0" fillId="4" borderId="2" xfId="0" applyFill="1" applyBorder="1" applyAlignment="1">
      <alignment horizontal="left" vertical="center"/>
    </xf>
    <xf numFmtId="0" fontId="4" fillId="4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0" fontId="5" fillId="7" borderId="1" xfId="0" applyFont="1" applyFill="1" applyBorder="1" applyAlignment="1">
      <alignment horizontal="center" vertical="center" wrapText="1"/>
    </xf>
    <xf numFmtId="0" fontId="6" fillId="7" borderId="2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 wrapText="1"/>
    </xf>
    <xf numFmtId="0" fontId="0" fillId="4" borderId="11" xfId="0" applyFill="1" applyBorder="1" applyAlignment="1">
      <alignment vertical="center"/>
    </xf>
    <xf numFmtId="17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right" vertical="center"/>
    </xf>
    <xf numFmtId="0" fontId="2" fillId="7" borderId="8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  <xf numFmtId="0" fontId="2" fillId="7" borderId="10" xfId="0" applyFont="1" applyFill="1" applyBorder="1" applyAlignment="1">
      <alignment horizontal="center" vertical="center" wrapText="1"/>
    </xf>
    <xf numFmtId="17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right" vertical="center"/>
    </xf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363636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601"/>
  <sheetViews>
    <sheetView topLeftCell="C575" zoomScale="85" zoomScaleNormal="85" workbookViewId="0">
      <selection activeCell="M589" sqref="M589"/>
    </sheetView>
  </sheetViews>
  <sheetFormatPr defaultColWidth="8.85546875" defaultRowHeight="15" x14ac:dyDescent="0.25"/>
  <cols>
    <col min="1" max="1" width="28" style="4" bestFit="1" customWidth="1"/>
    <col min="2" max="2" width="20.5703125" style="4" bestFit="1" customWidth="1"/>
    <col min="3" max="3" width="55.42578125" style="4" customWidth="1"/>
    <col min="4" max="4" width="21.140625" style="4" customWidth="1"/>
    <col min="5" max="5" width="10.28515625" style="4" bestFit="1" customWidth="1"/>
    <col min="6" max="6" width="6.140625" style="5" bestFit="1" customWidth="1"/>
    <col min="7" max="7" width="16.7109375" style="4" bestFit="1" customWidth="1"/>
    <col min="8" max="8" width="2.42578125" style="3" customWidth="1"/>
    <col min="9" max="10" width="8.42578125" style="21" bestFit="1" customWidth="1"/>
    <col min="11" max="11" width="10.5703125" style="21" bestFit="1" customWidth="1"/>
    <col min="12" max="12" width="2.28515625" style="3" customWidth="1"/>
    <col min="13" max="13" width="17.85546875" style="11" bestFit="1" customWidth="1"/>
    <col min="14" max="14" width="78.42578125" style="11" customWidth="1"/>
    <col min="15" max="15" width="17.7109375" style="9" customWidth="1"/>
    <col min="16" max="16" width="18.140625" style="13" customWidth="1"/>
    <col min="17" max="19" width="21.28515625" style="1" customWidth="1"/>
    <col min="20" max="16384" width="8.85546875" style="1"/>
  </cols>
  <sheetData>
    <row r="2" spans="1:18" ht="15.75" x14ac:dyDescent="0.25">
      <c r="A2" s="20" t="s">
        <v>618</v>
      </c>
    </row>
    <row r="3" spans="1:18" x14ac:dyDescent="0.25">
      <c r="I3" s="28" t="s">
        <v>622</v>
      </c>
      <c r="J3" s="29"/>
      <c r="K3" s="30"/>
    </row>
    <row r="4" spans="1:18" x14ac:dyDescent="0.25">
      <c r="A4" s="8" t="s">
        <v>13</v>
      </c>
      <c r="B4" s="8" t="s">
        <v>14</v>
      </c>
      <c r="C4" s="8" t="s">
        <v>15</v>
      </c>
      <c r="D4" s="24" t="s">
        <v>16</v>
      </c>
      <c r="E4" s="8" t="s">
        <v>17</v>
      </c>
      <c r="F4" s="8" t="s">
        <v>18</v>
      </c>
      <c r="G4" s="8" t="s">
        <v>0</v>
      </c>
      <c r="I4" s="22" t="s">
        <v>619</v>
      </c>
      <c r="J4" s="22" t="s">
        <v>620</v>
      </c>
      <c r="K4" s="22" t="s">
        <v>621</v>
      </c>
      <c r="M4" s="10" t="s">
        <v>20</v>
      </c>
      <c r="N4" s="10" t="s">
        <v>21</v>
      </c>
      <c r="O4" s="10" t="s">
        <v>22</v>
      </c>
      <c r="P4" s="10" t="s">
        <v>23</v>
      </c>
      <c r="Q4" s="10" t="s">
        <v>24</v>
      </c>
      <c r="R4" s="10" t="s">
        <v>25</v>
      </c>
    </row>
    <row r="5" spans="1:18" x14ac:dyDescent="0.25">
      <c r="A5" s="19" t="str">
        <f>VLOOKUP(LEFT(M5,3),Category!$G$3:$H$73,2,0)</f>
        <v>TELEVISION</v>
      </c>
      <c r="B5" s="7" t="str">
        <f>UPPER(M5)</f>
        <v>2T-C24DC1I</v>
      </c>
      <c r="C5" s="7" t="str">
        <f t="shared" ref="C5" si="0">IF(OR(N5="",N5=0),"",N5)</f>
        <v>HD-Ready . DVB-T2 Ready,USB Music</v>
      </c>
      <c r="D5" s="25" t="str">
        <f>IFERROR(K5,"")</f>
        <v>2021-04-01</v>
      </c>
      <c r="E5" s="7">
        <f>P5</f>
        <v>1496280</v>
      </c>
      <c r="F5" s="6">
        <f>IF(O5="DISC",1,0)</f>
        <v>0</v>
      </c>
      <c r="G5" s="7" t="str">
        <f>IF(R5="","",R5)</f>
        <v/>
      </c>
      <c r="I5" s="23">
        <f>IF(YEAR(O5)=2022,2000+DAY(O5),YEAR(O5))</f>
        <v>2021</v>
      </c>
      <c r="J5" s="23" t="str">
        <f>IF(MONTH(O5)&lt;10,"0"&amp;MONTH(O5),MONTH(O5))</f>
        <v>04</v>
      </c>
      <c r="K5" s="23" t="str">
        <f>I5&amp;"-"&amp;J5&amp;"-01"</f>
        <v>2021-04-01</v>
      </c>
      <c r="M5" s="12" t="s">
        <v>221</v>
      </c>
      <c r="N5" s="12" t="s">
        <v>697</v>
      </c>
      <c r="O5" s="26">
        <v>44287</v>
      </c>
      <c r="P5" s="27">
        <v>1496280</v>
      </c>
      <c r="Q5" s="2"/>
      <c r="R5" s="2"/>
    </row>
    <row r="6" spans="1:18" x14ac:dyDescent="0.25">
      <c r="A6" s="19" t="str">
        <f>VLOOKUP(LEFT(M6,3),Category!$G$3:$H$73,2,0)</f>
        <v>TELEVISION</v>
      </c>
      <c r="B6" s="7" t="str">
        <f>UPPER(M6)</f>
        <v>2T-C24DD1I</v>
      </c>
      <c r="C6" s="7" t="str">
        <f t="shared" ref="C6" si="1">IF(OR(N6="",N6=0),"",N6)</f>
        <v>HD-Ready . DVB-T2 Ready,USB Movie</v>
      </c>
      <c r="D6" s="25" t="str">
        <f>IFERROR(K6,"")</f>
        <v>2021-04-01</v>
      </c>
      <c r="E6" s="7">
        <f>P6</f>
        <v>1509600</v>
      </c>
      <c r="F6" s="6">
        <f>IF(O6="DISC",1,0)</f>
        <v>0</v>
      </c>
      <c r="G6" s="7" t="str">
        <f>IF(R6="","",R6)</f>
        <v/>
      </c>
      <c r="I6" s="23">
        <f>IF(YEAR(O6)=2022,2000+DAY(O6),YEAR(O6))</f>
        <v>2021</v>
      </c>
      <c r="J6" s="23" t="str">
        <f>IF(MONTH(O6)&lt;10,"0"&amp;MONTH(O6),MONTH(O6))</f>
        <v>04</v>
      </c>
      <c r="K6" s="23" t="str">
        <f>I6&amp;"-"&amp;J6&amp;"-01"</f>
        <v>2021-04-01</v>
      </c>
      <c r="M6" s="12" t="s">
        <v>222</v>
      </c>
      <c r="N6" s="12" t="s">
        <v>698</v>
      </c>
      <c r="O6" s="26">
        <v>44287</v>
      </c>
      <c r="P6" s="27">
        <v>1509600</v>
      </c>
      <c r="Q6" s="2"/>
      <c r="R6" s="2"/>
    </row>
    <row r="7" spans="1:18" x14ac:dyDescent="0.25">
      <c r="A7" s="19" t="str">
        <f>VLOOKUP(LEFT(M7,3),Category!$G$3:$H$73,2,0)</f>
        <v>TELEVISION</v>
      </c>
      <c r="B7" s="7" t="str">
        <f t="shared" ref="B7:B70" si="2">UPPER(M7)</f>
        <v>2T-C24DD1I-TT</v>
      </c>
      <c r="C7" s="7" t="str">
        <f t="shared" ref="C7:C70" si="3">IF(OR(N7="",N7=0),"",N7)</f>
        <v>HD-Ready . DVB-T2 Ready,USB Movie</v>
      </c>
      <c r="D7" s="25" t="str">
        <f t="shared" ref="D7:D70" si="4">IFERROR(K7,"")</f>
        <v>2021-04-01</v>
      </c>
      <c r="E7" s="7">
        <f t="shared" ref="E7:E70" si="5">P7</f>
        <v>1509600</v>
      </c>
      <c r="F7" s="6">
        <f t="shared" ref="F7:F70" si="6">IF(O7="DISC",1,0)</f>
        <v>0</v>
      </c>
      <c r="G7" s="7" t="str">
        <f t="shared" ref="G7:G70" si="7">IF(R7="","",R7)</f>
        <v/>
      </c>
      <c r="I7" s="23">
        <f t="shared" ref="I7:I70" si="8">IF(YEAR(O7)=2022,2000+DAY(O7),YEAR(O7))</f>
        <v>2021</v>
      </c>
      <c r="J7" s="23" t="str">
        <f t="shared" ref="J7:J70" si="9">IF(MONTH(O7)&lt;10,"0"&amp;MONTH(O7),MONTH(O7))</f>
        <v>04</v>
      </c>
      <c r="K7" s="23" t="str">
        <f t="shared" ref="K7:K70" si="10">I7&amp;"-"&amp;J7&amp;"-01"</f>
        <v>2021-04-01</v>
      </c>
      <c r="M7" s="11" t="s">
        <v>223</v>
      </c>
      <c r="N7" s="11" t="s">
        <v>698</v>
      </c>
      <c r="O7" s="9">
        <v>44287</v>
      </c>
      <c r="P7" s="13">
        <v>1509600</v>
      </c>
    </row>
    <row r="8" spans="1:18" x14ac:dyDescent="0.25">
      <c r="A8" s="19" t="str">
        <f>VLOOKUP(LEFT(M8,3),Category!$G$3:$H$73,2,0)</f>
        <v>TELEVISION</v>
      </c>
      <c r="B8" s="7" t="str">
        <f t="shared" si="2"/>
        <v>2T-C32BD1I-TG</v>
      </c>
      <c r="C8" s="7" t="str">
        <f t="shared" si="3"/>
        <v>HD-Ready,DVB-T2,Big sound 20W,Metal mesh design,USB movie</v>
      </c>
      <c r="D8" s="25" t="str">
        <f t="shared" si="4"/>
        <v>2020-02-01</v>
      </c>
      <c r="E8" s="7">
        <f t="shared" si="5"/>
        <v>2435340</v>
      </c>
      <c r="F8" s="6">
        <f t="shared" si="6"/>
        <v>0</v>
      </c>
      <c r="G8" s="7" t="str">
        <f t="shared" si="7"/>
        <v/>
      </c>
      <c r="I8" s="23">
        <f t="shared" si="8"/>
        <v>2020</v>
      </c>
      <c r="J8" s="23" t="str">
        <f t="shared" si="9"/>
        <v>02</v>
      </c>
      <c r="K8" s="23" t="str">
        <f t="shared" si="10"/>
        <v>2020-02-01</v>
      </c>
      <c r="M8" s="11" t="s">
        <v>141</v>
      </c>
      <c r="N8" s="11" t="s">
        <v>699</v>
      </c>
      <c r="O8" s="9">
        <v>43862</v>
      </c>
      <c r="P8" s="13">
        <v>2435340</v>
      </c>
    </row>
    <row r="9" spans="1:18" x14ac:dyDescent="0.25">
      <c r="A9" s="19" t="str">
        <f>VLOOKUP(LEFT(M9,3),Category!$G$3:$H$73,2,0)</f>
        <v>TELEVISION</v>
      </c>
      <c r="B9" s="7" t="str">
        <f t="shared" si="2"/>
        <v>2T-C32BG1I</v>
      </c>
      <c r="C9" s="7" t="str">
        <f t="shared" si="3"/>
        <v>HD-ready, Android TV,Google assistant,Bluetooth audio out, azan reminder</v>
      </c>
      <c r="D9" s="25" t="str">
        <f t="shared" si="4"/>
        <v>2020-01-01</v>
      </c>
      <c r="E9" s="7">
        <f t="shared" si="5"/>
        <v>3030300</v>
      </c>
      <c r="F9" s="6">
        <f t="shared" si="6"/>
        <v>0</v>
      </c>
      <c r="G9" s="7" t="str">
        <f t="shared" si="7"/>
        <v/>
      </c>
      <c r="I9" s="23">
        <f t="shared" si="8"/>
        <v>2020</v>
      </c>
      <c r="J9" s="23" t="str">
        <f t="shared" si="9"/>
        <v>01</v>
      </c>
      <c r="K9" s="23" t="str">
        <f t="shared" si="10"/>
        <v>2020-01-01</v>
      </c>
      <c r="M9" s="11" t="s">
        <v>102</v>
      </c>
      <c r="N9" s="11" t="s">
        <v>700</v>
      </c>
      <c r="O9" s="9">
        <v>43831</v>
      </c>
      <c r="P9" s="13">
        <v>3030300</v>
      </c>
    </row>
    <row r="10" spans="1:18" x14ac:dyDescent="0.25">
      <c r="A10" s="19" t="str">
        <f>VLOOKUP(LEFT(M10,3),Category!$G$3:$H$73,2,0)</f>
        <v>TELEVISION</v>
      </c>
      <c r="B10" s="7" t="str">
        <f t="shared" si="2"/>
        <v>2T-C32DC1I</v>
      </c>
      <c r="C10" s="7" t="str">
        <f t="shared" si="3"/>
        <v>HD-Ready . DVB-T2 Ready,USB Music</v>
      </c>
      <c r="D10" s="25" t="str">
        <f t="shared" si="4"/>
        <v>2021-04-01</v>
      </c>
      <c r="E10" s="7">
        <f t="shared" si="5"/>
        <v>2055720</v>
      </c>
      <c r="F10" s="6">
        <f t="shared" si="6"/>
        <v>0</v>
      </c>
      <c r="G10" s="7" t="str">
        <f t="shared" si="7"/>
        <v/>
      </c>
      <c r="I10" s="23">
        <f t="shared" si="8"/>
        <v>2021</v>
      </c>
      <c r="J10" s="23" t="str">
        <f t="shared" si="9"/>
        <v>04</v>
      </c>
      <c r="K10" s="23" t="str">
        <f t="shared" si="10"/>
        <v>2021-04-01</v>
      </c>
      <c r="M10" s="11" t="s">
        <v>224</v>
      </c>
      <c r="N10" s="11" t="s">
        <v>697</v>
      </c>
      <c r="O10" s="9">
        <v>44287</v>
      </c>
      <c r="P10" s="13">
        <v>2055720</v>
      </c>
    </row>
    <row r="11" spans="1:18" x14ac:dyDescent="0.25">
      <c r="A11" s="19" t="str">
        <f>VLOOKUP(LEFT(M11,3),Category!$G$3:$H$73,2,0)</f>
        <v>TELEVISION</v>
      </c>
      <c r="B11" s="7" t="str">
        <f t="shared" si="2"/>
        <v>2T-C32DD1I</v>
      </c>
      <c r="C11" s="7" t="str">
        <f t="shared" si="3"/>
        <v>HD-Ready . DVB-T2 Ready,USB Movie</v>
      </c>
      <c r="D11" s="25" t="str">
        <f t="shared" si="4"/>
        <v>2021-04-01</v>
      </c>
      <c r="E11" s="7">
        <f t="shared" si="5"/>
        <v>2080140</v>
      </c>
      <c r="F11" s="6">
        <f t="shared" si="6"/>
        <v>0</v>
      </c>
      <c r="G11" s="7" t="str">
        <f t="shared" si="7"/>
        <v/>
      </c>
      <c r="I11" s="23">
        <f t="shared" si="8"/>
        <v>2021</v>
      </c>
      <c r="J11" s="23" t="str">
        <f t="shared" si="9"/>
        <v>04</v>
      </c>
      <c r="K11" s="23" t="str">
        <f t="shared" si="10"/>
        <v>2021-04-01</v>
      </c>
      <c r="M11" s="11" t="s">
        <v>225</v>
      </c>
      <c r="N11" s="11" t="s">
        <v>698</v>
      </c>
      <c r="O11" s="9">
        <v>44287</v>
      </c>
      <c r="P11" s="13">
        <v>2080140</v>
      </c>
    </row>
    <row r="12" spans="1:18" x14ac:dyDescent="0.25">
      <c r="A12" s="19" t="str">
        <f>VLOOKUP(LEFT(M12,3),Category!$G$3:$H$73,2,0)</f>
        <v>TELEVISION</v>
      </c>
      <c r="B12" s="7" t="str">
        <f t="shared" si="2"/>
        <v>2T-C32DD1I-TT</v>
      </c>
      <c r="C12" s="7" t="str">
        <f t="shared" si="3"/>
        <v>HD-Ready . DVB-T2 Ready,USB Movie</v>
      </c>
      <c r="D12" s="25" t="str">
        <f t="shared" si="4"/>
        <v>2021-04-01</v>
      </c>
      <c r="E12" s="7">
        <f t="shared" si="5"/>
        <v>2080140</v>
      </c>
      <c r="F12" s="6">
        <f t="shared" si="6"/>
        <v>0</v>
      </c>
      <c r="G12" s="7" t="str">
        <f t="shared" si="7"/>
        <v/>
      </c>
      <c r="I12" s="23">
        <f t="shared" si="8"/>
        <v>2021</v>
      </c>
      <c r="J12" s="23" t="str">
        <f t="shared" si="9"/>
        <v>04</v>
      </c>
      <c r="K12" s="23" t="str">
        <f t="shared" si="10"/>
        <v>2021-04-01</v>
      </c>
      <c r="M12" s="11" t="s">
        <v>226</v>
      </c>
      <c r="N12" s="11" t="s">
        <v>698</v>
      </c>
      <c r="O12" s="9">
        <v>44287</v>
      </c>
      <c r="P12" s="13">
        <v>2080140</v>
      </c>
    </row>
    <row r="13" spans="1:18" x14ac:dyDescent="0.25">
      <c r="A13" s="19" t="str">
        <f>VLOOKUP(LEFT(M13,3),Category!$G$3:$H$73,2,0)</f>
        <v>TELEVISION</v>
      </c>
      <c r="B13" s="7" t="str">
        <f t="shared" si="2"/>
        <v>2T-C32DF1I</v>
      </c>
      <c r="C13" s="7" t="str">
        <f t="shared" si="3"/>
        <v>HD-Ready,HDR,New EasySmart,Netflix,Youtube,Apps Store,Game Mode,Mirroring</v>
      </c>
      <c r="D13" s="25" t="str">
        <f t="shared" si="4"/>
        <v>2001-01-01</v>
      </c>
      <c r="E13" s="7">
        <f t="shared" si="5"/>
        <v>2850480</v>
      </c>
      <c r="F13" s="6">
        <f t="shared" si="6"/>
        <v>0</v>
      </c>
      <c r="G13" s="7" t="str">
        <f t="shared" si="7"/>
        <v/>
      </c>
      <c r="I13" s="23">
        <f t="shared" si="8"/>
        <v>2001</v>
      </c>
      <c r="J13" s="23" t="str">
        <f t="shared" si="9"/>
        <v>01</v>
      </c>
      <c r="K13" s="23" t="str">
        <f t="shared" si="10"/>
        <v>2001-01-01</v>
      </c>
      <c r="M13" s="11" t="s">
        <v>122</v>
      </c>
      <c r="N13" s="11" t="s">
        <v>701</v>
      </c>
      <c r="O13" s="9">
        <v>44562</v>
      </c>
      <c r="P13" s="13">
        <v>2850480</v>
      </c>
    </row>
    <row r="14" spans="1:18" x14ac:dyDescent="0.25">
      <c r="A14" s="19" t="str">
        <f>VLOOKUP(LEFT(M14,3),Category!$G$3:$H$73,2,0)</f>
        <v>TELEVISION</v>
      </c>
      <c r="B14" s="7" t="str">
        <f t="shared" si="2"/>
        <v>2T-C32EG1I</v>
      </c>
      <c r="C14" s="7" t="str">
        <f t="shared" si="3"/>
        <v>HD-Ready . Google TV . Kids Mode . Game Mode . Chromecast . Bluetooth Audio</v>
      </c>
      <c r="D14" s="25" t="str">
        <f t="shared" si="4"/>
        <v>2001-10-01</v>
      </c>
      <c r="E14" s="7">
        <f t="shared" si="5"/>
        <v>3088020</v>
      </c>
      <c r="F14" s="6">
        <f t="shared" si="6"/>
        <v>0</v>
      </c>
      <c r="G14" s="7" t="str">
        <f t="shared" si="7"/>
        <v/>
      </c>
      <c r="I14" s="23">
        <f t="shared" si="8"/>
        <v>2001</v>
      </c>
      <c r="J14" s="23">
        <f t="shared" si="9"/>
        <v>10</v>
      </c>
      <c r="K14" s="23" t="str">
        <f t="shared" si="10"/>
        <v>2001-10-01</v>
      </c>
      <c r="M14" s="11" t="s">
        <v>634</v>
      </c>
      <c r="N14" s="11" t="s">
        <v>702</v>
      </c>
      <c r="O14" s="9">
        <v>44835</v>
      </c>
      <c r="P14" s="13">
        <v>3088020</v>
      </c>
    </row>
    <row r="15" spans="1:18" x14ac:dyDescent="0.25">
      <c r="A15" s="19" t="str">
        <f>VLOOKUP(LEFT(M15,3),Category!$G$3:$H$73,2,0)</f>
        <v>TELEVISION</v>
      </c>
      <c r="B15" s="7" t="str">
        <f t="shared" si="2"/>
        <v>2T-C42BD1I</v>
      </c>
      <c r="C15" s="7" t="str">
        <f t="shared" si="3"/>
        <v>Full HD,DVB-T2,Child timer</v>
      </c>
      <c r="D15" s="25" t="str">
        <f t="shared" si="4"/>
        <v>2019-09-01</v>
      </c>
      <c r="E15" s="7">
        <f t="shared" si="5"/>
        <v>3800640</v>
      </c>
      <c r="F15" s="6">
        <f t="shared" si="6"/>
        <v>0</v>
      </c>
      <c r="G15" s="7" t="str">
        <f t="shared" si="7"/>
        <v/>
      </c>
      <c r="I15" s="23">
        <f t="shared" si="8"/>
        <v>2019</v>
      </c>
      <c r="J15" s="23" t="str">
        <f t="shared" si="9"/>
        <v>09</v>
      </c>
      <c r="K15" s="23" t="str">
        <f t="shared" si="10"/>
        <v>2019-09-01</v>
      </c>
      <c r="M15" s="11" t="s">
        <v>435</v>
      </c>
      <c r="N15" s="11" t="s">
        <v>703</v>
      </c>
      <c r="O15" s="9">
        <v>43709</v>
      </c>
      <c r="P15" s="13">
        <v>3800640</v>
      </c>
    </row>
    <row r="16" spans="1:18" x14ac:dyDescent="0.25">
      <c r="A16" s="19" t="str">
        <f>VLOOKUP(LEFT(M16,3),Category!$G$3:$H$73,2,0)</f>
        <v>TELEVISION</v>
      </c>
      <c r="B16" s="7" t="str">
        <f t="shared" si="2"/>
        <v>2T-C42BG1I</v>
      </c>
      <c r="C16" s="7" t="str">
        <f t="shared" si="3"/>
        <v>Full-HD, Android TV,Google assistant,Bluetooth audio out, azan reminder</v>
      </c>
      <c r="D16" s="25" t="str">
        <f t="shared" si="4"/>
        <v>2020-01-01</v>
      </c>
      <c r="E16" s="7">
        <f t="shared" si="5"/>
        <v>4275720</v>
      </c>
      <c r="F16" s="6">
        <f t="shared" si="6"/>
        <v>0</v>
      </c>
      <c r="G16" s="7" t="str">
        <f t="shared" si="7"/>
        <v/>
      </c>
      <c r="I16" s="23">
        <f t="shared" si="8"/>
        <v>2020</v>
      </c>
      <c r="J16" s="23" t="str">
        <f t="shared" si="9"/>
        <v>01</v>
      </c>
      <c r="K16" s="23" t="str">
        <f t="shared" si="10"/>
        <v>2020-01-01</v>
      </c>
      <c r="M16" s="11" t="s">
        <v>103</v>
      </c>
      <c r="N16" s="11" t="s">
        <v>704</v>
      </c>
      <c r="O16" s="9">
        <v>43831</v>
      </c>
      <c r="P16" s="13">
        <v>4275720</v>
      </c>
    </row>
    <row r="17" spans="1:16" x14ac:dyDescent="0.25">
      <c r="A17" s="19" t="str">
        <f>VLOOKUP(LEFT(M17,3),Category!$G$3:$H$73,2,0)</f>
        <v>TELEVISION</v>
      </c>
      <c r="B17" s="7" t="str">
        <f t="shared" si="2"/>
        <v>2T-C42DD1I</v>
      </c>
      <c r="C17" s="7" t="str">
        <f t="shared" si="3"/>
        <v>Full HD,DVB-T2,Child timer</v>
      </c>
      <c r="D17" s="25" t="str">
        <f t="shared" si="4"/>
        <v>2001-03-01</v>
      </c>
      <c r="E17" s="7">
        <f t="shared" si="5"/>
        <v>3800640</v>
      </c>
      <c r="F17" s="6">
        <f t="shared" si="6"/>
        <v>0</v>
      </c>
      <c r="G17" s="7" t="str">
        <f t="shared" si="7"/>
        <v/>
      </c>
      <c r="I17" s="23">
        <f t="shared" si="8"/>
        <v>2001</v>
      </c>
      <c r="J17" s="23" t="str">
        <f t="shared" si="9"/>
        <v>03</v>
      </c>
      <c r="K17" s="23" t="str">
        <f t="shared" si="10"/>
        <v>2001-03-01</v>
      </c>
      <c r="M17" s="11" t="s">
        <v>191</v>
      </c>
      <c r="N17" s="11" t="s">
        <v>703</v>
      </c>
      <c r="O17" s="9">
        <v>44621</v>
      </c>
      <c r="P17" s="13">
        <v>3800640</v>
      </c>
    </row>
    <row r="18" spans="1:16" x14ac:dyDescent="0.25">
      <c r="A18" s="19" t="str">
        <f>VLOOKUP(LEFT(M18,3),Category!$G$3:$H$73,2,0)</f>
        <v>TELEVISION</v>
      </c>
      <c r="B18" s="7" t="str">
        <f t="shared" si="2"/>
        <v>2T-C42DD1I-SB</v>
      </c>
      <c r="C18" s="7" t="str">
        <f t="shared" si="3"/>
        <v>Full-HD . DVB-T2 . IIOTO SoundBar</v>
      </c>
      <c r="D18" s="25" t="str">
        <f t="shared" si="4"/>
        <v>2001-07-01</v>
      </c>
      <c r="E18" s="7">
        <f t="shared" si="5"/>
        <v>4098120</v>
      </c>
      <c r="F18" s="6">
        <f t="shared" si="6"/>
        <v>0</v>
      </c>
      <c r="G18" s="7" t="str">
        <f t="shared" si="7"/>
        <v/>
      </c>
      <c r="I18" s="23">
        <f t="shared" si="8"/>
        <v>2001</v>
      </c>
      <c r="J18" s="23" t="str">
        <f t="shared" si="9"/>
        <v>07</v>
      </c>
      <c r="K18" s="23" t="str">
        <f t="shared" si="10"/>
        <v>2001-07-01</v>
      </c>
      <c r="M18" s="11" t="s">
        <v>635</v>
      </c>
      <c r="N18" s="11" t="s">
        <v>705</v>
      </c>
      <c r="O18" s="9">
        <v>44743</v>
      </c>
      <c r="P18" s="13">
        <v>4098120</v>
      </c>
    </row>
    <row r="19" spans="1:16" x14ac:dyDescent="0.25">
      <c r="A19" s="19" t="str">
        <f>VLOOKUP(LEFT(M19,3),Category!$G$3:$H$73,2,0)</f>
        <v>TELEVISION</v>
      </c>
      <c r="B19" s="7" t="str">
        <f t="shared" si="2"/>
        <v>2T-C42DF1I</v>
      </c>
      <c r="C19" s="7" t="str">
        <f t="shared" si="3"/>
        <v>Full-HD,HDR,New EasySmart,Netflix,Youtube,Apps Store,Game Mode,Mirroring</v>
      </c>
      <c r="D19" s="25" t="str">
        <f t="shared" si="4"/>
        <v>2001-01-01</v>
      </c>
      <c r="E19" s="7">
        <f t="shared" si="5"/>
        <v>4098120</v>
      </c>
      <c r="F19" s="6">
        <f t="shared" si="6"/>
        <v>0</v>
      </c>
      <c r="G19" s="7" t="str">
        <f t="shared" si="7"/>
        <v/>
      </c>
      <c r="I19" s="23">
        <f t="shared" si="8"/>
        <v>2001</v>
      </c>
      <c r="J19" s="23" t="str">
        <f t="shared" si="9"/>
        <v>01</v>
      </c>
      <c r="K19" s="23" t="str">
        <f t="shared" si="10"/>
        <v>2001-01-01</v>
      </c>
      <c r="M19" s="11" t="s">
        <v>123</v>
      </c>
      <c r="N19" s="11" t="s">
        <v>706</v>
      </c>
      <c r="O19" s="9">
        <v>44562</v>
      </c>
      <c r="P19" s="13">
        <v>4098120</v>
      </c>
    </row>
    <row r="20" spans="1:16" x14ac:dyDescent="0.25">
      <c r="A20" s="19" t="str">
        <f>VLOOKUP(LEFT(M20,3),Category!$G$3:$H$73,2,0)</f>
        <v>TELEVISION</v>
      </c>
      <c r="B20" s="7" t="str">
        <f t="shared" si="2"/>
        <v>2T-C42EG1I</v>
      </c>
      <c r="C20" s="7" t="str">
        <f t="shared" si="3"/>
        <v>Full-HD . Google TV . Kids Mode . Game Mode . Chromecast . Bluetooth Audio</v>
      </c>
      <c r="D20" s="25" t="str">
        <f t="shared" si="4"/>
        <v>2001-10-01</v>
      </c>
      <c r="E20" s="7">
        <f t="shared" si="5"/>
        <v>4335660</v>
      </c>
      <c r="F20" s="6">
        <f t="shared" si="6"/>
        <v>0</v>
      </c>
      <c r="G20" s="7" t="str">
        <f t="shared" si="7"/>
        <v/>
      </c>
      <c r="I20" s="23">
        <f t="shared" si="8"/>
        <v>2001</v>
      </c>
      <c r="J20" s="23">
        <f t="shared" si="9"/>
        <v>10</v>
      </c>
      <c r="K20" s="23" t="str">
        <f t="shared" si="10"/>
        <v>2001-10-01</v>
      </c>
      <c r="M20" s="11" t="s">
        <v>636</v>
      </c>
      <c r="N20" s="11" t="s">
        <v>707</v>
      </c>
      <c r="O20" s="9">
        <v>44835</v>
      </c>
      <c r="P20" s="13">
        <v>4335660</v>
      </c>
    </row>
    <row r="21" spans="1:16" x14ac:dyDescent="0.25">
      <c r="A21" s="19" t="str">
        <f>VLOOKUP(LEFT(M21,3),Category!$G$3:$H$73,2,0)</f>
        <v>TELEVISION</v>
      </c>
      <c r="B21" s="7" t="str">
        <f t="shared" si="2"/>
        <v>2T-C42EG1I-SB</v>
      </c>
      <c r="C21" s="7" t="str">
        <f t="shared" si="3"/>
        <v>Full-HD . Google TV . 20W SoundBar . Kids Mode . Game Mode . Chromecast . Bluetooth Audio</v>
      </c>
      <c r="D21" s="25" t="str">
        <f t="shared" si="4"/>
        <v>2001-10-01</v>
      </c>
      <c r="E21" s="7">
        <f t="shared" si="5"/>
        <v>4655340</v>
      </c>
      <c r="F21" s="6">
        <f t="shared" si="6"/>
        <v>0</v>
      </c>
      <c r="G21" s="7" t="str">
        <f t="shared" si="7"/>
        <v/>
      </c>
      <c r="I21" s="23">
        <f t="shared" si="8"/>
        <v>2001</v>
      </c>
      <c r="J21" s="23">
        <f t="shared" si="9"/>
        <v>10</v>
      </c>
      <c r="K21" s="23" t="str">
        <f t="shared" si="10"/>
        <v>2001-10-01</v>
      </c>
      <c r="M21" s="11" t="s">
        <v>637</v>
      </c>
      <c r="N21" s="11" t="s">
        <v>708</v>
      </c>
      <c r="O21" s="9">
        <v>44835</v>
      </c>
      <c r="P21" s="13">
        <v>4655340</v>
      </c>
    </row>
    <row r="22" spans="1:16" x14ac:dyDescent="0.25">
      <c r="A22" s="19" t="str">
        <f>VLOOKUP(LEFT(M22,3),Category!$G$3:$H$73,2,0)</f>
        <v>TELEVISION</v>
      </c>
      <c r="B22" s="7" t="str">
        <f t="shared" si="2"/>
        <v>2T-C50AD1I</v>
      </c>
      <c r="C22" s="7" t="str">
        <f t="shared" si="3"/>
        <v>Full-HD, HDMI,USB,super eco mode,child timer,comfort mode,HDD Support (NTFS,FAT32),usb auto play</v>
      </c>
      <c r="D22" s="25" t="str">
        <f t="shared" si="4"/>
        <v>2018-09-01</v>
      </c>
      <c r="E22" s="7">
        <f t="shared" si="5"/>
        <v>5820840</v>
      </c>
      <c r="F22" s="6">
        <f t="shared" si="6"/>
        <v>0</v>
      </c>
      <c r="G22" s="7" t="str">
        <f t="shared" si="7"/>
        <v/>
      </c>
      <c r="I22" s="23">
        <f t="shared" si="8"/>
        <v>2018</v>
      </c>
      <c r="J22" s="23" t="str">
        <f t="shared" si="9"/>
        <v>09</v>
      </c>
      <c r="K22" s="23" t="str">
        <f t="shared" si="10"/>
        <v>2018-09-01</v>
      </c>
      <c r="M22" s="11" t="s">
        <v>433</v>
      </c>
      <c r="N22" s="11" t="s">
        <v>709</v>
      </c>
      <c r="O22" s="9">
        <v>43344</v>
      </c>
      <c r="P22" s="13">
        <v>5820840</v>
      </c>
    </row>
    <row r="23" spans="1:16" x14ac:dyDescent="0.25">
      <c r="A23" s="19" t="str">
        <f>VLOOKUP(LEFT(M23,3),Category!$G$3:$H$73,2,0)</f>
        <v>TELEVISION</v>
      </c>
      <c r="B23" s="7" t="str">
        <f t="shared" si="2"/>
        <v>2T-C50BG1I</v>
      </c>
      <c r="C23" s="7" t="str">
        <f t="shared" si="3"/>
        <v>Full-HD, Android TV,Google assistant,Bluetooth audio out, azan reminder</v>
      </c>
      <c r="D23" s="25" t="str">
        <f t="shared" si="4"/>
        <v>2020-01-01</v>
      </c>
      <c r="E23" s="7">
        <f t="shared" si="5"/>
        <v>6771000</v>
      </c>
      <c r="F23" s="6">
        <f t="shared" si="6"/>
        <v>0</v>
      </c>
      <c r="G23" s="7" t="str">
        <f t="shared" si="7"/>
        <v/>
      </c>
      <c r="I23" s="23">
        <f t="shared" si="8"/>
        <v>2020</v>
      </c>
      <c r="J23" s="23" t="str">
        <f t="shared" si="9"/>
        <v>01</v>
      </c>
      <c r="K23" s="23" t="str">
        <f t="shared" si="10"/>
        <v>2020-01-01</v>
      </c>
      <c r="M23" s="11" t="s">
        <v>104</v>
      </c>
      <c r="N23" s="11" t="s">
        <v>704</v>
      </c>
      <c r="O23" s="9">
        <v>43831</v>
      </c>
      <c r="P23" s="13">
        <v>6771000</v>
      </c>
    </row>
    <row r="24" spans="1:16" x14ac:dyDescent="0.25">
      <c r="A24" s="19" t="str">
        <f>VLOOKUP(LEFT(M24,3),Category!$G$3:$H$73,2,0)</f>
        <v>TELEVISION</v>
      </c>
      <c r="B24" s="7" t="str">
        <f t="shared" si="2"/>
        <v>2T-C50DF1I</v>
      </c>
      <c r="C24" s="7" t="str">
        <f t="shared" si="3"/>
        <v>Full-HD,HDR,New EasySmart,Netflix,Youtube,Apps Store,Game Mode,Mirroring</v>
      </c>
      <c r="D24" s="25" t="str">
        <f t="shared" si="4"/>
        <v>2001-01-01</v>
      </c>
      <c r="E24" s="7">
        <f t="shared" si="5"/>
        <v>6413580</v>
      </c>
      <c r="F24" s="6">
        <f t="shared" si="6"/>
        <v>0</v>
      </c>
      <c r="G24" s="7" t="str">
        <f t="shared" si="7"/>
        <v/>
      </c>
      <c r="I24" s="23">
        <f t="shared" si="8"/>
        <v>2001</v>
      </c>
      <c r="J24" s="23" t="str">
        <f t="shared" si="9"/>
        <v>01</v>
      </c>
      <c r="K24" s="23" t="str">
        <f t="shared" si="10"/>
        <v>2001-01-01</v>
      </c>
      <c r="M24" s="11" t="s">
        <v>124</v>
      </c>
      <c r="N24" s="11" t="s">
        <v>706</v>
      </c>
      <c r="O24" s="9">
        <v>44562</v>
      </c>
      <c r="P24" s="13">
        <v>6413580</v>
      </c>
    </row>
    <row r="25" spans="1:16" x14ac:dyDescent="0.25">
      <c r="A25" s="19" t="str">
        <f>VLOOKUP(LEFT(M25,3),Category!$G$3:$H$73,2,0)</f>
        <v>TELEVISION</v>
      </c>
      <c r="B25" s="7" t="str">
        <f t="shared" si="2"/>
        <v>2T-C50EG1I</v>
      </c>
      <c r="C25" s="7" t="str">
        <f t="shared" si="3"/>
        <v>Full-HD . Google TV . Kids Mode . Game Mode . Chromecast . Bluetooth Audio</v>
      </c>
      <c r="D25" s="25" t="str">
        <f t="shared" si="4"/>
        <v>2001-10-01</v>
      </c>
      <c r="E25" s="7">
        <f t="shared" si="5"/>
        <v>6771000</v>
      </c>
      <c r="F25" s="6">
        <f t="shared" si="6"/>
        <v>0</v>
      </c>
      <c r="G25" s="7" t="str">
        <f t="shared" si="7"/>
        <v/>
      </c>
      <c r="I25" s="23">
        <f t="shared" si="8"/>
        <v>2001</v>
      </c>
      <c r="J25" s="23">
        <f t="shared" si="9"/>
        <v>10</v>
      </c>
      <c r="K25" s="23" t="str">
        <f t="shared" si="10"/>
        <v>2001-10-01</v>
      </c>
      <c r="M25" s="11" t="s">
        <v>638</v>
      </c>
      <c r="N25" s="11" t="s">
        <v>707</v>
      </c>
      <c r="O25" s="9">
        <v>44835</v>
      </c>
      <c r="P25" s="13">
        <v>6771000</v>
      </c>
    </row>
    <row r="26" spans="1:16" x14ac:dyDescent="0.25">
      <c r="A26" s="19" t="str">
        <f>VLOOKUP(LEFT(M26,3),Category!$G$3:$H$73,2,0)</f>
        <v>TELEVISION</v>
      </c>
      <c r="B26" s="7" t="str">
        <f t="shared" si="2"/>
        <v>4T-B60CP1X</v>
      </c>
      <c r="C26" s="7" t="str">
        <f t="shared" si="3"/>
        <v>UHD . Easy VideoWall . 16 Hours Operation . Time-Based USB Contents</v>
      </c>
      <c r="D26" s="25" t="str">
        <f t="shared" si="4"/>
        <v>2020-10-01</v>
      </c>
      <c r="E26" s="7">
        <f t="shared" si="5"/>
        <v>12005760</v>
      </c>
      <c r="F26" s="6">
        <f t="shared" si="6"/>
        <v>0</v>
      </c>
      <c r="G26" s="7" t="str">
        <f t="shared" si="7"/>
        <v/>
      </c>
      <c r="I26" s="23">
        <f t="shared" si="8"/>
        <v>2020</v>
      </c>
      <c r="J26" s="23">
        <f t="shared" si="9"/>
        <v>10</v>
      </c>
      <c r="K26" s="23" t="str">
        <f t="shared" si="10"/>
        <v>2020-10-01</v>
      </c>
      <c r="M26" s="11" t="s">
        <v>451</v>
      </c>
      <c r="N26" s="11" t="s">
        <v>710</v>
      </c>
      <c r="O26" s="9">
        <v>44105</v>
      </c>
      <c r="P26" s="13">
        <v>12005760</v>
      </c>
    </row>
    <row r="27" spans="1:16" x14ac:dyDescent="0.25">
      <c r="A27" s="19" t="str">
        <f>VLOOKUP(LEFT(M27,3),Category!$G$3:$H$73,2,0)</f>
        <v>TELEVISION</v>
      </c>
      <c r="B27" s="7" t="str">
        <f t="shared" si="2"/>
        <v>4T-C50DK1I</v>
      </c>
      <c r="C27" s="7" t="str">
        <f t="shared" si="3"/>
        <v>UHD,  Android TV,  Google Assistant, Game Mode, Bluetooth Audio Out</v>
      </c>
      <c r="D27" s="25" t="str">
        <f t="shared" si="4"/>
        <v>2001-04-01</v>
      </c>
      <c r="E27" s="7">
        <f t="shared" si="5"/>
        <v>7363740</v>
      </c>
      <c r="F27" s="6">
        <f t="shared" si="6"/>
        <v>0</v>
      </c>
      <c r="G27" s="7" t="str">
        <f t="shared" si="7"/>
        <v/>
      </c>
      <c r="I27" s="23">
        <f t="shared" si="8"/>
        <v>2001</v>
      </c>
      <c r="J27" s="23" t="str">
        <f t="shared" si="9"/>
        <v>04</v>
      </c>
      <c r="K27" s="23" t="str">
        <f t="shared" si="10"/>
        <v>2001-04-01</v>
      </c>
      <c r="M27" s="11" t="s">
        <v>246</v>
      </c>
      <c r="N27" s="11" t="s">
        <v>711</v>
      </c>
      <c r="O27" s="9">
        <v>44652</v>
      </c>
      <c r="P27" s="13">
        <v>7363740</v>
      </c>
    </row>
    <row r="28" spans="1:16" x14ac:dyDescent="0.25">
      <c r="A28" s="19" t="str">
        <f>VLOOKUP(LEFT(M28,3),Category!$G$3:$H$73,2,0)</f>
        <v>TELEVISION</v>
      </c>
      <c r="B28" s="7" t="str">
        <f t="shared" si="2"/>
        <v>4T-C50DL1X</v>
      </c>
      <c r="C28" s="7" t="str">
        <f t="shared" si="3"/>
        <v>UHD . Android TV v11 . Google Assistant . HDMI 2.1 . Game Mode . Deep Chroma Display</v>
      </c>
      <c r="D28" s="25" t="str">
        <f t="shared" si="4"/>
        <v>2001-01-01</v>
      </c>
      <c r="E28" s="7">
        <f t="shared" si="5"/>
        <v>8433780</v>
      </c>
      <c r="F28" s="6">
        <f t="shared" si="6"/>
        <v>0</v>
      </c>
      <c r="G28" s="7" t="str">
        <f t="shared" si="7"/>
        <v/>
      </c>
      <c r="I28" s="23">
        <f t="shared" si="8"/>
        <v>2001</v>
      </c>
      <c r="J28" s="23" t="str">
        <f t="shared" si="9"/>
        <v>01</v>
      </c>
      <c r="K28" s="23" t="str">
        <f t="shared" si="10"/>
        <v>2001-01-01</v>
      </c>
      <c r="M28" s="11" t="s">
        <v>125</v>
      </c>
      <c r="N28" s="11" t="s">
        <v>712</v>
      </c>
      <c r="O28" s="9">
        <v>44562</v>
      </c>
      <c r="P28" s="13">
        <v>8433780</v>
      </c>
    </row>
    <row r="29" spans="1:16" x14ac:dyDescent="0.25">
      <c r="A29" s="19" t="str">
        <f>VLOOKUP(LEFT(M29,3),Category!$G$3:$H$73,2,0)</f>
        <v>TELEVISION</v>
      </c>
      <c r="B29" s="7" t="str">
        <f t="shared" si="2"/>
        <v>4T-C55EJ2X</v>
      </c>
      <c r="C29" s="7" t="str">
        <f t="shared" si="3"/>
        <v>UHD . New EasySmart . Netflix . Youtube . Apps Store . Game Mode . Mirroring</v>
      </c>
      <c r="D29" s="25" t="str">
        <f t="shared" si="4"/>
        <v>2001-08-01</v>
      </c>
      <c r="E29" s="7">
        <f t="shared" si="5"/>
        <v>8788980</v>
      </c>
      <c r="F29" s="6">
        <f t="shared" si="6"/>
        <v>0</v>
      </c>
      <c r="G29" s="7" t="str">
        <f t="shared" si="7"/>
        <v/>
      </c>
      <c r="I29" s="23">
        <f t="shared" si="8"/>
        <v>2001</v>
      </c>
      <c r="J29" s="23" t="str">
        <f t="shared" si="9"/>
        <v>08</v>
      </c>
      <c r="K29" s="23" t="str">
        <f t="shared" si="10"/>
        <v>2001-08-01</v>
      </c>
      <c r="M29" s="11" t="s">
        <v>639</v>
      </c>
      <c r="N29" s="11" t="s">
        <v>713</v>
      </c>
      <c r="O29" s="9">
        <v>44774</v>
      </c>
      <c r="P29" s="13">
        <v>8788980</v>
      </c>
    </row>
    <row r="30" spans="1:16" x14ac:dyDescent="0.25">
      <c r="A30" s="19" t="str">
        <f>VLOOKUP(LEFT(M30,3),Category!$G$3:$H$73,2,0)</f>
        <v>TELEVISION</v>
      </c>
      <c r="B30" s="7" t="str">
        <f t="shared" si="2"/>
        <v>4T-C55EK2X</v>
      </c>
      <c r="C30" s="7" t="str">
        <f t="shared" si="3"/>
        <v>UHD,  Android TV,  Google Assistant, Game Mode, Bluetooth Audio Out</v>
      </c>
      <c r="D30" s="25" t="str">
        <f t="shared" si="4"/>
        <v>2001-10-01</v>
      </c>
      <c r="E30" s="7">
        <f t="shared" si="5"/>
        <v>9383940</v>
      </c>
      <c r="F30" s="6">
        <f t="shared" si="6"/>
        <v>0</v>
      </c>
      <c r="G30" s="7" t="str">
        <f t="shared" si="7"/>
        <v/>
      </c>
      <c r="I30" s="23">
        <f t="shared" si="8"/>
        <v>2001</v>
      </c>
      <c r="J30" s="23">
        <f t="shared" si="9"/>
        <v>10</v>
      </c>
      <c r="K30" s="23" t="str">
        <f t="shared" si="10"/>
        <v>2001-10-01</v>
      </c>
      <c r="M30" s="11" t="s">
        <v>640</v>
      </c>
      <c r="N30" s="11" t="s">
        <v>711</v>
      </c>
      <c r="O30" s="9">
        <v>44835</v>
      </c>
      <c r="P30" s="13">
        <v>9383940</v>
      </c>
    </row>
    <row r="31" spans="1:16" x14ac:dyDescent="0.25">
      <c r="A31" s="19" t="str">
        <f>VLOOKUP(LEFT(M31,3),Category!$G$3:$H$73,2,0)</f>
        <v>TELEVISION</v>
      </c>
      <c r="B31" s="7" t="str">
        <f t="shared" si="2"/>
        <v>4T-C60CH1X</v>
      </c>
      <c r="C31" s="7" t="str">
        <f t="shared" si="3"/>
        <v>UHD,DVB-T2,Sound reflector,USB Movie</v>
      </c>
      <c r="D31" s="25" t="str">
        <f t="shared" si="4"/>
        <v>2020-08-01</v>
      </c>
      <c r="E31" s="7">
        <f t="shared" si="5"/>
        <v>8908860</v>
      </c>
      <c r="F31" s="6">
        <f t="shared" si="6"/>
        <v>0</v>
      </c>
      <c r="G31" s="7" t="str">
        <f t="shared" si="7"/>
        <v/>
      </c>
      <c r="I31" s="23">
        <f t="shared" si="8"/>
        <v>2020</v>
      </c>
      <c r="J31" s="23" t="str">
        <f t="shared" si="9"/>
        <v>08</v>
      </c>
      <c r="K31" s="23" t="str">
        <f t="shared" si="10"/>
        <v>2020-08-01</v>
      </c>
      <c r="M31" s="11" t="s">
        <v>392</v>
      </c>
      <c r="N31" s="11" t="s">
        <v>714</v>
      </c>
      <c r="O31" s="9">
        <v>44044</v>
      </c>
      <c r="P31" s="13">
        <v>8908860</v>
      </c>
    </row>
    <row r="32" spans="1:16" x14ac:dyDescent="0.25">
      <c r="A32" s="19" t="str">
        <f>VLOOKUP(LEFT(M32,3),Category!$G$3:$H$73,2,0)</f>
        <v>TELEVISION</v>
      </c>
      <c r="B32" s="7" t="str">
        <f t="shared" si="2"/>
        <v>4T-C60DK1X</v>
      </c>
      <c r="C32" s="7" t="str">
        <f t="shared" si="3"/>
        <v>UHD,  Android TV,  Google Assistant, Game Mode, Bluetooth Audio Out</v>
      </c>
      <c r="D32" s="25" t="str">
        <f t="shared" si="4"/>
        <v>2001-04-01</v>
      </c>
      <c r="E32" s="7">
        <f t="shared" si="5"/>
        <v>10689300</v>
      </c>
      <c r="F32" s="6">
        <f t="shared" si="6"/>
        <v>0</v>
      </c>
      <c r="G32" s="7" t="str">
        <f t="shared" si="7"/>
        <v/>
      </c>
      <c r="I32" s="23">
        <f t="shared" si="8"/>
        <v>2001</v>
      </c>
      <c r="J32" s="23" t="str">
        <f t="shared" si="9"/>
        <v>04</v>
      </c>
      <c r="K32" s="23" t="str">
        <f t="shared" si="10"/>
        <v>2001-04-01</v>
      </c>
      <c r="M32" s="11" t="s">
        <v>247</v>
      </c>
      <c r="N32" s="11" t="s">
        <v>711</v>
      </c>
      <c r="O32" s="9">
        <v>44652</v>
      </c>
      <c r="P32" s="13">
        <v>10689300</v>
      </c>
    </row>
    <row r="33" spans="1:16" x14ac:dyDescent="0.25">
      <c r="A33" s="19" t="str">
        <f>VLOOKUP(LEFT(M33,3),Category!$G$3:$H$73,2,0)</f>
        <v>TELEVISION</v>
      </c>
      <c r="B33" s="7" t="str">
        <f t="shared" si="2"/>
        <v>4T-C60DL1X</v>
      </c>
      <c r="C33" s="7" t="str">
        <f t="shared" si="3"/>
        <v>UHD . Android TV v11 . Google Assistant . HDMI 2.1 . Game Mode . Deep Chroma Display</v>
      </c>
      <c r="D33" s="25" t="str">
        <f t="shared" si="4"/>
        <v>2001-01-01</v>
      </c>
      <c r="E33" s="7">
        <f t="shared" si="5"/>
        <v>12114540</v>
      </c>
      <c r="F33" s="6">
        <f t="shared" si="6"/>
        <v>0</v>
      </c>
      <c r="G33" s="7" t="str">
        <f t="shared" si="7"/>
        <v/>
      </c>
      <c r="I33" s="23">
        <f t="shared" si="8"/>
        <v>2001</v>
      </c>
      <c r="J33" s="23" t="str">
        <f t="shared" si="9"/>
        <v>01</v>
      </c>
      <c r="K33" s="23" t="str">
        <f t="shared" si="10"/>
        <v>2001-01-01</v>
      </c>
      <c r="M33" s="11" t="s">
        <v>126</v>
      </c>
      <c r="N33" s="11" t="s">
        <v>712</v>
      </c>
      <c r="O33" s="9">
        <v>44562</v>
      </c>
      <c r="P33" s="13">
        <v>12114540</v>
      </c>
    </row>
    <row r="34" spans="1:16" x14ac:dyDescent="0.25">
      <c r="A34" s="19" t="str">
        <f>VLOOKUP(LEFT(M34,3),Category!$G$3:$H$73,2,0)</f>
        <v>TELEVISION</v>
      </c>
      <c r="B34" s="7" t="str">
        <f t="shared" si="2"/>
        <v>4T-C65CK1X</v>
      </c>
      <c r="C34" s="7" t="str">
        <f t="shared" si="3"/>
        <v>UHD,Android TV,Google assistant,Bluetooth audio out,azan reminder</v>
      </c>
      <c r="D34" s="25" t="str">
        <f t="shared" si="4"/>
        <v>2021-01-01</v>
      </c>
      <c r="E34" s="7">
        <f t="shared" si="5"/>
        <v>15440100</v>
      </c>
      <c r="F34" s="6">
        <f t="shared" si="6"/>
        <v>0</v>
      </c>
      <c r="G34" s="7" t="str">
        <f t="shared" si="7"/>
        <v/>
      </c>
      <c r="I34" s="23">
        <f t="shared" si="8"/>
        <v>2021</v>
      </c>
      <c r="J34" s="23" t="str">
        <f t="shared" si="9"/>
        <v>01</v>
      </c>
      <c r="K34" s="23" t="str">
        <f t="shared" si="10"/>
        <v>2021-01-01</v>
      </c>
      <c r="M34" s="11" t="s">
        <v>118</v>
      </c>
      <c r="N34" s="11" t="s">
        <v>715</v>
      </c>
      <c r="O34" s="9">
        <v>44197</v>
      </c>
      <c r="P34" s="13">
        <v>15440100</v>
      </c>
    </row>
    <row r="35" spans="1:16" x14ac:dyDescent="0.25">
      <c r="A35" s="19" t="str">
        <f>VLOOKUP(LEFT(M35,3),Category!$G$3:$H$73,2,0)</f>
        <v>TELEVISION</v>
      </c>
      <c r="B35" s="7" t="str">
        <f t="shared" si="2"/>
        <v>4T-C65DK1X</v>
      </c>
      <c r="C35" s="7" t="str">
        <f t="shared" si="3"/>
        <v>UHD,  Android TV,  Google Assistant, Game Mode, Bluetooth Audio Out</v>
      </c>
      <c r="D35" s="25" t="str">
        <f t="shared" si="4"/>
        <v>2001-10-01</v>
      </c>
      <c r="E35" s="7">
        <f t="shared" si="5"/>
        <v>12471960</v>
      </c>
      <c r="F35" s="6">
        <f t="shared" si="6"/>
        <v>0</v>
      </c>
      <c r="G35" s="7" t="str">
        <f t="shared" si="7"/>
        <v/>
      </c>
      <c r="I35" s="23">
        <f t="shared" si="8"/>
        <v>2001</v>
      </c>
      <c r="J35" s="23">
        <f t="shared" si="9"/>
        <v>10</v>
      </c>
      <c r="K35" s="23" t="str">
        <f t="shared" si="10"/>
        <v>2001-10-01</v>
      </c>
      <c r="M35" s="11" t="s">
        <v>641</v>
      </c>
      <c r="N35" s="11" t="s">
        <v>711</v>
      </c>
      <c r="O35" s="9">
        <v>44835</v>
      </c>
      <c r="P35" s="13">
        <v>12471960</v>
      </c>
    </row>
    <row r="36" spans="1:16" x14ac:dyDescent="0.25">
      <c r="A36" s="19" t="str">
        <f>VLOOKUP(LEFT(M36,3),Category!$G$3:$H$73,2,0)</f>
        <v>TELEVISION</v>
      </c>
      <c r="B36" s="7" t="str">
        <f t="shared" si="2"/>
        <v>4T-C65DL1X</v>
      </c>
      <c r="C36" s="7" t="str">
        <f t="shared" si="3"/>
        <v>UHD . Deep Chroma Display . Android TV . Google Assistant . Game Mode</v>
      </c>
      <c r="D36" s="25" t="str">
        <f t="shared" si="4"/>
        <v>2001-10-01</v>
      </c>
      <c r="E36" s="7">
        <f t="shared" si="5"/>
        <v>13897200</v>
      </c>
      <c r="F36" s="6">
        <f t="shared" si="6"/>
        <v>0</v>
      </c>
      <c r="G36" s="7" t="str">
        <f t="shared" si="7"/>
        <v/>
      </c>
      <c r="I36" s="23">
        <f t="shared" si="8"/>
        <v>2001</v>
      </c>
      <c r="J36" s="23">
        <f t="shared" si="9"/>
        <v>10</v>
      </c>
      <c r="K36" s="23" t="str">
        <f t="shared" si="10"/>
        <v>2001-10-01</v>
      </c>
      <c r="M36" s="11" t="s">
        <v>642</v>
      </c>
      <c r="N36" s="11" t="s">
        <v>716</v>
      </c>
      <c r="O36" s="9">
        <v>44835</v>
      </c>
      <c r="P36" s="13">
        <v>13897200</v>
      </c>
    </row>
    <row r="37" spans="1:16" x14ac:dyDescent="0.25">
      <c r="A37" s="19" t="str">
        <f>VLOOKUP(LEFT(M37,3),Category!$G$3:$H$73,2,0)</f>
        <v>TELEVISION</v>
      </c>
      <c r="B37" s="7" t="str">
        <f t="shared" si="2"/>
        <v>4T-C70CK3X</v>
      </c>
      <c r="C37" s="7" t="str">
        <f t="shared" si="3"/>
        <v>UHD, Android TV, Google assistant, bluetooth audio out, Azan reminder,</v>
      </c>
      <c r="D37" s="25" t="str">
        <f t="shared" si="4"/>
        <v>2021-06-01</v>
      </c>
      <c r="E37" s="7">
        <f t="shared" si="5"/>
        <v>17222760</v>
      </c>
      <c r="F37" s="6">
        <f t="shared" si="6"/>
        <v>0</v>
      </c>
      <c r="G37" s="7" t="str">
        <f t="shared" si="7"/>
        <v/>
      </c>
      <c r="I37" s="23">
        <f t="shared" si="8"/>
        <v>2021</v>
      </c>
      <c r="J37" s="23" t="str">
        <f t="shared" si="9"/>
        <v>06</v>
      </c>
      <c r="K37" s="23" t="str">
        <f t="shared" si="10"/>
        <v>2021-06-01</v>
      </c>
      <c r="M37" s="11" t="s">
        <v>335</v>
      </c>
      <c r="N37" s="11" t="s">
        <v>717</v>
      </c>
      <c r="O37" s="9">
        <v>44348</v>
      </c>
      <c r="P37" s="13">
        <v>17222760</v>
      </c>
    </row>
    <row r="38" spans="1:16" x14ac:dyDescent="0.25">
      <c r="A38" s="19" t="str">
        <f>VLOOKUP(LEFT(M38,3),Category!$G$3:$H$73,2,0)</f>
        <v>TELEVISION</v>
      </c>
      <c r="B38" s="7" t="str">
        <f t="shared" si="2"/>
        <v>4T-C70DK1X</v>
      </c>
      <c r="C38" s="7" t="str">
        <f t="shared" si="3"/>
        <v>UHD . Android TV v11 . Google Assistant . Game Mode . Bluetooth Audio Out</v>
      </c>
      <c r="D38" s="25" t="str">
        <f t="shared" si="4"/>
        <v>2001-08-01</v>
      </c>
      <c r="E38" s="7">
        <f t="shared" si="5"/>
        <v>15915180</v>
      </c>
      <c r="F38" s="6">
        <f t="shared" si="6"/>
        <v>0</v>
      </c>
      <c r="G38" s="7" t="str">
        <f t="shared" si="7"/>
        <v/>
      </c>
      <c r="I38" s="23">
        <f t="shared" si="8"/>
        <v>2001</v>
      </c>
      <c r="J38" s="23" t="str">
        <f t="shared" si="9"/>
        <v>08</v>
      </c>
      <c r="K38" s="23" t="str">
        <f t="shared" si="10"/>
        <v>2001-08-01</v>
      </c>
      <c r="M38" s="11" t="s">
        <v>643</v>
      </c>
      <c r="N38" s="11" t="s">
        <v>718</v>
      </c>
      <c r="O38" s="9">
        <v>44774</v>
      </c>
      <c r="P38" s="13">
        <v>15915180</v>
      </c>
    </row>
    <row r="39" spans="1:16" x14ac:dyDescent="0.25">
      <c r="A39" s="19" t="str">
        <f>VLOOKUP(LEFT(M39,3),Category!$G$3:$H$73,2,0)</f>
        <v>TELEVISION</v>
      </c>
      <c r="B39" s="7" t="str">
        <f t="shared" si="2"/>
        <v>4T-C70DL1X</v>
      </c>
      <c r="C39" s="7" t="str">
        <f t="shared" si="3"/>
        <v>UHD . Android TV v11 . Google Assistant . HDMI 2.1 . Game Mode . Deep Chroma Display</v>
      </c>
      <c r="D39" s="25" t="str">
        <f t="shared" si="4"/>
        <v>2021-06-01</v>
      </c>
      <c r="E39" s="7">
        <f t="shared" si="5"/>
        <v>17697840</v>
      </c>
      <c r="F39" s="6">
        <f t="shared" si="6"/>
        <v>0</v>
      </c>
      <c r="G39" s="7" t="str">
        <f t="shared" si="7"/>
        <v/>
      </c>
      <c r="I39" s="23">
        <f t="shared" si="8"/>
        <v>2021</v>
      </c>
      <c r="J39" s="23" t="str">
        <f t="shared" si="9"/>
        <v>06</v>
      </c>
      <c r="K39" s="23" t="str">
        <f t="shared" si="10"/>
        <v>2021-06-01</v>
      </c>
      <c r="M39" s="11" t="s">
        <v>336</v>
      </c>
      <c r="N39" s="11" t="s">
        <v>712</v>
      </c>
      <c r="O39" s="9">
        <v>44348</v>
      </c>
      <c r="P39" s="13">
        <v>17697840</v>
      </c>
    </row>
    <row r="40" spans="1:16" x14ac:dyDescent="0.25">
      <c r="A40" s="19" t="str">
        <f>VLOOKUP(LEFT(M40,3),Category!$G$3:$H$73,2,0)</f>
        <v>TELEVISION</v>
      </c>
      <c r="B40" s="7" t="str">
        <f t="shared" si="2"/>
        <v>4T-C75EK2X</v>
      </c>
      <c r="C40" s="7" t="str">
        <f t="shared" si="3"/>
        <v>UHD, Frameless, Android TV,  Google Assistant, Game Mode, Bluetooth Audio Out</v>
      </c>
      <c r="D40" s="25" t="str">
        <f t="shared" si="4"/>
        <v>2001-10-01</v>
      </c>
      <c r="E40" s="7">
        <f t="shared" si="5"/>
        <v>19598160</v>
      </c>
      <c r="F40" s="6">
        <f t="shared" si="6"/>
        <v>0</v>
      </c>
      <c r="G40" s="7" t="str">
        <f t="shared" si="7"/>
        <v/>
      </c>
      <c r="I40" s="23">
        <f t="shared" si="8"/>
        <v>2001</v>
      </c>
      <c r="J40" s="23">
        <f t="shared" si="9"/>
        <v>10</v>
      </c>
      <c r="K40" s="23" t="str">
        <f t="shared" si="10"/>
        <v>2001-10-01</v>
      </c>
      <c r="M40" s="11" t="s">
        <v>644</v>
      </c>
      <c r="N40" s="11" t="s">
        <v>719</v>
      </c>
      <c r="O40" s="9">
        <v>44835</v>
      </c>
      <c r="P40" s="13">
        <v>19598160</v>
      </c>
    </row>
    <row r="41" spans="1:16" x14ac:dyDescent="0.25">
      <c r="A41" s="19" t="e">
        <f>VLOOKUP(LEFT(M41,3),Category!$G$3:$H$73,2,0)</f>
        <v>#N/A</v>
      </c>
      <c r="B41" s="7" t="str">
        <f t="shared" si="2"/>
        <v>8A-C22CX1</v>
      </c>
      <c r="C41" s="7" t="str">
        <f t="shared" si="3"/>
        <v xml:space="preserve">Sound Bar with OPSODIS Sound Technology,  Dolby ATMOS, Hi-Res Audio, Dolby Vision Compatible, Music Streamig via BLUETOOTH, HDMi (eARC), Wireless Active Subwoofer </v>
      </c>
      <c r="D41" s="25" t="str">
        <f t="shared" si="4"/>
        <v>2001-11-01</v>
      </c>
      <c r="E41" s="7">
        <f t="shared" si="5"/>
        <v>7468080</v>
      </c>
      <c r="F41" s="6">
        <f t="shared" si="6"/>
        <v>0</v>
      </c>
      <c r="G41" s="7" t="str">
        <f t="shared" si="7"/>
        <v/>
      </c>
      <c r="I41" s="23">
        <f t="shared" si="8"/>
        <v>2001</v>
      </c>
      <c r="J41" s="23">
        <f t="shared" si="9"/>
        <v>11</v>
      </c>
      <c r="K41" s="23" t="str">
        <f t="shared" si="10"/>
        <v>2001-11-01</v>
      </c>
      <c r="M41" s="11" t="s">
        <v>645</v>
      </c>
      <c r="N41" s="11" t="s">
        <v>720</v>
      </c>
      <c r="O41" s="9">
        <v>44866</v>
      </c>
      <c r="P41" s="13">
        <v>7468080</v>
      </c>
    </row>
    <row r="42" spans="1:16" x14ac:dyDescent="0.25">
      <c r="A42" s="19" t="str">
        <f>VLOOKUP(LEFT(M42,3),Category!$G$3:$H$73,2,0)</f>
        <v>TELEVISION</v>
      </c>
      <c r="B42" s="7" t="str">
        <f t="shared" si="2"/>
        <v>8T-C60DW1X</v>
      </c>
      <c r="C42" s="7" t="str">
        <f t="shared" si="3"/>
        <v>8k .  Android TV . Google Assistant . Eilex Prism</v>
      </c>
      <c r="D42" s="25" t="str">
        <f t="shared" si="4"/>
        <v>2021-06-01</v>
      </c>
      <c r="E42" s="7">
        <f t="shared" si="5"/>
        <v>29692500</v>
      </c>
      <c r="F42" s="6">
        <f t="shared" si="6"/>
        <v>0</v>
      </c>
      <c r="G42" s="7" t="str">
        <f t="shared" si="7"/>
        <v/>
      </c>
      <c r="I42" s="23">
        <f t="shared" si="8"/>
        <v>2021</v>
      </c>
      <c r="J42" s="23" t="str">
        <f t="shared" si="9"/>
        <v>06</v>
      </c>
      <c r="K42" s="23" t="str">
        <f t="shared" si="10"/>
        <v>2021-06-01</v>
      </c>
      <c r="M42" s="11" t="s">
        <v>337</v>
      </c>
      <c r="N42" s="11" t="s">
        <v>721</v>
      </c>
      <c r="O42" s="9">
        <v>44348</v>
      </c>
      <c r="P42" s="13">
        <v>29692500</v>
      </c>
    </row>
    <row r="43" spans="1:16" x14ac:dyDescent="0.25">
      <c r="A43" s="19" t="str">
        <f>VLOOKUP(LEFT(M43,3),Category!$G$3:$H$73,2,0)</f>
        <v>TELEVISION</v>
      </c>
      <c r="B43" s="7" t="str">
        <f t="shared" si="2"/>
        <v>8T-C70DW1X</v>
      </c>
      <c r="C43" s="7" t="str">
        <f t="shared" si="3"/>
        <v>8k .  Android TV . Google Assistant . Eilex Prism</v>
      </c>
      <c r="D43" s="25" t="str">
        <f t="shared" si="4"/>
        <v>2021-06-01</v>
      </c>
      <c r="E43" s="7">
        <f t="shared" si="5"/>
        <v>38006400</v>
      </c>
      <c r="F43" s="6">
        <f t="shared" si="6"/>
        <v>0</v>
      </c>
      <c r="G43" s="7" t="str">
        <f t="shared" si="7"/>
        <v/>
      </c>
      <c r="I43" s="23">
        <f t="shared" si="8"/>
        <v>2021</v>
      </c>
      <c r="J43" s="23" t="str">
        <f t="shared" si="9"/>
        <v>06</v>
      </c>
      <c r="K43" s="23" t="str">
        <f t="shared" si="10"/>
        <v>2021-06-01</v>
      </c>
      <c r="M43" s="11" t="s">
        <v>338</v>
      </c>
      <c r="N43" s="11" t="s">
        <v>721</v>
      </c>
      <c r="O43" s="9">
        <v>44348</v>
      </c>
      <c r="P43" s="13">
        <v>38006400</v>
      </c>
    </row>
    <row r="44" spans="1:16" x14ac:dyDescent="0.25">
      <c r="A44" s="19" t="str">
        <f>VLOOKUP(LEFT(M44,3),Category!$G$3:$H$73,2,0)</f>
        <v>AIR CONDITIONER</v>
      </c>
      <c r="B44" s="7" t="str">
        <f t="shared" si="2"/>
        <v>AH-A12SAY</v>
      </c>
      <c r="C44" s="7" t="str">
        <f t="shared" si="3"/>
        <v>1.5 PK (1,090 W), JetStream, Coanda, &amp; Comfort Mode</v>
      </c>
      <c r="D44" s="25" t="str">
        <f t="shared" si="4"/>
        <v>2017-12-01</v>
      </c>
      <c r="E44" s="7">
        <f t="shared" si="5"/>
        <v>5971800</v>
      </c>
      <c r="F44" s="6">
        <f t="shared" si="6"/>
        <v>0</v>
      </c>
      <c r="G44" s="7" t="str">
        <f t="shared" si="7"/>
        <v/>
      </c>
      <c r="I44" s="23">
        <f t="shared" si="8"/>
        <v>2017</v>
      </c>
      <c r="J44" s="23">
        <f t="shared" si="9"/>
        <v>12</v>
      </c>
      <c r="K44" s="23" t="str">
        <f t="shared" si="10"/>
        <v>2017-12-01</v>
      </c>
      <c r="M44" s="11" t="s">
        <v>498</v>
      </c>
      <c r="N44" s="11" t="s">
        <v>722</v>
      </c>
      <c r="O44" s="9">
        <v>43070</v>
      </c>
      <c r="P44" s="13">
        <v>5971800</v>
      </c>
    </row>
    <row r="45" spans="1:16" x14ac:dyDescent="0.25">
      <c r="A45" s="19" t="str">
        <f>VLOOKUP(LEFT(M45,3),Category!$G$3:$H$73,2,0)</f>
        <v>AIR CONDITIONER</v>
      </c>
      <c r="B45" s="7" t="str">
        <f t="shared" si="2"/>
        <v>AH-A12UCY</v>
      </c>
      <c r="C45" s="7" t="str">
        <f t="shared" si="3"/>
        <v>1.5 PK (1,080 Watt), Turbo Cool Mode, Interactive LED Display Panel, X-Fan Function, 10 Years Compressor Warranty</v>
      </c>
      <c r="D45" s="25" t="str">
        <f t="shared" si="4"/>
        <v>2017-06-01</v>
      </c>
      <c r="E45" s="7">
        <f t="shared" si="5"/>
        <v>5997330</v>
      </c>
      <c r="F45" s="6">
        <f t="shared" si="6"/>
        <v>0</v>
      </c>
      <c r="G45" s="7" t="str">
        <f t="shared" si="7"/>
        <v/>
      </c>
      <c r="I45" s="23">
        <f t="shared" si="8"/>
        <v>2017</v>
      </c>
      <c r="J45" s="23" t="str">
        <f t="shared" si="9"/>
        <v>06</v>
      </c>
      <c r="K45" s="23" t="str">
        <f t="shared" si="10"/>
        <v>2017-06-01</v>
      </c>
      <c r="M45" s="11" t="s">
        <v>321</v>
      </c>
      <c r="N45" s="11" t="s">
        <v>723</v>
      </c>
      <c r="O45" s="9">
        <v>42887</v>
      </c>
      <c r="P45" s="13">
        <v>5997330</v>
      </c>
    </row>
    <row r="46" spans="1:16" x14ac:dyDescent="0.25">
      <c r="A46" s="19" t="str">
        <f>VLOOKUP(LEFT(M46,3),Category!$G$3:$H$73,2,0)</f>
        <v>AIR CONDITIONER</v>
      </c>
      <c r="B46" s="7" t="str">
        <f t="shared" si="2"/>
        <v>AH-A12VEY</v>
      </c>
      <c r="C46" s="7" t="str">
        <f t="shared" si="3"/>
        <v>1.5 PK (1,080 Watt), Turbo Cool Mode, Interactive LED Display Panel, X-Fan Function, 10 Years Compressor Warranty</v>
      </c>
      <c r="D46" s="25" t="str">
        <f t="shared" si="4"/>
        <v>2017-09-01</v>
      </c>
      <c r="E46" s="7">
        <f t="shared" si="5"/>
        <v>5816400</v>
      </c>
      <c r="F46" s="6">
        <f t="shared" si="6"/>
        <v>0</v>
      </c>
      <c r="G46" s="7" t="str">
        <f t="shared" si="7"/>
        <v/>
      </c>
      <c r="I46" s="23">
        <f t="shared" si="8"/>
        <v>2017</v>
      </c>
      <c r="J46" s="23" t="str">
        <f t="shared" si="9"/>
        <v>09</v>
      </c>
      <c r="K46" s="23" t="str">
        <f t="shared" si="10"/>
        <v>2017-09-01</v>
      </c>
      <c r="M46" s="11" t="s">
        <v>427</v>
      </c>
      <c r="N46" s="11" t="s">
        <v>723</v>
      </c>
      <c r="O46" s="9">
        <v>42979</v>
      </c>
      <c r="P46" s="13">
        <v>5816400</v>
      </c>
    </row>
    <row r="47" spans="1:16" x14ac:dyDescent="0.25">
      <c r="A47" s="19" t="str">
        <f>VLOOKUP(LEFT(M47,3),Category!$G$3:$H$73,2,0)</f>
        <v>AIR CONDITIONER</v>
      </c>
      <c r="B47" s="7" t="str">
        <f t="shared" si="2"/>
        <v>AH-A12ZCY</v>
      </c>
      <c r="C47" s="7" t="str">
        <f t="shared" si="3"/>
        <v>1.5 PK, 1.035 watt, Gold Fin On Evaporator, Turbo Mode, LED Display Temperature, Sleep Mode</v>
      </c>
      <c r="D47" s="25" t="str">
        <f t="shared" si="4"/>
        <v>2001-08-01</v>
      </c>
      <c r="E47" s="7">
        <f t="shared" si="5"/>
        <v>5657670</v>
      </c>
      <c r="F47" s="6">
        <f t="shared" si="6"/>
        <v>0</v>
      </c>
      <c r="G47" s="7" t="str">
        <f t="shared" si="7"/>
        <v/>
      </c>
      <c r="I47" s="23">
        <f t="shared" si="8"/>
        <v>2001</v>
      </c>
      <c r="J47" s="23" t="str">
        <f t="shared" si="9"/>
        <v>08</v>
      </c>
      <c r="K47" s="23" t="str">
        <f t="shared" si="10"/>
        <v>2001-08-01</v>
      </c>
      <c r="M47" s="11" t="s">
        <v>646</v>
      </c>
      <c r="N47" s="11" t="s">
        <v>724</v>
      </c>
      <c r="O47" s="9">
        <v>44774</v>
      </c>
      <c r="P47" s="13">
        <v>5657670</v>
      </c>
    </row>
    <row r="48" spans="1:16" x14ac:dyDescent="0.25">
      <c r="A48" s="19" t="str">
        <f>VLOOKUP(LEFT(M48,3),Category!$G$3:$H$73,2,0)</f>
        <v>AIR CONDITIONER</v>
      </c>
      <c r="B48" s="7" t="str">
        <f t="shared" si="2"/>
        <v>AH-A18SAY2</v>
      </c>
      <c r="C48" s="7" t="str">
        <f t="shared" si="3"/>
        <v>2 PK (1,722 W), JetStream, Coanda, &amp; Comfort Mode</v>
      </c>
      <c r="D48" s="25" t="str">
        <f t="shared" si="4"/>
        <v>2021-04-01</v>
      </c>
      <c r="E48" s="7">
        <f t="shared" si="5"/>
        <v>7858800</v>
      </c>
      <c r="F48" s="6">
        <f t="shared" si="6"/>
        <v>0</v>
      </c>
      <c r="G48" s="7" t="str">
        <f t="shared" si="7"/>
        <v/>
      </c>
      <c r="I48" s="23">
        <f t="shared" si="8"/>
        <v>2021</v>
      </c>
      <c r="J48" s="23" t="str">
        <f t="shared" si="9"/>
        <v>04</v>
      </c>
      <c r="K48" s="23" t="str">
        <f t="shared" si="10"/>
        <v>2021-04-01</v>
      </c>
      <c r="M48" s="11" t="s">
        <v>227</v>
      </c>
      <c r="N48" s="11" t="s">
        <v>725</v>
      </c>
      <c r="O48" s="9">
        <v>44287</v>
      </c>
      <c r="P48" s="13">
        <v>7858800</v>
      </c>
    </row>
    <row r="49" spans="1:16" x14ac:dyDescent="0.25">
      <c r="A49" s="19" t="str">
        <f>VLOOKUP(LEFT(M49,3),Category!$G$3:$H$73,2,0)</f>
        <v>AIR CONDITIONER</v>
      </c>
      <c r="B49" s="7" t="str">
        <f t="shared" si="2"/>
        <v>AH-A18UCY</v>
      </c>
      <c r="C49" s="7" t="str">
        <f t="shared" si="3"/>
        <v>2 PK (1,590 Watt), Turbo Cool Mode, Interactive LED Display Panel, X-Fan Function, 10 Years Compressor Warranty</v>
      </c>
      <c r="D49" s="25" t="str">
        <f t="shared" si="4"/>
        <v>2017-06-01</v>
      </c>
      <c r="E49" s="7">
        <f t="shared" si="5"/>
        <v>8031960</v>
      </c>
      <c r="F49" s="6">
        <f t="shared" si="6"/>
        <v>0</v>
      </c>
      <c r="G49" s="7" t="str">
        <f t="shared" si="7"/>
        <v/>
      </c>
      <c r="I49" s="23">
        <f t="shared" si="8"/>
        <v>2017</v>
      </c>
      <c r="J49" s="23" t="str">
        <f t="shared" si="9"/>
        <v>06</v>
      </c>
      <c r="K49" s="23" t="str">
        <f t="shared" si="10"/>
        <v>2017-06-01</v>
      </c>
      <c r="M49" s="11" t="s">
        <v>322</v>
      </c>
      <c r="N49" s="11" t="s">
        <v>726</v>
      </c>
      <c r="O49" s="9">
        <v>42887</v>
      </c>
      <c r="P49" s="13">
        <v>8031960</v>
      </c>
    </row>
    <row r="50" spans="1:16" x14ac:dyDescent="0.25">
      <c r="A50" s="19" t="str">
        <f>VLOOKUP(LEFT(M50,3),Category!$G$3:$H$73,2,0)</f>
        <v>AIR CONDITIONER</v>
      </c>
      <c r="B50" s="7" t="str">
        <f t="shared" si="2"/>
        <v>AH-A18ZCY</v>
      </c>
      <c r="C50" s="7" t="str">
        <f t="shared" si="3"/>
        <v>2.0 PK, 1.640 watt, Gold Fin On Evaporator, Turbo Mode, LED Display Temperature, Sleep Mode</v>
      </c>
      <c r="D50" s="25" t="str">
        <f t="shared" si="4"/>
        <v>2001-08-01</v>
      </c>
      <c r="E50" s="7">
        <f t="shared" si="5"/>
        <v>7347090</v>
      </c>
      <c r="F50" s="6">
        <f t="shared" si="6"/>
        <v>0</v>
      </c>
      <c r="G50" s="7" t="str">
        <f t="shared" si="7"/>
        <v/>
      </c>
      <c r="I50" s="23">
        <f t="shared" si="8"/>
        <v>2001</v>
      </c>
      <c r="J50" s="23" t="str">
        <f t="shared" si="9"/>
        <v>08</v>
      </c>
      <c r="K50" s="23" t="str">
        <f t="shared" si="10"/>
        <v>2001-08-01</v>
      </c>
      <c r="M50" s="11" t="s">
        <v>647</v>
      </c>
      <c r="N50" s="11" t="s">
        <v>727</v>
      </c>
      <c r="O50" s="9">
        <v>44774</v>
      </c>
      <c r="P50" s="13">
        <v>7347090</v>
      </c>
    </row>
    <row r="51" spans="1:16" x14ac:dyDescent="0.25">
      <c r="A51" s="19" t="str">
        <f>VLOOKUP(LEFT(M51,3),Category!$G$3:$H$73,2,0)</f>
        <v>AIR CONDITIONER</v>
      </c>
      <c r="B51" s="7" t="str">
        <f t="shared" si="2"/>
        <v>AH-A24UCY</v>
      </c>
      <c r="C51" s="7" t="str">
        <f t="shared" si="3"/>
        <v>2.5 PK (2,130 Watt), Turbo Cool Mode, Interactive LED Display Panel, X-Fan Function, 10 Years Compressor Warranty</v>
      </c>
      <c r="D51" s="25" t="str">
        <f t="shared" si="4"/>
        <v>2017-11-01</v>
      </c>
      <c r="E51" s="7">
        <f t="shared" si="5"/>
        <v>9702510</v>
      </c>
      <c r="F51" s="6">
        <f t="shared" si="6"/>
        <v>0</v>
      </c>
      <c r="G51" s="7" t="str">
        <f t="shared" si="7"/>
        <v/>
      </c>
      <c r="I51" s="23">
        <f t="shared" si="8"/>
        <v>2017</v>
      </c>
      <c r="J51" s="23">
        <f t="shared" si="9"/>
        <v>11</v>
      </c>
      <c r="K51" s="23" t="str">
        <f t="shared" si="10"/>
        <v>2017-11-01</v>
      </c>
      <c r="M51" s="11" t="s">
        <v>474</v>
      </c>
      <c r="N51" s="11" t="s">
        <v>728</v>
      </c>
      <c r="O51" s="9">
        <v>43040</v>
      </c>
      <c r="P51" s="13">
        <v>9702510</v>
      </c>
    </row>
    <row r="52" spans="1:16" x14ac:dyDescent="0.25">
      <c r="A52" s="19" t="str">
        <f>VLOOKUP(LEFT(M52,3),Category!$G$3:$H$73,2,0)</f>
        <v>AIR CONDITIONER</v>
      </c>
      <c r="B52" s="7" t="str">
        <f t="shared" si="2"/>
        <v>AH-A24ZCY</v>
      </c>
      <c r="C52" s="7" t="str">
        <f t="shared" si="3"/>
        <v>2.5 PK, 2.070 watt, Gold Fin On Evaporator, Turbo Mode, LED Display Temperature, Sleep Mode</v>
      </c>
      <c r="D52" s="25" t="str">
        <f t="shared" si="4"/>
        <v>2001-08-01</v>
      </c>
      <c r="E52" s="7">
        <f t="shared" si="5"/>
        <v>8741250</v>
      </c>
      <c r="F52" s="6">
        <f t="shared" si="6"/>
        <v>0</v>
      </c>
      <c r="G52" s="7" t="str">
        <f t="shared" si="7"/>
        <v/>
      </c>
      <c r="I52" s="23">
        <f t="shared" si="8"/>
        <v>2001</v>
      </c>
      <c r="J52" s="23" t="str">
        <f t="shared" si="9"/>
        <v>08</v>
      </c>
      <c r="K52" s="23" t="str">
        <f t="shared" si="10"/>
        <v>2001-08-01</v>
      </c>
      <c r="M52" s="11" t="s">
        <v>648</v>
      </c>
      <c r="N52" s="11" t="s">
        <v>729</v>
      </c>
      <c r="O52" s="9">
        <v>44774</v>
      </c>
      <c r="P52" s="13">
        <v>8741250</v>
      </c>
    </row>
    <row r="53" spans="1:16" x14ac:dyDescent="0.25">
      <c r="A53" s="19" t="str">
        <f>VLOOKUP(LEFT(M53,3),Category!$G$3:$H$73,2,0)</f>
        <v>AIR CONDITIONER</v>
      </c>
      <c r="B53" s="7" t="str">
        <f t="shared" si="2"/>
        <v>AH-A5SAY</v>
      </c>
      <c r="C53" s="7" t="str">
        <f t="shared" si="3"/>
        <v>0.5 PK (390 W), JetStream, Coanda, &amp; Comfort Mode</v>
      </c>
      <c r="D53" s="25" t="str">
        <f t="shared" si="4"/>
        <v>2017-12-01</v>
      </c>
      <c r="E53" s="7">
        <f t="shared" si="5"/>
        <v>3613050</v>
      </c>
      <c r="F53" s="6">
        <f t="shared" si="6"/>
        <v>0</v>
      </c>
      <c r="G53" s="7" t="str">
        <f t="shared" si="7"/>
        <v/>
      </c>
      <c r="I53" s="23">
        <f t="shared" si="8"/>
        <v>2017</v>
      </c>
      <c r="J53" s="23">
        <f t="shared" si="9"/>
        <v>12</v>
      </c>
      <c r="K53" s="23" t="str">
        <f t="shared" si="10"/>
        <v>2017-12-01</v>
      </c>
      <c r="M53" s="11" t="s">
        <v>5</v>
      </c>
      <c r="N53" s="11" t="s">
        <v>730</v>
      </c>
      <c r="O53" s="9">
        <v>43070</v>
      </c>
      <c r="P53" s="13">
        <v>3613050</v>
      </c>
    </row>
    <row r="54" spans="1:16" x14ac:dyDescent="0.25">
      <c r="A54" s="19" t="str">
        <f>VLOOKUP(LEFT(M54,3),Category!$G$3:$H$73,2,0)</f>
        <v>AIR CONDITIONER</v>
      </c>
      <c r="B54" s="7" t="str">
        <f t="shared" si="2"/>
        <v>AH-A5UCY</v>
      </c>
      <c r="C54" s="7" t="str">
        <f t="shared" si="3"/>
        <v>0.5 PK (350 Watt), Turbo Cool Mode, Interactive LED Display Panel, X-Fan Function, 10 Years Compressor Warranty</v>
      </c>
      <c r="D54" s="25" t="str">
        <f t="shared" si="4"/>
        <v>2017-06-01</v>
      </c>
      <c r="E54" s="7">
        <f t="shared" si="5"/>
        <v>3746250</v>
      </c>
      <c r="F54" s="6">
        <f t="shared" si="6"/>
        <v>0</v>
      </c>
      <c r="G54" s="7" t="str">
        <f t="shared" si="7"/>
        <v/>
      </c>
      <c r="I54" s="23">
        <f t="shared" si="8"/>
        <v>2017</v>
      </c>
      <c r="J54" s="23" t="str">
        <f t="shared" si="9"/>
        <v>06</v>
      </c>
      <c r="K54" s="23" t="str">
        <f t="shared" si="10"/>
        <v>2017-06-01</v>
      </c>
      <c r="M54" s="11" t="s">
        <v>323</v>
      </c>
      <c r="N54" s="11" t="s">
        <v>731</v>
      </c>
      <c r="O54" s="9">
        <v>42887</v>
      </c>
      <c r="P54" s="13">
        <v>3746250</v>
      </c>
    </row>
    <row r="55" spans="1:16" x14ac:dyDescent="0.25">
      <c r="A55" s="19" t="str">
        <f>VLOOKUP(LEFT(M55,3),Category!$G$3:$H$73,2,0)</f>
        <v>AIR CONDITIONER</v>
      </c>
      <c r="B55" s="7" t="str">
        <f t="shared" si="2"/>
        <v>AH-A5UCYN</v>
      </c>
      <c r="C55" s="7" t="str">
        <f t="shared" si="3"/>
        <v>0.5 PK (340 Watt), Turbo Cool Mode, Self Diagnosis,X-fan Function</v>
      </c>
      <c r="D55" s="25" t="str">
        <f t="shared" si="4"/>
        <v>2021-02-01</v>
      </c>
      <c r="E55" s="7">
        <f t="shared" si="5"/>
        <v>3793980</v>
      </c>
      <c r="F55" s="6">
        <f t="shared" si="6"/>
        <v>0</v>
      </c>
      <c r="G55" s="7" t="str">
        <f t="shared" si="7"/>
        <v/>
      </c>
      <c r="I55" s="23">
        <f t="shared" si="8"/>
        <v>2021</v>
      </c>
      <c r="J55" s="23" t="str">
        <f t="shared" si="9"/>
        <v>02</v>
      </c>
      <c r="K55" s="23" t="str">
        <f t="shared" si="10"/>
        <v>2021-02-01</v>
      </c>
      <c r="M55" s="11" t="s">
        <v>142</v>
      </c>
      <c r="N55" s="11" t="s">
        <v>732</v>
      </c>
      <c r="O55" s="9">
        <v>44228</v>
      </c>
      <c r="P55" s="13">
        <v>3793980</v>
      </c>
    </row>
    <row r="56" spans="1:16" x14ac:dyDescent="0.25">
      <c r="A56" s="19" t="str">
        <f>VLOOKUP(LEFT(M56,3),Category!$G$3:$H$73,2,0)</f>
        <v>AIR CONDITIONER</v>
      </c>
      <c r="B56" s="7" t="str">
        <f t="shared" si="2"/>
        <v>AH-A5UDL</v>
      </c>
      <c r="C56" s="7" t="str">
        <f t="shared" si="3"/>
        <v>0.5 PK, 330 Watt, Jetstream J60, Low Wattage &amp; Low Voltage, Coanda Airflow.</v>
      </c>
      <c r="D56" s="25" t="str">
        <f t="shared" si="4"/>
        <v>2017-02-01</v>
      </c>
      <c r="E56" s="7">
        <f t="shared" si="5"/>
        <v>4411140</v>
      </c>
      <c r="F56" s="6">
        <f t="shared" si="6"/>
        <v>0</v>
      </c>
      <c r="G56" s="7" t="str">
        <f t="shared" si="7"/>
        <v/>
      </c>
      <c r="I56" s="23">
        <f t="shared" si="8"/>
        <v>2017</v>
      </c>
      <c r="J56" s="23" t="str">
        <f t="shared" si="9"/>
        <v>02</v>
      </c>
      <c r="K56" s="23" t="str">
        <f t="shared" si="10"/>
        <v>2017-02-01</v>
      </c>
      <c r="M56" s="11" t="s">
        <v>129</v>
      </c>
      <c r="N56" s="11" t="s">
        <v>733</v>
      </c>
      <c r="O56" s="9">
        <v>42767</v>
      </c>
      <c r="P56" s="13">
        <v>4411140</v>
      </c>
    </row>
    <row r="57" spans="1:16" x14ac:dyDescent="0.25">
      <c r="A57" s="19" t="str">
        <f>VLOOKUP(LEFT(M57,3),Category!$G$3:$H$73,2,0)</f>
        <v>AIR CONDITIONER</v>
      </c>
      <c r="B57" s="7" t="str">
        <f t="shared" si="2"/>
        <v>AH-A5VEY</v>
      </c>
      <c r="C57" s="7" t="str">
        <f t="shared" si="3"/>
        <v>0.5 PK (350 Watt), Turbo Cool Mode, Interactive LED Display Panel, X-Fan Function, 10 Years Compressor Warranty</v>
      </c>
      <c r="D57" s="25" t="str">
        <f t="shared" si="4"/>
        <v>2017-09-01</v>
      </c>
      <c r="E57" s="7">
        <f t="shared" si="5"/>
        <v>3684090</v>
      </c>
      <c r="F57" s="6">
        <f t="shared" si="6"/>
        <v>0</v>
      </c>
      <c r="G57" s="7" t="str">
        <f t="shared" si="7"/>
        <v/>
      </c>
      <c r="I57" s="23">
        <f t="shared" si="8"/>
        <v>2017</v>
      </c>
      <c r="J57" s="23" t="str">
        <f t="shared" si="9"/>
        <v>09</v>
      </c>
      <c r="K57" s="23" t="str">
        <f t="shared" si="10"/>
        <v>2017-09-01</v>
      </c>
      <c r="M57" s="11" t="s">
        <v>3</v>
      </c>
      <c r="N57" s="11" t="s">
        <v>731</v>
      </c>
      <c r="O57" s="9">
        <v>42979</v>
      </c>
      <c r="P57" s="13">
        <v>3684090</v>
      </c>
    </row>
    <row r="58" spans="1:16" x14ac:dyDescent="0.25">
      <c r="A58" s="19" t="str">
        <f>VLOOKUP(LEFT(M58,3),Category!$G$3:$H$73,2,0)</f>
        <v>AIR CONDITIONER</v>
      </c>
      <c r="B58" s="7" t="str">
        <f t="shared" si="2"/>
        <v>AH-A5ZCY</v>
      </c>
      <c r="C58" s="7" t="str">
        <f t="shared" si="3"/>
        <v>0.5 PK, 344 watt, Gold Fin On Evaporator, Turbo Mode, LED Display Temperature, Sleep Mode</v>
      </c>
      <c r="D58" s="25" t="str">
        <f t="shared" si="4"/>
        <v>2001-08-01</v>
      </c>
      <c r="E58" s="7">
        <f t="shared" si="5"/>
        <v>3716280</v>
      </c>
      <c r="F58" s="6">
        <f t="shared" si="6"/>
        <v>0</v>
      </c>
      <c r="G58" s="7" t="str">
        <f t="shared" si="7"/>
        <v/>
      </c>
      <c r="I58" s="23">
        <f t="shared" si="8"/>
        <v>2001</v>
      </c>
      <c r="J58" s="23" t="str">
        <f t="shared" si="9"/>
        <v>08</v>
      </c>
      <c r="K58" s="23" t="str">
        <f t="shared" si="10"/>
        <v>2001-08-01</v>
      </c>
      <c r="M58" s="11" t="s">
        <v>649</v>
      </c>
      <c r="N58" s="11" t="s">
        <v>734</v>
      </c>
      <c r="O58" s="9">
        <v>44774</v>
      </c>
      <c r="P58" s="13">
        <v>3716280</v>
      </c>
    </row>
    <row r="59" spans="1:16" x14ac:dyDescent="0.25">
      <c r="A59" s="19" t="str">
        <f>VLOOKUP(LEFT(M59,3),Category!$G$3:$H$73,2,0)</f>
        <v>AIR CONDITIONER</v>
      </c>
      <c r="B59" s="7" t="str">
        <f t="shared" si="2"/>
        <v>AH-A5ZCYN</v>
      </c>
      <c r="C59" s="7" t="str">
        <f t="shared" si="3"/>
        <v>0.5 PK, 344 watt, Gold Fin On Evaporator &amp; Condensor, Turbo Mode, LED Display Temperature, Sleep Mode</v>
      </c>
      <c r="D59" s="25" t="str">
        <f t="shared" si="4"/>
        <v>2001-06-01</v>
      </c>
      <c r="E59" s="7">
        <f t="shared" si="5"/>
        <v>3716280</v>
      </c>
      <c r="F59" s="6">
        <f t="shared" si="6"/>
        <v>0</v>
      </c>
      <c r="G59" s="7" t="str">
        <f t="shared" si="7"/>
        <v/>
      </c>
      <c r="I59" s="23">
        <f t="shared" si="8"/>
        <v>2001</v>
      </c>
      <c r="J59" s="23" t="str">
        <f t="shared" si="9"/>
        <v>06</v>
      </c>
      <c r="K59" s="23" t="str">
        <f t="shared" si="10"/>
        <v>2001-06-01</v>
      </c>
      <c r="M59" s="11" t="s">
        <v>650</v>
      </c>
      <c r="N59" s="11" t="s">
        <v>735</v>
      </c>
      <c r="O59" s="9">
        <v>44713</v>
      </c>
      <c r="P59" s="13">
        <v>3716280</v>
      </c>
    </row>
    <row r="60" spans="1:16" x14ac:dyDescent="0.25">
      <c r="A60" s="19" t="str">
        <f>VLOOKUP(LEFT(M60,3),Category!$G$3:$H$73,2,0)</f>
        <v>AIR CONDITIONER</v>
      </c>
      <c r="B60" s="7" t="str">
        <f t="shared" si="2"/>
        <v>AH-A7SAY</v>
      </c>
      <c r="C60" s="7" t="str">
        <f t="shared" si="3"/>
        <v>0.75 PK (595 W), JetStream, Coanda, &amp; Comfort Mode</v>
      </c>
      <c r="D60" s="25" t="str">
        <f t="shared" si="4"/>
        <v>2017-12-01</v>
      </c>
      <c r="E60" s="7">
        <f t="shared" si="5"/>
        <v>3649680</v>
      </c>
      <c r="F60" s="6">
        <f t="shared" si="6"/>
        <v>0</v>
      </c>
      <c r="G60" s="7" t="str">
        <f t="shared" si="7"/>
        <v/>
      </c>
      <c r="I60" s="23">
        <f t="shared" si="8"/>
        <v>2017</v>
      </c>
      <c r="J60" s="23">
        <f t="shared" si="9"/>
        <v>12</v>
      </c>
      <c r="K60" s="23" t="str">
        <f t="shared" si="10"/>
        <v>2017-12-01</v>
      </c>
      <c r="M60" s="11" t="s">
        <v>499</v>
      </c>
      <c r="N60" s="11" t="s">
        <v>736</v>
      </c>
      <c r="O60" s="9">
        <v>43070</v>
      </c>
      <c r="P60" s="13">
        <v>3649680</v>
      </c>
    </row>
    <row r="61" spans="1:16" x14ac:dyDescent="0.25">
      <c r="A61" s="19" t="str">
        <f>VLOOKUP(LEFT(M61,3),Category!$G$3:$H$73,2,0)</f>
        <v>AIR CONDITIONER</v>
      </c>
      <c r="B61" s="7" t="str">
        <f t="shared" si="2"/>
        <v>AH-A7UCY</v>
      </c>
      <c r="C61" s="7" t="str">
        <f t="shared" si="3"/>
        <v xml:space="preserve"> 0.75 PK (560 Watt), Turbo Cool Mode, Interactive LED Display Panel, X-Fan Function, 10 Years Compressor Warranty</v>
      </c>
      <c r="D61" s="25" t="str">
        <f t="shared" si="4"/>
        <v>2017-06-01</v>
      </c>
      <c r="E61" s="7">
        <f t="shared" si="5"/>
        <v>3921630</v>
      </c>
      <c r="F61" s="6">
        <f t="shared" si="6"/>
        <v>0</v>
      </c>
      <c r="G61" s="7" t="str">
        <f t="shared" si="7"/>
        <v/>
      </c>
      <c r="I61" s="23">
        <f t="shared" si="8"/>
        <v>2017</v>
      </c>
      <c r="J61" s="23" t="str">
        <f t="shared" si="9"/>
        <v>06</v>
      </c>
      <c r="K61" s="23" t="str">
        <f t="shared" si="10"/>
        <v>2017-06-01</v>
      </c>
      <c r="M61" s="11" t="s">
        <v>324</v>
      </c>
      <c r="N61" s="11" t="s">
        <v>737</v>
      </c>
      <c r="O61" s="9">
        <v>42887</v>
      </c>
      <c r="P61" s="13">
        <v>3921630</v>
      </c>
    </row>
    <row r="62" spans="1:16" x14ac:dyDescent="0.25">
      <c r="A62" s="19" t="str">
        <f>VLOOKUP(LEFT(M62,3),Category!$G$3:$H$73,2,0)</f>
        <v>AIR CONDITIONER</v>
      </c>
      <c r="B62" s="7" t="str">
        <f t="shared" si="2"/>
        <v>AH-A7UCYN</v>
      </c>
      <c r="C62" s="7" t="str">
        <f t="shared" si="3"/>
        <v>0.75 PK (535 Watt), Turbo Cool Mode, Self Diagnosis,X-fan Function</v>
      </c>
      <c r="D62" s="25" t="str">
        <f t="shared" si="4"/>
        <v>2021-02-01</v>
      </c>
      <c r="E62" s="7">
        <f t="shared" si="5"/>
        <v>3921630</v>
      </c>
      <c r="F62" s="6">
        <f t="shared" si="6"/>
        <v>0</v>
      </c>
      <c r="G62" s="7" t="str">
        <f t="shared" si="7"/>
        <v/>
      </c>
      <c r="I62" s="23">
        <f t="shared" si="8"/>
        <v>2021</v>
      </c>
      <c r="J62" s="23" t="str">
        <f t="shared" si="9"/>
        <v>02</v>
      </c>
      <c r="K62" s="23" t="str">
        <f t="shared" si="10"/>
        <v>2021-02-01</v>
      </c>
      <c r="M62" s="11" t="s">
        <v>143</v>
      </c>
      <c r="N62" s="11" t="s">
        <v>738</v>
      </c>
      <c r="O62" s="9">
        <v>44228</v>
      </c>
      <c r="P62" s="13">
        <v>3921630</v>
      </c>
    </row>
    <row r="63" spans="1:16" x14ac:dyDescent="0.25">
      <c r="A63" s="19" t="str">
        <f>VLOOKUP(LEFT(M63,3),Category!$G$3:$H$73,2,0)</f>
        <v>AIR CONDITIONER</v>
      </c>
      <c r="B63" s="7" t="str">
        <f t="shared" si="2"/>
        <v>AH-A7UDL</v>
      </c>
      <c r="C63" s="7" t="str">
        <f t="shared" si="3"/>
        <v>0.75 PK, 540 Watt, Jetstream J60, Low Wattage &amp; Low Voltage, Coanda Airflow.</v>
      </c>
      <c r="D63" s="25" t="str">
        <f t="shared" si="4"/>
        <v>2017-02-01</v>
      </c>
      <c r="E63" s="7">
        <f t="shared" si="5"/>
        <v>4531020</v>
      </c>
      <c r="F63" s="6">
        <f t="shared" si="6"/>
        <v>0</v>
      </c>
      <c r="G63" s="7" t="str">
        <f t="shared" si="7"/>
        <v/>
      </c>
      <c r="I63" s="23">
        <f t="shared" si="8"/>
        <v>2017</v>
      </c>
      <c r="J63" s="23" t="str">
        <f t="shared" si="9"/>
        <v>02</v>
      </c>
      <c r="K63" s="23" t="str">
        <f t="shared" si="10"/>
        <v>2017-02-01</v>
      </c>
      <c r="M63" s="11" t="s">
        <v>130</v>
      </c>
      <c r="N63" s="11" t="s">
        <v>739</v>
      </c>
      <c r="O63" s="9">
        <v>42767</v>
      </c>
      <c r="P63" s="13">
        <v>4531020</v>
      </c>
    </row>
    <row r="64" spans="1:16" x14ac:dyDescent="0.25">
      <c r="A64" s="19" t="str">
        <f>VLOOKUP(LEFT(M64,3),Category!$G$3:$H$73,2,0)</f>
        <v>AIR CONDITIONER</v>
      </c>
      <c r="B64" s="7" t="str">
        <f t="shared" si="2"/>
        <v>AH-A7VEY</v>
      </c>
      <c r="C64" s="7" t="str">
        <f t="shared" si="3"/>
        <v xml:space="preserve"> 0.75 PK (560 Watt), Turbo Cool Mode, Interactive LED Display Panel, X-Fan Function, 10 Years Compressor Warranty</v>
      </c>
      <c r="D64" s="25" t="str">
        <f t="shared" si="4"/>
        <v>2017-09-01</v>
      </c>
      <c r="E64" s="7">
        <f t="shared" si="5"/>
        <v>3782880</v>
      </c>
      <c r="F64" s="6">
        <f t="shared" si="6"/>
        <v>0</v>
      </c>
      <c r="G64" s="7" t="str">
        <f t="shared" si="7"/>
        <v/>
      </c>
      <c r="I64" s="23">
        <f t="shared" si="8"/>
        <v>2017</v>
      </c>
      <c r="J64" s="23" t="str">
        <f t="shared" si="9"/>
        <v>09</v>
      </c>
      <c r="K64" s="23" t="str">
        <f t="shared" si="10"/>
        <v>2017-09-01</v>
      </c>
      <c r="M64" s="11" t="s">
        <v>2</v>
      </c>
      <c r="N64" s="11" t="s">
        <v>737</v>
      </c>
      <c r="O64" s="9">
        <v>42979</v>
      </c>
      <c r="P64" s="13">
        <v>3782880</v>
      </c>
    </row>
    <row r="65" spans="1:16" x14ac:dyDescent="0.25">
      <c r="A65" s="19" t="str">
        <f>VLOOKUP(LEFT(M65,3),Category!$G$3:$H$73,2,0)</f>
        <v>AIR CONDITIONER</v>
      </c>
      <c r="B65" s="7" t="str">
        <f t="shared" si="2"/>
        <v>AH-A9SAY</v>
      </c>
      <c r="C65" s="7" t="str">
        <f t="shared" si="3"/>
        <v>1 PK (800 W), JetStream,Coanda,Comfort Mode,Auto swing louver</v>
      </c>
      <c r="D65" s="25" t="str">
        <f t="shared" si="4"/>
        <v>2017-12-01</v>
      </c>
      <c r="E65" s="7">
        <f t="shared" si="5"/>
        <v>3933840</v>
      </c>
      <c r="F65" s="6">
        <f t="shared" si="6"/>
        <v>0</v>
      </c>
      <c r="G65" s="7" t="str">
        <f t="shared" si="7"/>
        <v/>
      </c>
      <c r="I65" s="23">
        <f t="shared" si="8"/>
        <v>2017</v>
      </c>
      <c r="J65" s="23">
        <f t="shared" si="9"/>
        <v>12</v>
      </c>
      <c r="K65" s="23" t="str">
        <f t="shared" si="10"/>
        <v>2017-12-01</v>
      </c>
      <c r="M65" s="11" t="s">
        <v>12</v>
      </c>
      <c r="N65" s="11" t="s">
        <v>740</v>
      </c>
      <c r="O65" s="9">
        <v>43070</v>
      </c>
      <c r="P65" s="13">
        <v>3933840</v>
      </c>
    </row>
    <row r="66" spans="1:16" x14ac:dyDescent="0.25">
      <c r="A66" s="19" t="str">
        <f>VLOOKUP(LEFT(M66,3),Category!$G$3:$H$73,2,0)</f>
        <v>AIR CONDITIONER</v>
      </c>
      <c r="B66" s="7" t="str">
        <f t="shared" si="2"/>
        <v>AH-A9UCY</v>
      </c>
      <c r="C66" s="7" t="str">
        <f t="shared" si="3"/>
        <v>1 PK (750 Watt), Turbo Cool Mode, Interactive LED Display Panel, X-Fan Function, 10 Years Compressor Warranty</v>
      </c>
      <c r="D66" s="25" t="str">
        <f t="shared" si="4"/>
        <v>2017-06-01</v>
      </c>
      <c r="E66" s="7">
        <f t="shared" si="5"/>
        <v>4079250</v>
      </c>
      <c r="F66" s="6">
        <f t="shared" si="6"/>
        <v>0</v>
      </c>
      <c r="G66" s="7" t="str">
        <f t="shared" si="7"/>
        <v/>
      </c>
      <c r="I66" s="23">
        <f t="shared" si="8"/>
        <v>2017</v>
      </c>
      <c r="J66" s="23" t="str">
        <f t="shared" si="9"/>
        <v>06</v>
      </c>
      <c r="K66" s="23" t="str">
        <f t="shared" si="10"/>
        <v>2017-06-01</v>
      </c>
      <c r="M66" s="11" t="s">
        <v>325</v>
      </c>
      <c r="N66" s="11" t="s">
        <v>741</v>
      </c>
      <c r="O66" s="9">
        <v>42887</v>
      </c>
      <c r="P66" s="13">
        <v>4079250</v>
      </c>
    </row>
    <row r="67" spans="1:16" x14ac:dyDescent="0.25">
      <c r="A67" s="19" t="str">
        <f>VLOOKUP(LEFT(M67,3),Category!$G$3:$H$73,2,0)</f>
        <v>AIR CONDITIONER</v>
      </c>
      <c r="B67" s="7" t="str">
        <f t="shared" si="2"/>
        <v>AH-A9UCYN</v>
      </c>
      <c r="C67" s="7" t="str">
        <f t="shared" si="3"/>
        <v>1 PK (730 Watt), Turbo Cool Mode, Self Diagnosis,X-fan Function</v>
      </c>
      <c r="D67" s="25" t="str">
        <f t="shared" si="4"/>
        <v>2021-02-01</v>
      </c>
      <c r="E67" s="7">
        <f t="shared" si="5"/>
        <v>4138080</v>
      </c>
      <c r="F67" s="6">
        <f t="shared" si="6"/>
        <v>0</v>
      </c>
      <c r="G67" s="7" t="str">
        <f t="shared" si="7"/>
        <v/>
      </c>
      <c r="I67" s="23">
        <f t="shared" si="8"/>
        <v>2021</v>
      </c>
      <c r="J67" s="23" t="str">
        <f t="shared" si="9"/>
        <v>02</v>
      </c>
      <c r="K67" s="23" t="str">
        <f t="shared" si="10"/>
        <v>2021-02-01</v>
      </c>
      <c r="M67" s="11" t="s">
        <v>144</v>
      </c>
      <c r="N67" s="11" t="s">
        <v>742</v>
      </c>
      <c r="O67" s="9">
        <v>44228</v>
      </c>
      <c r="P67" s="13">
        <v>4138080</v>
      </c>
    </row>
    <row r="68" spans="1:16" x14ac:dyDescent="0.25">
      <c r="A68" s="19" t="str">
        <f>VLOOKUP(LEFT(M68,3),Category!$G$3:$H$73,2,0)</f>
        <v>AIR CONDITIONER</v>
      </c>
      <c r="B68" s="7" t="str">
        <f t="shared" si="2"/>
        <v>AH-A9UDL</v>
      </c>
      <c r="C68" s="7" t="str">
        <f t="shared" si="3"/>
        <v xml:space="preserve">1 PK, 690 Watt, Jetstream J60, Low Wattage &amp; Low Voltage, Coanda Airflow </v>
      </c>
      <c r="D68" s="25" t="str">
        <f t="shared" si="4"/>
        <v>2017-02-01</v>
      </c>
      <c r="E68" s="7">
        <f t="shared" si="5"/>
        <v>4761900</v>
      </c>
      <c r="F68" s="6">
        <f t="shared" si="6"/>
        <v>0</v>
      </c>
      <c r="G68" s="7" t="str">
        <f t="shared" si="7"/>
        <v/>
      </c>
      <c r="I68" s="23">
        <f t="shared" si="8"/>
        <v>2017</v>
      </c>
      <c r="J68" s="23" t="str">
        <f t="shared" si="9"/>
        <v>02</v>
      </c>
      <c r="K68" s="23" t="str">
        <f t="shared" si="10"/>
        <v>2017-02-01</v>
      </c>
      <c r="M68" s="11" t="s">
        <v>131</v>
      </c>
      <c r="N68" s="11" t="s">
        <v>743</v>
      </c>
      <c r="O68" s="9">
        <v>42767</v>
      </c>
      <c r="P68" s="13">
        <v>4761900</v>
      </c>
    </row>
    <row r="69" spans="1:16" x14ac:dyDescent="0.25">
      <c r="A69" s="19" t="str">
        <f>VLOOKUP(LEFT(M69,3),Category!$G$3:$H$73,2,0)</f>
        <v>AIR CONDITIONER</v>
      </c>
      <c r="B69" s="7" t="str">
        <f t="shared" si="2"/>
        <v>AH-A9VEY</v>
      </c>
      <c r="C69" s="7" t="str">
        <f t="shared" si="3"/>
        <v>1 PK (750 Watt), Turbo Cool Mode, Interactive LED Display Panel, X-Fan Function, 10 Years Compressor Warranty</v>
      </c>
      <c r="D69" s="25" t="str">
        <f t="shared" si="4"/>
        <v>2017-09-01</v>
      </c>
      <c r="E69" s="7">
        <f t="shared" si="5"/>
        <v>3990450</v>
      </c>
      <c r="F69" s="6">
        <f t="shared" si="6"/>
        <v>0</v>
      </c>
      <c r="G69" s="7" t="str">
        <f t="shared" si="7"/>
        <v/>
      </c>
      <c r="I69" s="23">
        <f t="shared" si="8"/>
        <v>2017</v>
      </c>
      <c r="J69" s="23" t="str">
        <f t="shared" si="9"/>
        <v>09</v>
      </c>
      <c r="K69" s="23" t="str">
        <f t="shared" si="10"/>
        <v>2017-09-01</v>
      </c>
      <c r="M69" s="11" t="s">
        <v>1</v>
      </c>
      <c r="N69" s="11" t="s">
        <v>741</v>
      </c>
      <c r="O69" s="9">
        <v>42979</v>
      </c>
      <c r="P69" s="13">
        <v>3990450</v>
      </c>
    </row>
    <row r="70" spans="1:16" x14ac:dyDescent="0.25">
      <c r="A70" s="19" t="str">
        <f>VLOOKUP(LEFT(M70,3),Category!$G$3:$H$73,2,0)</f>
        <v>AIR CONDITIONER</v>
      </c>
      <c r="B70" s="7" t="str">
        <f t="shared" si="2"/>
        <v>AH-A9ZCY</v>
      </c>
      <c r="C70" s="7" t="str">
        <f t="shared" si="3"/>
        <v>1.0 PK, 765 watt, Gold Fin On Evaporator, Turbo Mode, LED Display Temperature, Sleep Mode</v>
      </c>
      <c r="D70" s="25" t="str">
        <f t="shared" si="4"/>
        <v>2001-08-01</v>
      </c>
      <c r="E70" s="7">
        <f t="shared" si="5"/>
        <v>4136970</v>
      </c>
      <c r="F70" s="6">
        <f t="shared" si="6"/>
        <v>0</v>
      </c>
      <c r="G70" s="7" t="str">
        <f t="shared" si="7"/>
        <v/>
      </c>
      <c r="I70" s="23">
        <f t="shared" si="8"/>
        <v>2001</v>
      </c>
      <c r="J70" s="23" t="str">
        <f t="shared" si="9"/>
        <v>08</v>
      </c>
      <c r="K70" s="23" t="str">
        <f t="shared" si="10"/>
        <v>2001-08-01</v>
      </c>
      <c r="M70" s="11" t="s">
        <v>651</v>
      </c>
      <c r="N70" s="11" t="s">
        <v>744</v>
      </c>
      <c r="O70" s="9">
        <v>44774</v>
      </c>
      <c r="P70" s="13">
        <v>4136970</v>
      </c>
    </row>
    <row r="71" spans="1:16" x14ac:dyDescent="0.25">
      <c r="A71" s="19" t="str">
        <f>VLOOKUP(LEFT(M71,3),Category!$G$3:$H$73,2,0)</f>
        <v>AIR CONDITIONER</v>
      </c>
      <c r="B71" s="7" t="str">
        <f t="shared" ref="B71:B134" si="11">UPPER(M71)</f>
        <v>AH-A9ZCYN</v>
      </c>
      <c r="C71" s="7" t="str">
        <f t="shared" ref="C71:C134" si="12">IF(OR(N71="",N71=0),"",N71)</f>
        <v>1.0 PK, 765 watt, Gold Fin On Evaporator &amp; Condensor, Turbo Mode, LED Display Temperature, Sleep Mode</v>
      </c>
      <c r="D71" s="25" t="str">
        <f t="shared" ref="D71:D134" si="13">IFERROR(K71,"")</f>
        <v>2001-06-01</v>
      </c>
      <c r="E71" s="7">
        <f t="shared" ref="E71:E134" si="14">P71</f>
        <v>4136970</v>
      </c>
      <c r="F71" s="6">
        <f t="shared" ref="F71:F134" si="15">IF(O71="DISC",1,0)</f>
        <v>0</v>
      </c>
      <c r="G71" s="7" t="str">
        <f t="shared" ref="G71:G134" si="16">IF(R71="","",R71)</f>
        <v/>
      </c>
      <c r="I71" s="23">
        <f t="shared" ref="I71:I134" si="17">IF(YEAR(O71)=2022,2000+DAY(O71),YEAR(O71))</f>
        <v>2001</v>
      </c>
      <c r="J71" s="23" t="str">
        <f t="shared" ref="J71:J134" si="18">IF(MONTH(O71)&lt;10,"0"&amp;MONTH(O71),MONTH(O71))</f>
        <v>06</v>
      </c>
      <c r="K71" s="23" t="str">
        <f t="shared" ref="K71:K134" si="19">I71&amp;"-"&amp;J71&amp;"-01"</f>
        <v>2001-06-01</v>
      </c>
      <c r="M71" s="11" t="s">
        <v>652</v>
      </c>
      <c r="N71" s="11" t="s">
        <v>745</v>
      </c>
      <c r="O71" s="9">
        <v>44713</v>
      </c>
      <c r="P71" s="13">
        <v>4136970</v>
      </c>
    </row>
    <row r="72" spans="1:16" x14ac:dyDescent="0.25">
      <c r="A72" s="19" t="str">
        <f>VLOOKUP(LEFT(M72,3),Category!$G$3:$H$73,2,0)</f>
        <v>AIR CONDITIONER</v>
      </c>
      <c r="B72" s="7" t="str">
        <f t="shared" si="11"/>
        <v>AH-AP12SSY</v>
      </c>
      <c r="C72" s="7" t="str">
        <f t="shared" si="12"/>
        <v>1.5 PK (1,090 W), Plasmacluster HD 7000, JetStream, Coanda, Baby Mode, Self Cleaning Mode, &amp; Comfort Mode</v>
      </c>
      <c r="D72" s="25" t="str">
        <f t="shared" si="13"/>
        <v>2015-02-01</v>
      </c>
      <c r="E72" s="7">
        <f t="shared" si="14"/>
        <v>6445770</v>
      </c>
      <c r="F72" s="6">
        <f t="shared" si="15"/>
        <v>0</v>
      </c>
      <c r="G72" s="7" t="str">
        <f t="shared" si="16"/>
        <v/>
      </c>
      <c r="I72" s="23">
        <f t="shared" si="17"/>
        <v>2015</v>
      </c>
      <c r="J72" s="23" t="str">
        <f t="shared" si="18"/>
        <v>02</v>
      </c>
      <c r="K72" s="23" t="str">
        <f t="shared" si="19"/>
        <v>2015-02-01</v>
      </c>
      <c r="M72" s="11" t="s">
        <v>127</v>
      </c>
      <c r="N72" s="11" t="s">
        <v>746</v>
      </c>
      <c r="O72" s="9">
        <v>42036</v>
      </c>
      <c r="P72" s="13">
        <v>6445770</v>
      </c>
    </row>
    <row r="73" spans="1:16" x14ac:dyDescent="0.25">
      <c r="A73" s="19" t="str">
        <f>VLOOKUP(LEFT(M73,3),Category!$G$3:$H$73,2,0)</f>
        <v>AIR CONDITIONER</v>
      </c>
      <c r="B73" s="7" t="str">
        <f t="shared" si="11"/>
        <v>AH-AP12UHL</v>
      </c>
      <c r="C73" s="7" t="str">
        <f t="shared" si="12"/>
        <v>1.5 PK, Low Wattage (970 Watt), Plasmacluster, JetStream G9 &amp; Baby Mode, Comfort Mode, Four Way Auto Swing, Self-Cleaning function</v>
      </c>
      <c r="D73" s="25" t="str">
        <f t="shared" si="13"/>
        <v>2017-06-01</v>
      </c>
      <c r="E73" s="7">
        <f t="shared" si="14"/>
        <v>6380280</v>
      </c>
      <c r="F73" s="6">
        <f t="shared" si="15"/>
        <v>0</v>
      </c>
      <c r="G73" s="7" t="str">
        <f t="shared" si="16"/>
        <v/>
      </c>
      <c r="I73" s="23">
        <f t="shared" si="17"/>
        <v>2017</v>
      </c>
      <c r="J73" s="23" t="str">
        <f t="shared" si="18"/>
        <v>06</v>
      </c>
      <c r="K73" s="23" t="str">
        <f t="shared" si="19"/>
        <v>2017-06-01</v>
      </c>
      <c r="M73" s="11" t="s">
        <v>326</v>
      </c>
      <c r="N73" s="11" t="s">
        <v>747</v>
      </c>
      <c r="O73" s="9">
        <v>42887</v>
      </c>
      <c r="P73" s="13">
        <v>6380280</v>
      </c>
    </row>
    <row r="74" spans="1:16" x14ac:dyDescent="0.25">
      <c r="A74" s="19" t="str">
        <f>VLOOKUP(LEFT(M74,3),Category!$G$3:$H$73,2,0)</f>
        <v>AIR CONDITIONER</v>
      </c>
      <c r="B74" s="7" t="str">
        <f t="shared" si="11"/>
        <v>AH-AP5SSY</v>
      </c>
      <c r="C74" s="7" t="str">
        <f t="shared" si="12"/>
        <v>0.5 PK (390 W), Plasmacluster HD 7000, JetStream, Coanda, Baby Mode, Self Cleaning Mode, &amp; Comfort Mode</v>
      </c>
      <c r="D74" s="25" t="str">
        <f t="shared" si="13"/>
        <v>2015-02-01</v>
      </c>
      <c r="E74" s="7">
        <f t="shared" si="14"/>
        <v>4332330</v>
      </c>
      <c r="F74" s="6">
        <f t="shared" si="15"/>
        <v>0</v>
      </c>
      <c r="G74" s="7" t="str">
        <f t="shared" si="16"/>
        <v/>
      </c>
      <c r="I74" s="23">
        <f t="shared" si="17"/>
        <v>2015</v>
      </c>
      <c r="J74" s="23" t="str">
        <f t="shared" si="18"/>
        <v>02</v>
      </c>
      <c r="K74" s="23" t="str">
        <f t="shared" si="19"/>
        <v>2015-02-01</v>
      </c>
      <c r="M74" s="11" t="s">
        <v>6</v>
      </c>
      <c r="N74" s="11" t="s">
        <v>748</v>
      </c>
      <c r="O74" s="9">
        <v>42036</v>
      </c>
      <c r="P74" s="13">
        <v>4332330</v>
      </c>
    </row>
    <row r="75" spans="1:16" x14ac:dyDescent="0.25">
      <c r="A75" s="19" t="str">
        <f>VLOOKUP(LEFT(M75,3),Category!$G$3:$H$73,2,0)</f>
        <v>AIR CONDITIONER</v>
      </c>
      <c r="B75" s="7" t="str">
        <f t="shared" si="11"/>
        <v>AH-AP5UHL</v>
      </c>
      <c r="C75" s="7" t="str">
        <f t="shared" si="12"/>
        <v xml:space="preserve">0.5 PK, Low Wattage (330 Watt), Plasmacluster, JetStream G9 &amp; Baby Mode, Comfort Mode, Four Way Auto Swing, Self-Cleaning function </v>
      </c>
      <c r="D75" s="25" t="str">
        <f t="shared" si="13"/>
        <v>2017-06-01</v>
      </c>
      <c r="E75" s="7">
        <f t="shared" si="14"/>
        <v>5013870</v>
      </c>
      <c r="F75" s="6">
        <f t="shared" si="15"/>
        <v>0</v>
      </c>
      <c r="G75" s="7" t="str">
        <f t="shared" si="16"/>
        <v/>
      </c>
      <c r="I75" s="23">
        <f t="shared" si="17"/>
        <v>2017</v>
      </c>
      <c r="J75" s="23" t="str">
        <f t="shared" si="18"/>
        <v>06</v>
      </c>
      <c r="K75" s="23" t="str">
        <f t="shared" si="19"/>
        <v>2017-06-01</v>
      </c>
      <c r="M75" s="11" t="s">
        <v>4</v>
      </c>
      <c r="N75" s="11" t="s">
        <v>749</v>
      </c>
      <c r="O75" s="9">
        <v>42887</v>
      </c>
      <c r="P75" s="13">
        <v>5013870</v>
      </c>
    </row>
    <row r="76" spans="1:16" x14ac:dyDescent="0.25">
      <c r="A76" s="19" t="str">
        <f>VLOOKUP(LEFT(M76,3),Category!$G$3:$H$73,2,0)</f>
        <v>AIR CONDITIONER</v>
      </c>
      <c r="B76" s="7" t="str">
        <f t="shared" si="11"/>
        <v>AH-AP7SSY</v>
      </c>
      <c r="C76" s="7" t="str">
        <f t="shared" si="12"/>
        <v>0.75 PK (595 W), Plasmacluster HD 7000, JetStream, Coanda, Baby Mode, Self Cleaning Mode, &amp; Comfort Mode</v>
      </c>
      <c r="D76" s="25" t="str">
        <f t="shared" si="13"/>
        <v>2015-02-01</v>
      </c>
      <c r="E76" s="7">
        <f t="shared" si="14"/>
        <v>4451100</v>
      </c>
      <c r="F76" s="6">
        <f t="shared" si="15"/>
        <v>0</v>
      </c>
      <c r="G76" s="7" t="str">
        <f t="shared" si="16"/>
        <v/>
      </c>
      <c r="I76" s="23">
        <f t="shared" si="17"/>
        <v>2015</v>
      </c>
      <c r="J76" s="23" t="str">
        <f t="shared" si="18"/>
        <v>02</v>
      </c>
      <c r="K76" s="23" t="str">
        <f t="shared" si="19"/>
        <v>2015-02-01</v>
      </c>
      <c r="M76" s="11" t="s">
        <v>9</v>
      </c>
      <c r="N76" s="11" t="s">
        <v>750</v>
      </c>
      <c r="O76" s="9">
        <v>42036</v>
      </c>
      <c r="P76" s="13">
        <v>4451100</v>
      </c>
    </row>
    <row r="77" spans="1:16" x14ac:dyDescent="0.25">
      <c r="A77" s="19" t="str">
        <f>VLOOKUP(LEFT(M77,3),Category!$G$3:$H$73,2,0)</f>
        <v>AIR CONDITIONER</v>
      </c>
      <c r="B77" s="7" t="str">
        <f t="shared" si="11"/>
        <v>AH-AP7UHL</v>
      </c>
      <c r="C77" s="7" t="str">
        <f t="shared" si="12"/>
        <v>0.75 PK, Low Wattage (540 Watt), Plasmacluster, JetStream G9 &amp; Baby Mode, Comfort Mode, Four Way Auto Swing, Self-Cleaning function</v>
      </c>
      <c r="D77" s="25" t="str">
        <f t="shared" si="13"/>
        <v>2017-06-01</v>
      </c>
      <c r="E77" s="7">
        <f t="shared" si="14"/>
        <v>5132640</v>
      </c>
      <c r="F77" s="6">
        <f t="shared" si="15"/>
        <v>0</v>
      </c>
      <c r="G77" s="7" t="str">
        <f t="shared" si="16"/>
        <v/>
      </c>
      <c r="I77" s="23">
        <f t="shared" si="17"/>
        <v>2017</v>
      </c>
      <c r="J77" s="23" t="str">
        <f t="shared" si="18"/>
        <v>06</v>
      </c>
      <c r="K77" s="23" t="str">
        <f t="shared" si="19"/>
        <v>2017-06-01</v>
      </c>
      <c r="M77" s="11" t="s">
        <v>327</v>
      </c>
      <c r="N77" s="11" t="s">
        <v>751</v>
      </c>
      <c r="O77" s="9">
        <v>42887</v>
      </c>
      <c r="P77" s="13">
        <v>5132640</v>
      </c>
    </row>
    <row r="78" spans="1:16" x14ac:dyDescent="0.25">
      <c r="A78" s="19" t="str">
        <f>VLOOKUP(LEFT(M78,3),Category!$G$3:$H$73,2,0)</f>
        <v>AIR CONDITIONER</v>
      </c>
      <c r="B78" s="7" t="str">
        <f t="shared" si="11"/>
        <v>AH-AP9SSY2</v>
      </c>
      <c r="C78" s="7" t="str">
        <f t="shared" si="12"/>
        <v>1 PK (800 W), Plasmacluster HD 7000, JetStream, Coanda, Baby Mode, Self Cleaning Mode, &amp; Comfort Mode</v>
      </c>
      <c r="D78" s="25" t="str">
        <f t="shared" si="13"/>
        <v>2016-09-01</v>
      </c>
      <c r="E78" s="7">
        <f t="shared" si="14"/>
        <v>4679760</v>
      </c>
      <c r="F78" s="6">
        <f t="shared" si="15"/>
        <v>0</v>
      </c>
      <c r="G78" s="7" t="str">
        <f t="shared" si="16"/>
        <v/>
      </c>
      <c r="I78" s="23">
        <f t="shared" si="17"/>
        <v>2016</v>
      </c>
      <c r="J78" s="23" t="str">
        <f t="shared" si="18"/>
        <v>09</v>
      </c>
      <c r="K78" s="23" t="str">
        <f t="shared" si="19"/>
        <v>2016-09-01</v>
      </c>
      <c r="M78" s="11" t="s">
        <v>10</v>
      </c>
      <c r="N78" s="11" t="s">
        <v>752</v>
      </c>
      <c r="O78" s="9">
        <v>42614</v>
      </c>
      <c r="P78" s="13">
        <v>4679760</v>
      </c>
    </row>
    <row r="79" spans="1:16" x14ac:dyDescent="0.25">
      <c r="A79" s="19" t="str">
        <f>VLOOKUP(LEFT(M79,3),Category!$G$3:$H$73,2,0)</f>
        <v>AIR CONDITIONER</v>
      </c>
      <c r="B79" s="7" t="str">
        <f t="shared" si="11"/>
        <v>AH-AP9UHL</v>
      </c>
      <c r="C79" s="7" t="str">
        <f t="shared" si="12"/>
        <v xml:space="preserve"> 1 PK, Low Wattage (690 Watt), Plasmacluster, JetStream G9 &amp; Baby Mode, Comfort Mode, Four Way Auto Swing, Self-Cleaning function</v>
      </c>
      <c r="D79" s="25" t="str">
        <f t="shared" si="13"/>
        <v>2017-06-01</v>
      </c>
      <c r="E79" s="7">
        <f t="shared" si="14"/>
        <v>5362410</v>
      </c>
      <c r="F79" s="6">
        <f t="shared" si="15"/>
        <v>0</v>
      </c>
      <c r="G79" s="7" t="str">
        <f t="shared" si="16"/>
        <v/>
      </c>
      <c r="I79" s="23">
        <f t="shared" si="17"/>
        <v>2017</v>
      </c>
      <c r="J79" s="23" t="str">
        <f t="shared" si="18"/>
        <v>06</v>
      </c>
      <c r="K79" s="23" t="str">
        <f t="shared" si="19"/>
        <v>2017-06-01</v>
      </c>
      <c r="M79" s="11" t="s">
        <v>8</v>
      </c>
      <c r="N79" s="11" t="s">
        <v>753</v>
      </c>
      <c r="O79" s="9">
        <v>42887</v>
      </c>
      <c r="P79" s="13">
        <v>5362410</v>
      </c>
    </row>
    <row r="80" spans="1:16" x14ac:dyDescent="0.25">
      <c r="A80" s="19" t="str">
        <f>VLOOKUP(LEFT(M80,3),Category!$G$3:$H$73,2,0)</f>
        <v>AIR CONDITIONER</v>
      </c>
      <c r="B80" s="7" t="str">
        <f t="shared" si="11"/>
        <v>AH-X10ZY</v>
      </c>
      <c r="C80" s="7" t="str">
        <f t="shared" si="12"/>
        <v>1 PK, 720 watt, Powerful Jet, Eco Mode, Baby Sleep Mode</v>
      </c>
      <c r="D80" s="25" t="str">
        <f t="shared" si="13"/>
        <v>2001-03-01</v>
      </c>
      <c r="E80" s="7">
        <f t="shared" si="14"/>
        <v>4484400</v>
      </c>
      <c r="F80" s="6">
        <f t="shared" si="15"/>
        <v>0</v>
      </c>
      <c r="G80" s="7" t="str">
        <f t="shared" si="16"/>
        <v/>
      </c>
      <c r="I80" s="23">
        <f t="shared" si="17"/>
        <v>2001</v>
      </c>
      <c r="J80" s="23" t="str">
        <f t="shared" si="18"/>
        <v>03</v>
      </c>
      <c r="K80" s="23" t="str">
        <f t="shared" si="19"/>
        <v>2001-03-01</v>
      </c>
      <c r="M80" s="11" t="s">
        <v>192</v>
      </c>
      <c r="N80" s="11" t="s">
        <v>754</v>
      </c>
      <c r="O80" s="9">
        <v>44621</v>
      </c>
      <c r="P80" s="13">
        <v>4484400</v>
      </c>
    </row>
    <row r="81" spans="1:16" x14ac:dyDescent="0.25">
      <c r="A81" s="19" t="str">
        <f>VLOOKUP(LEFT(M81,3),Category!$G$3:$H$73,2,0)</f>
        <v>AIR CONDITIONER</v>
      </c>
      <c r="B81" s="7" t="str">
        <f t="shared" si="11"/>
        <v>AH-X12VEY</v>
      </c>
      <c r="C81" s="7" t="str">
        <f t="shared" si="12"/>
        <v>1.5 PK, JetStream G9, Long airflow dengan teknologi coanda, Sleep Mode, 14 C setting</v>
      </c>
      <c r="D81" s="25" t="str">
        <f t="shared" si="13"/>
        <v>2018-04-01</v>
      </c>
      <c r="E81" s="7">
        <f t="shared" si="14"/>
        <v>6168270</v>
      </c>
      <c r="F81" s="6">
        <f t="shared" si="15"/>
        <v>0</v>
      </c>
      <c r="G81" s="7" t="str">
        <f t="shared" si="16"/>
        <v/>
      </c>
      <c r="I81" s="23">
        <f t="shared" si="17"/>
        <v>2018</v>
      </c>
      <c r="J81" s="23" t="str">
        <f t="shared" si="18"/>
        <v>04</v>
      </c>
      <c r="K81" s="23" t="str">
        <f t="shared" si="19"/>
        <v>2018-04-01</v>
      </c>
      <c r="M81" s="11" t="s">
        <v>208</v>
      </c>
      <c r="N81" s="11" t="s">
        <v>755</v>
      </c>
      <c r="O81" s="9">
        <v>43191</v>
      </c>
      <c r="P81" s="13">
        <v>6168270</v>
      </c>
    </row>
    <row r="82" spans="1:16" x14ac:dyDescent="0.25">
      <c r="A82" s="19" t="str">
        <f>VLOOKUP(LEFT(M82,3),Category!$G$3:$H$73,2,0)</f>
        <v>AIR CONDITIONER</v>
      </c>
      <c r="B82" s="7" t="str">
        <f t="shared" si="11"/>
        <v>AH-X13ZY</v>
      </c>
      <c r="C82" s="7" t="str">
        <f t="shared" si="12"/>
        <v>1.5 PK, 1,060 watt, Powerful Jet, Eco Mode, Baby Sleep Mode</v>
      </c>
      <c r="D82" s="25" t="str">
        <f t="shared" si="13"/>
        <v>2001-03-01</v>
      </c>
      <c r="E82" s="7">
        <f t="shared" si="14"/>
        <v>5061600</v>
      </c>
      <c r="F82" s="6">
        <f t="shared" si="15"/>
        <v>0</v>
      </c>
      <c r="G82" s="7" t="str">
        <f t="shared" si="16"/>
        <v/>
      </c>
      <c r="I82" s="23">
        <f t="shared" si="17"/>
        <v>2001</v>
      </c>
      <c r="J82" s="23" t="str">
        <f t="shared" si="18"/>
        <v>03</v>
      </c>
      <c r="K82" s="23" t="str">
        <f t="shared" si="19"/>
        <v>2001-03-01</v>
      </c>
      <c r="M82" s="11" t="s">
        <v>193</v>
      </c>
      <c r="N82" s="11" t="s">
        <v>756</v>
      </c>
      <c r="O82" s="9">
        <v>44621</v>
      </c>
      <c r="P82" s="13">
        <v>5061600</v>
      </c>
    </row>
    <row r="83" spans="1:16" x14ac:dyDescent="0.25">
      <c r="A83" s="19" t="str">
        <f>VLOOKUP(LEFT(M83,3),Category!$G$3:$H$73,2,0)</f>
        <v>AIR CONDITIONER</v>
      </c>
      <c r="B83" s="7" t="str">
        <f t="shared" si="11"/>
        <v>AH-X18VEY</v>
      </c>
      <c r="C83" s="7" t="str">
        <f t="shared" si="12"/>
        <v>2 PK, Super JetStream, Long airflow dengan teknologi coanda, Sleep Mode, 14 C setting</v>
      </c>
      <c r="D83" s="25" t="str">
        <f t="shared" si="13"/>
        <v>2018-04-01</v>
      </c>
      <c r="E83" s="7">
        <f t="shared" si="14"/>
        <v>10260840</v>
      </c>
      <c r="F83" s="6">
        <f t="shared" si="15"/>
        <v>0</v>
      </c>
      <c r="G83" s="7" t="str">
        <f t="shared" si="16"/>
        <v/>
      </c>
      <c r="I83" s="23">
        <f t="shared" si="17"/>
        <v>2018</v>
      </c>
      <c r="J83" s="23" t="str">
        <f t="shared" si="18"/>
        <v>04</v>
      </c>
      <c r="K83" s="23" t="str">
        <f t="shared" si="19"/>
        <v>2018-04-01</v>
      </c>
      <c r="M83" s="11" t="s">
        <v>209</v>
      </c>
      <c r="N83" s="11" t="s">
        <v>757</v>
      </c>
      <c r="O83" s="9">
        <v>43191</v>
      </c>
      <c r="P83" s="13">
        <v>10260840</v>
      </c>
    </row>
    <row r="84" spans="1:16" x14ac:dyDescent="0.25">
      <c r="A84" s="19" t="str">
        <f>VLOOKUP(LEFT(M84,3),Category!$G$3:$H$73,2,0)</f>
        <v>AIR CONDITIONER</v>
      </c>
      <c r="B84" s="7" t="str">
        <f t="shared" si="11"/>
        <v>AH-X18ZY</v>
      </c>
      <c r="C84" s="7" t="str">
        <f t="shared" si="12"/>
        <v>2 PK, 1, 640 watt, Powerful Jet, Eco Mode, Baby Sleep Mode</v>
      </c>
      <c r="D84" s="25" t="str">
        <f t="shared" si="13"/>
        <v>2001-03-01</v>
      </c>
      <c r="E84" s="7">
        <f t="shared" si="14"/>
        <v>8218440</v>
      </c>
      <c r="F84" s="6">
        <f t="shared" si="15"/>
        <v>0</v>
      </c>
      <c r="G84" s="7" t="str">
        <f t="shared" si="16"/>
        <v/>
      </c>
      <c r="I84" s="23">
        <f t="shared" si="17"/>
        <v>2001</v>
      </c>
      <c r="J84" s="23" t="str">
        <f t="shared" si="18"/>
        <v>03</v>
      </c>
      <c r="K84" s="23" t="str">
        <f t="shared" si="19"/>
        <v>2001-03-01</v>
      </c>
      <c r="M84" s="11" t="s">
        <v>194</v>
      </c>
      <c r="N84" s="11" t="s">
        <v>758</v>
      </c>
      <c r="O84" s="9">
        <v>44621</v>
      </c>
      <c r="P84" s="13">
        <v>8218440</v>
      </c>
    </row>
    <row r="85" spans="1:16" x14ac:dyDescent="0.25">
      <c r="A85" s="19" t="str">
        <f>VLOOKUP(LEFT(M85,3),Category!$G$3:$H$73,2,0)</f>
        <v>AIR CONDITIONER</v>
      </c>
      <c r="B85" s="7" t="str">
        <f t="shared" si="11"/>
        <v>AH-X6VEY</v>
      </c>
      <c r="C85" s="7" t="str">
        <f t="shared" si="12"/>
        <v>0.5 PK, JetStream G9, Long airflow dengan teknologi coanda, Sleep Mode, 14 C setting</v>
      </c>
      <c r="D85" s="25" t="str">
        <f t="shared" si="13"/>
        <v>2018-04-01</v>
      </c>
      <c r="E85" s="7">
        <f t="shared" si="14"/>
        <v>5004990</v>
      </c>
      <c r="F85" s="6">
        <f t="shared" si="15"/>
        <v>0</v>
      </c>
      <c r="G85" s="7" t="str">
        <f t="shared" si="16"/>
        <v/>
      </c>
      <c r="I85" s="23">
        <f t="shared" si="17"/>
        <v>2018</v>
      </c>
      <c r="J85" s="23" t="str">
        <f t="shared" si="18"/>
        <v>04</v>
      </c>
      <c r="K85" s="23" t="str">
        <f t="shared" si="19"/>
        <v>2018-04-01</v>
      </c>
      <c r="M85" s="11" t="s">
        <v>210</v>
      </c>
      <c r="N85" s="11" t="s">
        <v>759</v>
      </c>
      <c r="O85" s="9">
        <v>43191</v>
      </c>
      <c r="P85" s="13">
        <v>5004990</v>
      </c>
    </row>
    <row r="86" spans="1:16" x14ac:dyDescent="0.25">
      <c r="A86" s="19" t="str">
        <f>VLOOKUP(LEFT(M86,3),Category!$G$3:$H$73,2,0)</f>
        <v>AIR CONDITIONER</v>
      </c>
      <c r="B86" s="7" t="str">
        <f t="shared" si="11"/>
        <v>AH-X6ZY</v>
      </c>
      <c r="C86" s="7" t="str">
        <f t="shared" si="12"/>
        <v>0.5 PK, 380 watt, Powerful Jet, Eco Mode, Baby Sleep Mode</v>
      </c>
      <c r="D86" s="25" t="str">
        <f t="shared" si="13"/>
        <v>2001-03-01</v>
      </c>
      <c r="E86" s="7">
        <f t="shared" si="14"/>
        <v>4162500</v>
      </c>
      <c r="F86" s="6">
        <f t="shared" si="15"/>
        <v>0</v>
      </c>
      <c r="G86" s="7" t="str">
        <f t="shared" si="16"/>
        <v/>
      </c>
      <c r="I86" s="23">
        <f t="shared" si="17"/>
        <v>2001</v>
      </c>
      <c r="J86" s="23" t="str">
        <f t="shared" si="18"/>
        <v>03</v>
      </c>
      <c r="K86" s="23" t="str">
        <f t="shared" si="19"/>
        <v>2001-03-01</v>
      </c>
      <c r="M86" s="11" t="s">
        <v>7</v>
      </c>
      <c r="N86" s="11" t="s">
        <v>760</v>
      </c>
      <c r="O86" s="9">
        <v>44621</v>
      </c>
      <c r="P86" s="13">
        <v>4162500</v>
      </c>
    </row>
    <row r="87" spans="1:16" x14ac:dyDescent="0.25">
      <c r="A87" s="19" t="str">
        <f>VLOOKUP(LEFT(M87,3),Category!$G$3:$H$73,2,0)</f>
        <v>AIR CONDITIONER</v>
      </c>
      <c r="B87" s="7" t="str">
        <f t="shared" si="11"/>
        <v>AH-X9VEY</v>
      </c>
      <c r="C87" s="7" t="str">
        <f t="shared" si="12"/>
        <v>1 PK, JetStream G9, Long airflow dengan teknologi coanda, Sleep Mode, 14 C setting</v>
      </c>
      <c r="D87" s="25" t="str">
        <f t="shared" si="13"/>
        <v>2018-04-01</v>
      </c>
      <c r="E87" s="7">
        <f t="shared" si="14"/>
        <v>5319120</v>
      </c>
      <c r="F87" s="6">
        <f t="shared" si="15"/>
        <v>0</v>
      </c>
      <c r="G87" s="7" t="str">
        <f t="shared" si="16"/>
        <v/>
      </c>
      <c r="I87" s="23">
        <f t="shared" si="17"/>
        <v>2018</v>
      </c>
      <c r="J87" s="23" t="str">
        <f t="shared" si="18"/>
        <v>04</v>
      </c>
      <c r="K87" s="23" t="str">
        <f t="shared" si="19"/>
        <v>2018-04-01</v>
      </c>
      <c r="M87" s="11" t="s">
        <v>211</v>
      </c>
      <c r="N87" s="11" t="s">
        <v>761</v>
      </c>
      <c r="O87" s="9">
        <v>43191</v>
      </c>
      <c r="P87" s="13">
        <v>5319120</v>
      </c>
    </row>
    <row r="88" spans="1:16" x14ac:dyDescent="0.25">
      <c r="A88" s="19" t="str">
        <f>VLOOKUP(LEFT(M88,3),Category!$G$3:$H$73,2,0)</f>
        <v>AIR CONDITIONER</v>
      </c>
      <c r="B88" s="7" t="str">
        <f t="shared" si="11"/>
        <v>AH-XP10UHY</v>
      </c>
      <c r="C88" s="7" t="str">
        <f t="shared" si="12"/>
        <v xml:space="preserve"> 1 PK (695 Watt), W-Flex Louver, Dragonfly Wing Fan, Premium LED lighting, ECO mode, PCI HD 7000</v>
      </c>
      <c r="D88" s="25" t="str">
        <f t="shared" si="13"/>
        <v>2017-05-01</v>
      </c>
      <c r="E88" s="7">
        <f t="shared" si="14"/>
        <v>6842040</v>
      </c>
      <c r="F88" s="6">
        <f t="shared" si="15"/>
        <v>0</v>
      </c>
      <c r="G88" s="7" t="str">
        <f t="shared" si="16"/>
        <v/>
      </c>
      <c r="I88" s="23">
        <f t="shared" si="17"/>
        <v>2017</v>
      </c>
      <c r="J88" s="23" t="str">
        <f t="shared" si="18"/>
        <v>05</v>
      </c>
      <c r="K88" s="23" t="str">
        <f t="shared" si="19"/>
        <v>2017-05-01</v>
      </c>
      <c r="M88" s="11" t="s">
        <v>250</v>
      </c>
      <c r="N88" s="11" t="s">
        <v>762</v>
      </c>
      <c r="O88" s="9">
        <v>42856</v>
      </c>
      <c r="P88" s="13">
        <v>6842040</v>
      </c>
    </row>
    <row r="89" spans="1:16" x14ac:dyDescent="0.25">
      <c r="A89" s="19" t="str">
        <f>VLOOKUP(LEFT(M89,3),Category!$G$3:$H$73,2,0)</f>
        <v>AIR CONDITIONER</v>
      </c>
      <c r="B89" s="7" t="str">
        <f t="shared" si="11"/>
        <v>AH-XP10VXY</v>
      </c>
      <c r="C89" s="7" t="str">
        <f t="shared" si="12"/>
        <v>1 PK, Smart Operation dengan IOT, Plasmacluster, Dual long panel (140 mm) . ECO Aero system</v>
      </c>
      <c r="D89" s="25" t="str">
        <f t="shared" si="13"/>
        <v>2018-05-01</v>
      </c>
      <c r="E89" s="7">
        <f t="shared" si="14"/>
        <v>9657000</v>
      </c>
      <c r="F89" s="6">
        <f t="shared" si="15"/>
        <v>0</v>
      </c>
      <c r="G89" s="7" t="str">
        <f t="shared" si="16"/>
        <v/>
      </c>
      <c r="I89" s="23">
        <f t="shared" si="17"/>
        <v>2018</v>
      </c>
      <c r="J89" s="23" t="str">
        <f t="shared" si="18"/>
        <v>05</v>
      </c>
      <c r="K89" s="23" t="str">
        <f t="shared" si="19"/>
        <v>2018-05-01</v>
      </c>
      <c r="M89" s="11" t="s">
        <v>254</v>
      </c>
      <c r="N89" s="11" t="s">
        <v>763</v>
      </c>
      <c r="O89" s="9">
        <v>43221</v>
      </c>
      <c r="P89" s="13">
        <v>9657000</v>
      </c>
    </row>
    <row r="90" spans="1:16" x14ac:dyDescent="0.25">
      <c r="A90" s="19" t="str">
        <f>VLOOKUP(LEFT(M90,3),Category!$G$3:$H$73,2,0)</f>
        <v>AIR CONDITIONER</v>
      </c>
      <c r="B90" s="7" t="str">
        <f t="shared" si="11"/>
        <v>AH-XP10YHY</v>
      </c>
      <c r="C90" s="7" t="str">
        <f t="shared" si="12"/>
        <v>1 PK (780 W), Smart Operation dengan IOT, Plasmacluster, Motion Sensor . ECO Aero system</v>
      </c>
      <c r="D90" s="25" t="str">
        <f t="shared" si="13"/>
        <v>2021-08-01</v>
      </c>
      <c r="E90" s="7">
        <f t="shared" si="14"/>
        <v>6981900</v>
      </c>
      <c r="F90" s="6">
        <f t="shared" si="15"/>
        <v>0</v>
      </c>
      <c r="G90" s="7" t="str">
        <f t="shared" si="16"/>
        <v/>
      </c>
      <c r="I90" s="23">
        <f t="shared" si="17"/>
        <v>2021</v>
      </c>
      <c r="J90" s="23" t="str">
        <f t="shared" si="18"/>
        <v>08</v>
      </c>
      <c r="K90" s="23" t="str">
        <f t="shared" si="19"/>
        <v>2021-08-01</v>
      </c>
      <c r="M90" s="11" t="s">
        <v>412</v>
      </c>
      <c r="N90" s="11" t="s">
        <v>764</v>
      </c>
      <c r="O90" s="9">
        <v>44409</v>
      </c>
      <c r="P90" s="13">
        <v>6981900</v>
      </c>
    </row>
    <row r="91" spans="1:16" x14ac:dyDescent="0.25">
      <c r="A91" s="19" t="str">
        <f>VLOOKUP(LEFT(M91,3),Category!$G$3:$H$73,2,0)</f>
        <v>AIR CONDITIONER</v>
      </c>
      <c r="B91" s="7" t="str">
        <f t="shared" si="11"/>
        <v>AH-XP13VXY</v>
      </c>
      <c r="C91" s="7" t="str">
        <f t="shared" si="12"/>
        <v>1,5 PK, Smart Operation dengan IOT, Plasmacluster, Dual long panel (140 mm) . ECO Aero system</v>
      </c>
      <c r="D91" s="25" t="str">
        <f t="shared" si="13"/>
        <v>2018-05-01</v>
      </c>
      <c r="E91" s="7">
        <f t="shared" si="14"/>
        <v>10911300</v>
      </c>
      <c r="F91" s="6">
        <f t="shared" si="15"/>
        <v>0</v>
      </c>
      <c r="G91" s="7" t="str">
        <f t="shared" si="16"/>
        <v/>
      </c>
      <c r="I91" s="23">
        <f t="shared" si="17"/>
        <v>2018</v>
      </c>
      <c r="J91" s="23" t="str">
        <f t="shared" si="18"/>
        <v>05</v>
      </c>
      <c r="K91" s="23" t="str">
        <f t="shared" si="19"/>
        <v>2018-05-01</v>
      </c>
      <c r="M91" s="11" t="s">
        <v>255</v>
      </c>
      <c r="N91" s="11" t="s">
        <v>765</v>
      </c>
      <c r="O91" s="9">
        <v>43221</v>
      </c>
      <c r="P91" s="13">
        <v>10911300</v>
      </c>
    </row>
    <row r="92" spans="1:16" x14ac:dyDescent="0.25">
      <c r="A92" s="19" t="str">
        <f>VLOOKUP(LEFT(M92,3),Category!$G$3:$H$73,2,0)</f>
        <v>AIR CONDITIONER</v>
      </c>
      <c r="B92" s="7" t="str">
        <f t="shared" si="11"/>
        <v>AH-XP13YHY</v>
      </c>
      <c r="C92" s="7" t="str">
        <f t="shared" si="12"/>
        <v>1.5 PK (1,130 W), Smart Operation dengan IOT, Plasmacluster, Motion Sensor . ECO Aero system</v>
      </c>
      <c r="D92" s="25" t="str">
        <f t="shared" si="13"/>
        <v>2021-08-01</v>
      </c>
      <c r="E92" s="7">
        <f t="shared" si="14"/>
        <v>7958700</v>
      </c>
      <c r="F92" s="6">
        <f t="shared" si="15"/>
        <v>0</v>
      </c>
      <c r="G92" s="7" t="str">
        <f t="shared" si="16"/>
        <v/>
      </c>
      <c r="I92" s="23">
        <f t="shared" si="17"/>
        <v>2021</v>
      </c>
      <c r="J92" s="23" t="str">
        <f t="shared" si="18"/>
        <v>08</v>
      </c>
      <c r="K92" s="23" t="str">
        <f t="shared" si="19"/>
        <v>2021-08-01</v>
      </c>
      <c r="M92" s="11" t="s">
        <v>413</v>
      </c>
      <c r="N92" s="11" t="s">
        <v>766</v>
      </c>
      <c r="O92" s="9">
        <v>44409</v>
      </c>
      <c r="P92" s="13">
        <v>7958700</v>
      </c>
    </row>
    <row r="93" spans="1:16" x14ac:dyDescent="0.25">
      <c r="A93" s="19" t="str">
        <f>VLOOKUP(LEFT(M93,3),Category!$G$3:$H$73,2,0)</f>
        <v>AIR CONDITIONER</v>
      </c>
      <c r="B93" s="7" t="str">
        <f t="shared" si="11"/>
        <v>AH-XP6UHY</v>
      </c>
      <c r="C93" s="7" t="str">
        <f t="shared" si="12"/>
        <v>0.5 PK (360 Watt), W-Flex Louver, Dragonfly Wing Fan, Premium LED lighting, ECO mode, PCI HD 7000</v>
      </c>
      <c r="D93" s="25" t="str">
        <f t="shared" si="13"/>
        <v>2017-05-01</v>
      </c>
      <c r="E93" s="7">
        <f t="shared" si="14"/>
        <v>6052830</v>
      </c>
      <c r="F93" s="6">
        <f t="shared" si="15"/>
        <v>0</v>
      </c>
      <c r="G93" s="7" t="str">
        <f t="shared" si="16"/>
        <v/>
      </c>
      <c r="I93" s="23">
        <f t="shared" si="17"/>
        <v>2017</v>
      </c>
      <c r="J93" s="23" t="str">
        <f t="shared" si="18"/>
        <v>05</v>
      </c>
      <c r="K93" s="23" t="str">
        <f t="shared" si="19"/>
        <v>2017-05-01</v>
      </c>
      <c r="M93" s="11" t="s">
        <v>11</v>
      </c>
      <c r="N93" s="11" t="s">
        <v>767</v>
      </c>
      <c r="O93" s="9">
        <v>42856</v>
      </c>
      <c r="P93" s="13">
        <v>6052830</v>
      </c>
    </row>
    <row r="94" spans="1:16" x14ac:dyDescent="0.25">
      <c r="A94" s="19" t="str">
        <f>VLOOKUP(LEFT(M94,3),Category!$G$3:$H$73,2,0)</f>
        <v>AIR CONDITIONER</v>
      </c>
      <c r="B94" s="7" t="str">
        <f t="shared" si="11"/>
        <v>AH-XP6YHY</v>
      </c>
      <c r="C94" s="7" t="str">
        <f t="shared" si="12"/>
        <v>0.5 PK (370 W) , Smart Operation dengan IOT, Plasmacluster, Motion Sensor . ECO Aero system</v>
      </c>
      <c r="D94" s="25" t="str">
        <f t="shared" si="13"/>
        <v>2021-08-01</v>
      </c>
      <c r="E94" s="7">
        <f t="shared" si="14"/>
        <v>6293700</v>
      </c>
      <c r="F94" s="6">
        <f t="shared" si="15"/>
        <v>0</v>
      </c>
      <c r="G94" s="7" t="str">
        <f t="shared" si="16"/>
        <v/>
      </c>
      <c r="I94" s="23">
        <f t="shared" si="17"/>
        <v>2021</v>
      </c>
      <c r="J94" s="23" t="str">
        <f t="shared" si="18"/>
        <v>08</v>
      </c>
      <c r="K94" s="23" t="str">
        <f t="shared" si="19"/>
        <v>2021-08-01</v>
      </c>
      <c r="M94" s="11" t="s">
        <v>414</v>
      </c>
      <c r="N94" s="11" t="s">
        <v>768</v>
      </c>
      <c r="O94" s="9">
        <v>44409</v>
      </c>
      <c r="P94" s="13">
        <v>6293700</v>
      </c>
    </row>
    <row r="95" spans="1:16" x14ac:dyDescent="0.25">
      <c r="A95" s="19" t="str">
        <f>VLOOKUP(LEFT(M95,3),Category!$G$3:$H$73,2,0)</f>
        <v>AUDIO</v>
      </c>
      <c r="B95" s="7" t="str">
        <f t="shared" si="11"/>
        <v>AN-SS2(BK)</v>
      </c>
      <c r="C95" s="7" t="str">
        <f t="shared" si="12"/>
        <v>Sound partner,Ears free &amp; hands free,Bluetooth,Splash proof</v>
      </c>
      <c r="D95" s="25" t="str">
        <f t="shared" si="13"/>
        <v>2020-10-01</v>
      </c>
      <c r="E95" s="7">
        <f t="shared" si="14"/>
        <v>1247640</v>
      </c>
      <c r="F95" s="6">
        <f t="shared" si="15"/>
        <v>0</v>
      </c>
      <c r="G95" s="7" t="str">
        <f t="shared" si="16"/>
        <v/>
      </c>
      <c r="I95" s="23">
        <f t="shared" si="17"/>
        <v>2020</v>
      </c>
      <c r="J95" s="23">
        <f t="shared" si="18"/>
        <v>10</v>
      </c>
      <c r="K95" s="23" t="str">
        <f t="shared" si="19"/>
        <v>2020-10-01</v>
      </c>
      <c r="M95" s="11" t="s">
        <v>452</v>
      </c>
      <c r="N95" s="11" t="s">
        <v>769</v>
      </c>
      <c r="O95" s="9">
        <v>44105</v>
      </c>
      <c r="P95" s="13">
        <v>1247640</v>
      </c>
    </row>
    <row r="96" spans="1:16" x14ac:dyDescent="0.25">
      <c r="A96" s="19" t="str">
        <f>VLOOKUP(LEFT(M96,3),Category!$G$3:$H$73,2,0)</f>
        <v>AUDIO</v>
      </c>
      <c r="B96" s="7" t="str">
        <f t="shared" si="11"/>
        <v>AN-SS2(WH)</v>
      </c>
      <c r="C96" s="7" t="str">
        <f t="shared" si="12"/>
        <v>Sound partner,Ears free &amp; hands free,Bluetooth,Splash proof</v>
      </c>
      <c r="D96" s="25" t="str">
        <f t="shared" si="13"/>
        <v>2020-10-01</v>
      </c>
      <c r="E96" s="7">
        <f t="shared" si="14"/>
        <v>1247640</v>
      </c>
      <c r="F96" s="6">
        <f t="shared" si="15"/>
        <v>0</v>
      </c>
      <c r="G96" s="7" t="str">
        <f t="shared" si="16"/>
        <v/>
      </c>
      <c r="I96" s="23">
        <f t="shared" si="17"/>
        <v>2020</v>
      </c>
      <c r="J96" s="23">
        <f t="shared" si="18"/>
        <v>10</v>
      </c>
      <c r="K96" s="23" t="str">
        <f t="shared" si="19"/>
        <v>2020-10-01</v>
      </c>
      <c r="M96" s="11" t="s">
        <v>453</v>
      </c>
      <c r="N96" s="11" t="s">
        <v>769</v>
      </c>
      <c r="O96" s="9">
        <v>44105</v>
      </c>
      <c r="P96" s="13">
        <v>1247640</v>
      </c>
    </row>
    <row r="97" spans="1:16" x14ac:dyDescent="0.25">
      <c r="A97" s="19" t="str">
        <f>VLOOKUP(LEFT(M97,3),Category!$G$3:$H$73,2,0)</f>
        <v>AUDIO</v>
      </c>
      <c r="B97" s="7" t="str">
        <f t="shared" si="11"/>
        <v>AN-SS2M(BK)</v>
      </c>
      <c r="C97" s="7" t="str">
        <f t="shared" si="12"/>
        <v>Sound partner,Ears free &amp; hands free,Bluetooth,Splash proof</v>
      </c>
      <c r="D97" s="25" t="str">
        <f t="shared" si="13"/>
        <v>2020-10-01</v>
      </c>
      <c r="E97" s="7">
        <f t="shared" si="14"/>
        <v>909090</v>
      </c>
      <c r="F97" s="6">
        <f t="shared" si="15"/>
        <v>0</v>
      </c>
      <c r="G97" s="7" t="str">
        <f t="shared" si="16"/>
        <v/>
      </c>
      <c r="I97" s="23">
        <f t="shared" si="17"/>
        <v>2020</v>
      </c>
      <c r="J97" s="23">
        <f t="shared" si="18"/>
        <v>10</v>
      </c>
      <c r="K97" s="23" t="str">
        <f t="shared" si="19"/>
        <v>2020-10-01</v>
      </c>
      <c r="M97" s="11" t="s">
        <v>454</v>
      </c>
      <c r="N97" s="11" t="s">
        <v>769</v>
      </c>
      <c r="O97" s="9">
        <v>44105</v>
      </c>
      <c r="P97" s="13">
        <v>909090</v>
      </c>
    </row>
    <row r="98" spans="1:16" x14ac:dyDescent="0.25">
      <c r="A98" s="19" t="str">
        <f>VLOOKUP(LEFT(M98,3),Category!$G$3:$H$73,2,0)</f>
        <v>AUDIO</v>
      </c>
      <c r="B98" s="7" t="str">
        <f t="shared" si="11"/>
        <v>AN-SS2M(WH)</v>
      </c>
      <c r="C98" s="7" t="str">
        <f t="shared" si="12"/>
        <v>Sound partner,Ears free &amp; hands free,Bluetooth,Splash proof</v>
      </c>
      <c r="D98" s="25" t="str">
        <f t="shared" si="13"/>
        <v>2020-10-01</v>
      </c>
      <c r="E98" s="7">
        <f t="shared" si="14"/>
        <v>909090</v>
      </c>
      <c r="F98" s="6">
        <f t="shared" si="15"/>
        <v>0</v>
      </c>
      <c r="G98" s="7" t="str">
        <f t="shared" si="16"/>
        <v/>
      </c>
      <c r="I98" s="23">
        <f t="shared" si="17"/>
        <v>2020</v>
      </c>
      <c r="J98" s="23">
        <f t="shared" si="18"/>
        <v>10</v>
      </c>
      <c r="K98" s="23" t="str">
        <f t="shared" si="19"/>
        <v>2020-10-01</v>
      </c>
      <c r="M98" s="11" t="s">
        <v>455</v>
      </c>
      <c r="N98" s="11" t="s">
        <v>769</v>
      </c>
      <c r="O98" s="9">
        <v>44105</v>
      </c>
      <c r="P98" s="13">
        <v>909090</v>
      </c>
    </row>
    <row r="99" spans="1:16" x14ac:dyDescent="0.25">
      <c r="A99" s="19" t="e">
        <f>VLOOKUP(LEFT(M99,3),Category!$G$3:$H$73,2,0)</f>
        <v>#N/A</v>
      </c>
      <c r="B99" s="7" t="str">
        <f t="shared" si="11"/>
        <v>AS-AG1Y</v>
      </c>
      <c r="C99" s="7" t="str">
        <f t="shared" si="12"/>
        <v>AG ION HOSE</v>
      </c>
      <c r="D99" s="25" t="str">
        <f t="shared" si="13"/>
        <v>2001-09-01</v>
      </c>
      <c r="E99" s="7">
        <f t="shared" si="14"/>
        <v>537240</v>
      </c>
      <c r="F99" s="6">
        <f t="shared" si="15"/>
        <v>0</v>
      </c>
      <c r="G99" s="7" t="str">
        <f t="shared" si="16"/>
        <v/>
      </c>
      <c r="I99" s="23">
        <f t="shared" si="17"/>
        <v>2001</v>
      </c>
      <c r="J99" s="23" t="str">
        <f t="shared" si="18"/>
        <v>09</v>
      </c>
      <c r="K99" s="23" t="str">
        <f t="shared" si="19"/>
        <v>2001-09-01</v>
      </c>
      <c r="M99" s="11" t="s">
        <v>653</v>
      </c>
      <c r="N99" s="11" t="s">
        <v>770</v>
      </c>
      <c r="O99" s="9">
        <v>44805</v>
      </c>
      <c r="P99" s="13">
        <v>537240</v>
      </c>
    </row>
    <row r="100" spans="1:16" x14ac:dyDescent="0.25">
      <c r="A100" s="19" t="str">
        <f>VLOOKUP(LEFT(M100,3),Category!$G$3:$H$73,2,0)</f>
        <v>HEALSIO WATER OVEN</v>
      </c>
      <c r="B100" s="7" t="str">
        <f t="shared" si="11"/>
        <v>AX-1700IN(R)</v>
      </c>
      <c r="C100" s="7" t="str">
        <f t="shared" si="12"/>
        <v>Healsio Superheated Steam Oven, Inverter, 31L, 800W, Full Automatic Cooking Mode, Teknologi Superheated Steam hingga 250?C.</v>
      </c>
      <c r="D100" s="25" t="str">
        <f t="shared" si="13"/>
        <v>2019-11-01</v>
      </c>
      <c r="E100" s="7">
        <f t="shared" si="14"/>
        <v>9526020</v>
      </c>
      <c r="F100" s="6">
        <f t="shared" si="15"/>
        <v>0</v>
      </c>
      <c r="G100" s="7" t="str">
        <f t="shared" si="16"/>
        <v/>
      </c>
      <c r="I100" s="23">
        <f t="shared" si="17"/>
        <v>2019</v>
      </c>
      <c r="J100" s="23">
        <f t="shared" si="18"/>
        <v>11</v>
      </c>
      <c r="K100" s="23" t="str">
        <f t="shared" si="19"/>
        <v>2019-11-01</v>
      </c>
      <c r="M100" s="11" t="s">
        <v>484</v>
      </c>
      <c r="N100" s="11" t="s">
        <v>771</v>
      </c>
      <c r="O100" s="9">
        <v>43770</v>
      </c>
      <c r="P100" s="13">
        <v>9526020</v>
      </c>
    </row>
    <row r="101" spans="1:16" x14ac:dyDescent="0.25">
      <c r="A101" s="19" t="str">
        <f>VLOOKUP(LEFT(M101,3),Category!$G$3:$H$73,2,0)</f>
        <v>AUDIO</v>
      </c>
      <c r="B101" s="7" t="str">
        <f t="shared" si="11"/>
        <v>CBOX-1200UBL2</v>
      </c>
      <c r="C101" s="7" t="str">
        <f t="shared" si="12"/>
        <v>12"Big woofer,22.000W PMPO, USB, X-Bass, Magnetically shielded, karaoke function</v>
      </c>
      <c r="D101" s="25" t="str">
        <f t="shared" si="13"/>
        <v>2016-03-01</v>
      </c>
      <c r="E101" s="7">
        <f t="shared" si="14"/>
        <v>1618380</v>
      </c>
      <c r="F101" s="6">
        <f t="shared" si="15"/>
        <v>0</v>
      </c>
      <c r="G101" s="7" t="str">
        <f t="shared" si="16"/>
        <v/>
      </c>
      <c r="I101" s="23">
        <f t="shared" si="17"/>
        <v>2016</v>
      </c>
      <c r="J101" s="23" t="str">
        <f t="shared" si="18"/>
        <v>03</v>
      </c>
      <c r="K101" s="23" t="str">
        <f t="shared" si="19"/>
        <v>2016-03-01</v>
      </c>
      <c r="M101" s="11" t="s">
        <v>151</v>
      </c>
      <c r="N101" s="11" t="s">
        <v>772</v>
      </c>
      <c r="O101" s="9">
        <v>42430</v>
      </c>
      <c r="P101" s="13">
        <v>1618380</v>
      </c>
    </row>
    <row r="102" spans="1:16" x14ac:dyDescent="0.25">
      <c r="A102" s="19" t="str">
        <f>VLOOKUP(LEFT(M102,3),Category!$G$3:$H$73,2,0)</f>
        <v>AUDIO</v>
      </c>
      <c r="B102" s="7" t="str">
        <f t="shared" si="11"/>
        <v>CBOX-ART08UBO</v>
      </c>
      <c r="C102" s="7" t="str">
        <f t="shared" si="12"/>
        <v xml:space="preserve"> Art &amp; Sound 8", Bluetooth, USB, FM Radio, AUX</v>
      </c>
      <c r="D102" s="25" t="str">
        <f t="shared" si="13"/>
        <v>2018-10-01</v>
      </c>
      <c r="E102" s="7">
        <f t="shared" si="14"/>
        <v>1878120</v>
      </c>
      <c r="F102" s="6">
        <f t="shared" si="15"/>
        <v>0</v>
      </c>
      <c r="G102" s="7" t="str">
        <f t="shared" si="16"/>
        <v/>
      </c>
      <c r="I102" s="23">
        <f t="shared" si="17"/>
        <v>2018</v>
      </c>
      <c r="J102" s="23">
        <f t="shared" si="18"/>
        <v>10</v>
      </c>
      <c r="K102" s="23" t="str">
        <f t="shared" si="19"/>
        <v>2018-10-01</v>
      </c>
      <c r="M102" s="11" t="s">
        <v>448</v>
      </c>
      <c r="N102" s="11" t="s">
        <v>773</v>
      </c>
      <c r="O102" s="9">
        <v>43374</v>
      </c>
      <c r="P102" s="13">
        <v>1878120</v>
      </c>
    </row>
    <row r="103" spans="1:16" x14ac:dyDescent="0.25">
      <c r="A103" s="19" t="str">
        <f>VLOOKUP(LEFT(M103,3),Category!$G$3:$H$73,2,0)</f>
        <v>AUDIO</v>
      </c>
      <c r="B103" s="7" t="str">
        <f t="shared" si="11"/>
        <v>CBOX-ART10UBO</v>
      </c>
      <c r="C103" s="7" t="str">
        <f t="shared" si="12"/>
        <v xml:space="preserve"> Art &amp; Sound 10", Bluetooth, USB, FM Radio, AUX</v>
      </c>
      <c r="D103" s="25" t="str">
        <f t="shared" si="13"/>
        <v>2018-10-01</v>
      </c>
      <c r="E103" s="7">
        <f t="shared" si="14"/>
        <v>2047950</v>
      </c>
      <c r="F103" s="6">
        <f t="shared" si="15"/>
        <v>0</v>
      </c>
      <c r="G103" s="7" t="str">
        <f t="shared" si="16"/>
        <v/>
      </c>
      <c r="I103" s="23">
        <f t="shared" si="17"/>
        <v>2018</v>
      </c>
      <c r="J103" s="23">
        <f t="shared" si="18"/>
        <v>10</v>
      </c>
      <c r="K103" s="23" t="str">
        <f t="shared" si="19"/>
        <v>2018-10-01</v>
      </c>
      <c r="M103" s="11" t="s">
        <v>449</v>
      </c>
      <c r="N103" s="11" t="s">
        <v>774</v>
      </c>
      <c r="O103" s="9">
        <v>43374</v>
      </c>
      <c r="P103" s="13">
        <v>2047950</v>
      </c>
    </row>
    <row r="104" spans="1:16" x14ac:dyDescent="0.25">
      <c r="A104" s="19" t="str">
        <f>VLOOKUP(LEFT(M104,3),Category!$G$3:$H$73,2,0)</f>
        <v>AUDIO</v>
      </c>
      <c r="B104" s="7" t="str">
        <f t="shared" si="11"/>
        <v>CBOX-ASP250BL2</v>
      </c>
      <c r="C104" s="7" t="str">
        <f t="shared" si="12"/>
        <v>6" Woofer, 7500W PMPO, X-bass, Magnetically shielded, karaoke function</v>
      </c>
      <c r="D104" s="25" t="str">
        <f t="shared" si="13"/>
        <v>2016-03-01</v>
      </c>
      <c r="E104" s="7">
        <f t="shared" si="14"/>
        <v>445998</v>
      </c>
      <c r="F104" s="6">
        <f t="shared" si="15"/>
        <v>0</v>
      </c>
      <c r="G104" s="7" t="str">
        <f t="shared" si="16"/>
        <v/>
      </c>
      <c r="I104" s="23">
        <f t="shared" si="17"/>
        <v>2016</v>
      </c>
      <c r="J104" s="23" t="str">
        <f t="shared" si="18"/>
        <v>03</v>
      </c>
      <c r="K104" s="23" t="str">
        <f t="shared" si="19"/>
        <v>2016-03-01</v>
      </c>
      <c r="M104" s="11" t="s">
        <v>152</v>
      </c>
      <c r="N104" s="11" t="s">
        <v>775</v>
      </c>
      <c r="O104" s="9">
        <v>42430</v>
      </c>
      <c r="P104" s="13">
        <v>445998</v>
      </c>
    </row>
    <row r="105" spans="1:16" x14ac:dyDescent="0.25">
      <c r="A105" s="19" t="str">
        <f>VLOOKUP(LEFT(M105,3),Category!$G$3:$H$73,2,0)</f>
        <v>AUDIO</v>
      </c>
      <c r="B105" s="7" t="str">
        <f t="shared" si="11"/>
        <v>CBOX-ASP350BL2</v>
      </c>
      <c r="C105" s="7" t="str">
        <f t="shared" si="12"/>
        <v>6" Woofer, 8500W PMPO, X-bass, Magnetically shielded, karaoke function</v>
      </c>
      <c r="D105" s="25" t="str">
        <f t="shared" si="13"/>
        <v>2016-03-01</v>
      </c>
      <c r="E105" s="7">
        <f t="shared" si="14"/>
        <v>510489</v>
      </c>
      <c r="F105" s="6">
        <f t="shared" si="15"/>
        <v>0</v>
      </c>
      <c r="G105" s="7" t="str">
        <f t="shared" si="16"/>
        <v/>
      </c>
      <c r="I105" s="23">
        <f t="shared" si="17"/>
        <v>2016</v>
      </c>
      <c r="J105" s="23" t="str">
        <f t="shared" si="18"/>
        <v>03</v>
      </c>
      <c r="K105" s="23" t="str">
        <f t="shared" si="19"/>
        <v>2016-03-01</v>
      </c>
      <c r="M105" s="11" t="s">
        <v>153</v>
      </c>
      <c r="N105" s="11" t="s">
        <v>776</v>
      </c>
      <c r="O105" s="9">
        <v>42430</v>
      </c>
      <c r="P105" s="13">
        <v>510489</v>
      </c>
    </row>
    <row r="106" spans="1:16" x14ac:dyDescent="0.25">
      <c r="A106" s="19" t="str">
        <f>VLOOKUP(LEFT(M106,3),Category!$G$3:$H$73,2,0)</f>
        <v>AUDIO</v>
      </c>
      <c r="B106" s="7" t="str">
        <f t="shared" si="11"/>
        <v>CBOX-B625UBO</v>
      </c>
      <c r="C106" s="7" t="str">
        <f t="shared" si="12"/>
        <v>6" Woofer, 7500W PMPO, Bluetooth, USB, FM Radio, X-bass, karaoke function</v>
      </c>
      <c r="D106" s="25" t="str">
        <f t="shared" si="13"/>
        <v>2016-12-01</v>
      </c>
      <c r="E106" s="7">
        <f t="shared" si="14"/>
        <v>644910</v>
      </c>
      <c r="F106" s="6">
        <f t="shared" si="15"/>
        <v>0</v>
      </c>
      <c r="G106" s="7" t="str">
        <f t="shared" si="16"/>
        <v/>
      </c>
      <c r="I106" s="23">
        <f t="shared" si="17"/>
        <v>2016</v>
      </c>
      <c r="J106" s="23">
        <f t="shared" si="18"/>
        <v>12</v>
      </c>
      <c r="K106" s="23" t="str">
        <f t="shared" si="19"/>
        <v>2016-12-01</v>
      </c>
      <c r="M106" s="11" t="s">
        <v>494</v>
      </c>
      <c r="N106" s="11" t="s">
        <v>777</v>
      </c>
      <c r="O106" s="9">
        <v>42705</v>
      </c>
      <c r="P106" s="13">
        <v>644910</v>
      </c>
    </row>
    <row r="107" spans="1:16" x14ac:dyDescent="0.25">
      <c r="A107" s="19" t="str">
        <f>VLOOKUP(LEFT(M107,3),Category!$G$3:$H$73,2,0)</f>
        <v>AUDIO</v>
      </c>
      <c r="B107" s="7" t="str">
        <f t="shared" si="11"/>
        <v>CBOX-B635UBO</v>
      </c>
      <c r="C107" s="7" t="str">
        <f t="shared" si="12"/>
        <v>Tower 6" Woofer, 8500W PMPO, Bluetooth, USB, FM Radio, X-bass, karaoke function</v>
      </c>
      <c r="D107" s="25" t="str">
        <f t="shared" si="13"/>
        <v>2016-12-01</v>
      </c>
      <c r="E107" s="7">
        <f t="shared" si="14"/>
        <v>735930</v>
      </c>
      <c r="F107" s="6">
        <f t="shared" si="15"/>
        <v>0</v>
      </c>
      <c r="G107" s="7" t="str">
        <f t="shared" si="16"/>
        <v/>
      </c>
      <c r="I107" s="23">
        <f t="shared" si="17"/>
        <v>2016</v>
      </c>
      <c r="J107" s="23">
        <f t="shared" si="18"/>
        <v>12</v>
      </c>
      <c r="K107" s="23" t="str">
        <f t="shared" si="19"/>
        <v>2016-12-01</v>
      </c>
      <c r="M107" s="11" t="s">
        <v>495</v>
      </c>
      <c r="N107" s="11" t="s">
        <v>778</v>
      </c>
      <c r="O107" s="9">
        <v>42705</v>
      </c>
      <c r="P107" s="13">
        <v>735930</v>
      </c>
    </row>
    <row r="108" spans="1:16" x14ac:dyDescent="0.25">
      <c r="A108" s="19" t="str">
        <f>VLOOKUP(LEFT(M108,3),Category!$G$3:$H$73,2,0)</f>
        <v>AUDIO</v>
      </c>
      <c r="B108" s="7" t="str">
        <f t="shared" si="11"/>
        <v>CBOX-B655UBO</v>
      </c>
      <c r="C108" s="7" t="str">
        <f t="shared" si="12"/>
        <v>6" Woofer, 7500W PMPO, Bluetooth, USB, FM Radio, X-bass, karaoke function</v>
      </c>
      <c r="D108" s="25" t="str">
        <f t="shared" si="13"/>
        <v>2020-10-01</v>
      </c>
      <c r="E108" s="7">
        <f t="shared" si="14"/>
        <v>683760</v>
      </c>
      <c r="F108" s="6">
        <f t="shared" si="15"/>
        <v>0</v>
      </c>
      <c r="G108" s="7" t="str">
        <f t="shared" si="16"/>
        <v/>
      </c>
      <c r="I108" s="23">
        <f t="shared" si="17"/>
        <v>2020</v>
      </c>
      <c r="J108" s="23">
        <f t="shared" si="18"/>
        <v>10</v>
      </c>
      <c r="K108" s="23" t="str">
        <f t="shared" si="19"/>
        <v>2020-10-01</v>
      </c>
      <c r="M108" s="11" t="s">
        <v>456</v>
      </c>
      <c r="N108" s="11" t="s">
        <v>777</v>
      </c>
      <c r="O108" s="9">
        <v>44105</v>
      </c>
      <c r="P108" s="13">
        <v>683760</v>
      </c>
    </row>
    <row r="109" spans="1:16" x14ac:dyDescent="0.25">
      <c r="A109" s="19" t="str">
        <f>VLOOKUP(LEFT(M109,3),Category!$G$3:$H$73,2,0)</f>
        <v>AUDIO</v>
      </c>
      <c r="B109" s="7" t="str">
        <f t="shared" si="11"/>
        <v>CBOX-B805UBO2</v>
      </c>
      <c r="C109" s="7" t="str">
        <f t="shared" si="12"/>
        <v>8" Big Woofer, Wooden design, 16.000W PMPO, Bluetooth, USB, X-Bass, Magnetically Shielded, Karaoke Function</v>
      </c>
      <c r="D109" s="25" t="str">
        <f t="shared" si="13"/>
        <v>2016-03-01</v>
      </c>
      <c r="E109" s="7">
        <f t="shared" si="14"/>
        <v>1418580</v>
      </c>
      <c r="F109" s="6">
        <f t="shared" si="15"/>
        <v>0</v>
      </c>
      <c r="G109" s="7" t="str">
        <f t="shared" si="16"/>
        <v/>
      </c>
      <c r="I109" s="23">
        <f t="shared" si="17"/>
        <v>2016</v>
      </c>
      <c r="J109" s="23" t="str">
        <f t="shared" si="18"/>
        <v>03</v>
      </c>
      <c r="K109" s="23" t="str">
        <f t="shared" si="19"/>
        <v>2016-03-01</v>
      </c>
      <c r="M109" s="11" t="s">
        <v>154</v>
      </c>
      <c r="N109" s="11" t="s">
        <v>779</v>
      </c>
      <c r="O109" s="9">
        <v>42430</v>
      </c>
      <c r="P109" s="13">
        <v>1418580</v>
      </c>
    </row>
    <row r="110" spans="1:16" x14ac:dyDescent="0.25">
      <c r="A110" s="19" t="str">
        <f>VLOOKUP(LEFT(M110,3),Category!$G$3:$H$73,2,0)</f>
        <v>AUDIO</v>
      </c>
      <c r="B110" s="7" t="str">
        <f t="shared" si="11"/>
        <v>CBOX-B808UBO2</v>
      </c>
      <c r="C110" s="7" t="str">
        <f t="shared" si="12"/>
        <v>8' Big woofer, 18.000 PMPO, Bluetooth, USB, X-Bass, Magnetically Shielded, Karaoke Function</v>
      </c>
      <c r="D110" s="25" t="str">
        <f t="shared" si="13"/>
        <v>2016-03-01</v>
      </c>
      <c r="E110" s="7">
        <f t="shared" si="14"/>
        <v>1377510</v>
      </c>
      <c r="F110" s="6">
        <f t="shared" si="15"/>
        <v>0</v>
      </c>
      <c r="G110" s="7" t="str">
        <f t="shared" si="16"/>
        <v/>
      </c>
      <c r="I110" s="23">
        <f t="shared" si="17"/>
        <v>2016</v>
      </c>
      <c r="J110" s="23" t="str">
        <f t="shared" si="18"/>
        <v>03</v>
      </c>
      <c r="K110" s="23" t="str">
        <f t="shared" si="19"/>
        <v>2016-03-01</v>
      </c>
      <c r="M110" s="11" t="s">
        <v>155</v>
      </c>
      <c r="N110" s="11" t="s">
        <v>780</v>
      </c>
      <c r="O110" s="9">
        <v>42430</v>
      </c>
      <c r="P110" s="13">
        <v>1377510</v>
      </c>
    </row>
    <row r="111" spans="1:16" x14ac:dyDescent="0.25">
      <c r="A111" s="19" t="str">
        <f>VLOOKUP(LEFT(M111,3),Category!$G$3:$H$73,2,0)</f>
        <v>AUDIO</v>
      </c>
      <c r="B111" s="7" t="str">
        <f t="shared" si="11"/>
        <v>CBOX-B880UBL2</v>
      </c>
      <c r="C111" s="7" t="str">
        <f t="shared" si="12"/>
        <v>8" Double Woofer, 20.000W PMPO, Bluetoth, USB, X-Bass, Magnetically Shielded, Karaoke Function</v>
      </c>
      <c r="D111" s="25" t="str">
        <f t="shared" si="13"/>
        <v>2016-03-01</v>
      </c>
      <c r="E111" s="7">
        <f t="shared" si="14"/>
        <v>1738260</v>
      </c>
      <c r="F111" s="6">
        <f t="shared" si="15"/>
        <v>0</v>
      </c>
      <c r="G111" s="7" t="str">
        <f t="shared" si="16"/>
        <v/>
      </c>
      <c r="I111" s="23">
        <f t="shared" si="17"/>
        <v>2016</v>
      </c>
      <c r="J111" s="23" t="str">
        <f t="shared" si="18"/>
        <v>03</v>
      </c>
      <c r="K111" s="23" t="str">
        <f t="shared" si="19"/>
        <v>2016-03-01</v>
      </c>
      <c r="M111" s="11" t="s">
        <v>156</v>
      </c>
      <c r="N111" s="11" t="s">
        <v>781</v>
      </c>
      <c r="O111" s="9">
        <v>42430</v>
      </c>
      <c r="P111" s="13">
        <v>1738260</v>
      </c>
    </row>
    <row r="112" spans="1:16" x14ac:dyDescent="0.25">
      <c r="A112" s="19" t="str">
        <f>VLOOKUP(LEFT(M112,3),Category!$G$3:$H$73,2,0)</f>
        <v>AUDIO</v>
      </c>
      <c r="B112" s="7" t="str">
        <f t="shared" si="11"/>
        <v>CBOX-D1280CB</v>
      </c>
      <c r="C112" s="7" t="str">
        <f t="shared" si="12"/>
        <v>12" Big woofer, 2x50 Watt RMS, Digital Sound Engine with Digital Equalizer, Bluetooth, USB,  2 Mic with Echo</v>
      </c>
      <c r="D112" s="25" t="str">
        <f t="shared" si="13"/>
        <v>2021-04-01</v>
      </c>
      <c r="E112" s="7">
        <f t="shared" si="14"/>
        <v>2373180</v>
      </c>
      <c r="F112" s="6">
        <f t="shared" si="15"/>
        <v>0</v>
      </c>
      <c r="G112" s="7" t="str">
        <f t="shared" si="16"/>
        <v/>
      </c>
      <c r="I112" s="23">
        <f t="shared" si="17"/>
        <v>2021</v>
      </c>
      <c r="J112" s="23" t="str">
        <f t="shared" si="18"/>
        <v>04</v>
      </c>
      <c r="K112" s="23" t="str">
        <f t="shared" si="19"/>
        <v>2021-04-01</v>
      </c>
      <c r="M112" s="11" t="s">
        <v>228</v>
      </c>
      <c r="N112" s="11" t="s">
        <v>782</v>
      </c>
      <c r="O112" s="9">
        <v>44287</v>
      </c>
      <c r="P112" s="13">
        <v>2373180</v>
      </c>
    </row>
    <row r="113" spans="1:16" x14ac:dyDescent="0.25">
      <c r="A113" s="19" t="str">
        <f>VLOOKUP(LEFT(M113,3),Category!$G$3:$H$73,2,0)</f>
        <v>AUDIO</v>
      </c>
      <c r="B113" s="7" t="str">
        <f t="shared" si="11"/>
        <v>CBOX-D608WR</v>
      </c>
      <c r="C113" s="7" t="str">
        <f t="shared" si="12"/>
        <v>8" Woofer, Digital Sound Engine with Digital Equalizer, 2x20 Watt RMS, Bluetooth, USB, 2 Mic with Echo</v>
      </c>
      <c r="D113" s="25" t="str">
        <f t="shared" si="13"/>
        <v>2021-04-01</v>
      </c>
      <c r="E113" s="7">
        <f t="shared" si="14"/>
        <v>798201</v>
      </c>
      <c r="F113" s="6">
        <f t="shared" si="15"/>
        <v>0</v>
      </c>
      <c r="G113" s="7" t="str">
        <f t="shared" si="16"/>
        <v/>
      </c>
      <c r="I113" s="23">
        <f t="shared" si="17"/>
        <v>2021</v>
      </c>
      <c r="J113" s="23" t="str">
        <f t="shared" si="18"/>
        <v>04</v>
      </c>
      <c r="K113" s="23" t="str">
        <f t="shared" si="19"/>
        <v>2021-04-01</v>
      </c>
      <c r="M113" s="11" t="s">
        <v>229</v>
      </c>
      <c r="N113" s="11" t="s">
        <v>783</v>
      </c>
      <c r="O113" s="9">
        <v>44287</v>
      </c>
      <c r="P113" s="13">
        <v>798201</v>
      </c>
    </row>
    <row r="114" spans="1:16" x14ac:dyDescent="0.25">
      <c r="A114" s="19" t="str">
        <f>VLOOKUP(LEFT(M114,3),Category!$G$3:$H$73,2,0)</f>
        <v>AUDIO</v>
      </c>
      <c r="B114" s="7" t="str">
        <f t="shared" si="11"/>
        <v>CBOX-D805WR</v>
      </c>
      <c r="C114" s="7" t="str">
        <f t="shared" si="12"/>
        <v>8" Woofer, Digital Sound Engine with Digital Equalizer, 3-Way Speaker, 2x50 Watt RMS, Bluetooth, USB, 2 Mic with Echo</v>
      </c>
      <c r="D114" s="25" t="str">
        <f t="shared" si="13"/>
        <v>2021-04-01</v>
      </c>
      <c r="E114" s="7">
        <f t="shared" si="14"/>
        <v>1627260</v>
      </c>
      <c r="F114" s="6">
        <f t="shared" si="15"/>
        <v>0</v>
      </c>
      <c r="G114" s="7" t="str">
        <f t="shared" si="16"/>
        <v/>
      </c>
      <c r="I114" s="23">
        <f t="shared" si="17"/>
        <v>2021</v>
      </c>
      <c r="J114" s="23" t="str">
        <f t="shared" si="18"/>
        <v>04</v>
      </c>
      <c r="K114" s="23" t="str">
        <f t="shared" si="19"/>
        <v>2021-04-01</v>
      </c>
      <c r="M114" s="11" t="s">
        <v>230</v>
      </c>
      <c r="N114" s="11" t="s">
        <v>784</v>
      </c>
      <c r="O114" s="9">
        <v>44287</v>
      </c>
      <c r="P114" s="13">
        <v>1627260</v>
      </c>
    </row>
    <row r="115" spans="1:16" x14ac:dyDescent="0.25">
      <c r="A115" s="19" t="str">
        <f>VLOOKUP(LEFT(M115,3),Category!$G$3:$H$73,2,0)</f>
        <v>AUDIO</v>
      </c>
      <c r="B115" s="7" t="str">
        <f t="shared" si="11"/>
        <v>CBOX-D808XWB</v>
      </c>
      <c r="C115" s="7" t="str">
        <f t="shared" si="12"/>
        <v>8" Woofer, Digital Sound Engine with Digital Equalizer, 3-Way Speaker, 2x50 Watt RMS, Bluetooth, USB, 2 Mic with Echo</v>
      </c>
      <c r="D115" s="25" t="str">
        <f t="shared" si="13"/>
        <v>2021-04-01</v>
      </c>
      <c r="E115" s="7">
        <f t="shared" si="14"/>
        <v>2062824</v>
      </c>
      <c r="F115" s="6">
        <f t="shared" si="15"/>
        <v>0</v>
      </c>
      <c r="G115" s="7" t="str">
        <f t="shared" si="16"/>
        <v/>
      </c>
      <c r="I115" s="23">
        <f t="shared" si="17"/>
        <v>2021</v>
      </c>
      <c r="J115" s="23" t="str">
        <f t="shared" si="18"/>
        <v>04</v>
      </c>
      <c r="K115" s="23" t="str">
        <f t="shared" si="19"/>
        <v>2021-04-01</v>
      </c>
      <c r="M115" s="11" t="s">
        <v>231</v>
      </c>
      <c r="N115" s="11" t="s">
        <v>784</v>
      </c>
      <c r="O115" s="9">
        <v>44287</v>
      </c>
      <c r="P115" s="13">
        <v>2062824</v>
      </c>
    </row>
    <row r="116" spans="1:16" x14ac:dyDescent="0.25">
      <c r="A116" s="19" t="str">
        <f>VLOOKUP(LEFT(M116,3),Category!$G$3:$H$73,2,0)</f>
        <v>AUDIO</v>
      </c>
      <c r="B116" s="7" t="str">
        <f t="shared" si="11"/>
        <v>CBOX-D888WB</v>
      </c>
      <c r="C116" s="7" t="str">
        <f t="shared" si="12"/>
        <v>Double 8" Woofer, Digital Sound Engine with Digital Equalizer, 2x50 Watt RMS, Bluetooth, USB, 2 Mic with Echo</v>
      </c>
      <c r="D116" s="25" t="str">
        <f t="shared" si="13"/>
        <v>2021-04-01</v>
      </c>
      <c r="E116" s="7">
        <f t="shared" si="14"/>
        <v>1863579</v>
      </c>
      <c r="F116" s="6">
        <f t="shared" si="15"/>
        <v>0</v>
      </c>
      <c r="G116" s="7" t="str">
        <f t="shared" si="16"/>
        <v/>
      </c>
      <c r="I116" s="23">
        <f t="shared" si="17"/>
        <v>2021</v>
      </c>
      <c r="J116" s="23" t="str">
        <f t="shared" si="18"/>
        <v>04</v>
      </c>
      <c r="K116" s="23" t="str">
        <f t="shared" si="19"/>
        <v>2021-04-01</v>
      </c>
      <c r="M116" s="11" t="s">
        <v>232</v>
      </c>
      <c r="N116" s="11" t="s">
        <v>785</v>
      </c>
      <c r="O116" s="9">
        <v>44287</v>
      </c>
      <c r="P116" s="13">
        <v>1863579</v>
      </c>
    </row>
    <row r="117" spans="1:16" x14ac:dyDescent="0.25">
      <c r="A117" s="19" t="str">
        <f>VLOOKUP(LEFT(M117,3),Category!$G$3:$H$73,2,0)</f>
        <v>AUDIO</v>
      </c>
      <c r="B117" s="7" t="str">
        <f t="shared" si="11"/>
        <v>CBOX-D988CB</v>
      </c>
      <c r="C117" s="7" t="str">
        <f t="shared" si="12"/>
        <v>Double 8" Woofer, Digital Sound Engine with Digital Equalizer, 3-Way Speaker, 2x50 Watt RMS, Bluetooth, USB, 2 Mic with Echo</v>
      </c>
      <c r="D117" s="25" t="str">
        <f t="shared" si="13"/>
        <v>2021-04-01</v>
      </c>
      <c r="E117" s="7">
        <f t="shared" si="14"/>
        <v>2212230</v>
      </c>
      <c r="F117" s="6">
        <f t="shared" si="15"/>
        <v>0</v>
      </c>
      <c r="G117" s="7" t="str">
        <f t="shared" si="16"/>
        <v/>
      </c>
      <c r="I117" s="23">
        <f t="shared" si="17"/>
        <v>2021</v>
      </c>
      <c r="J117" s="23" t="str">
        <f t="shared" si="18"/>
        <v>04</v>
      </c>
      <c r="K117" s="23" t="str">
        <f t="shared" si="19"/>
        <v>2021-04-01</v>
      </c>
      <c r="M117" s="11" t="s">
        <v>233</v>
      </c>
      <c r="N117" s="11" t="s">
        <v>786</v>
      </c>
      <c r="O117" s="9">
        <v>44287</v>
      </c>
      <c r="P117" s="13">
        <v>2212230</v>
      </c>
    </row>
    <row r="118" spans="1:16" x14ac:dyDescent="0.25">
      <c r="A118" s="19" t="str">
        <f>VLOOKUP(LEFT(M118,3),Category!$G$3:$H$73,2,0)</f>
        <v>AUDIO</v>
      </c>
      <c r="B118" s="7" t="str">
        <f t="shared" si="11"/>
        <v>CBOX-DHB08WB</v>
      </c>
      <c r="C118" s="7" t="str">
        <f t="shared" si="12"/>
        <v>Hi-Beat Series 8", Stereo in One Box System, Digital Sound Engine with Digital Equalizer, Bluetooth, USB,  2 Mic with Echo</v>
      </c>
      <c r="D118" s="25" t="str">
        <f t="shared" si="13"/>
        <v>2021-04-01</v>
      </c>
      <c r="E118" s="7">
        <f t="shared" si="14"/>
        <v>1565877</v>
      </c>
      <c r="F118" s="6">
        <f t="shared" si="15"/>
        <v>0</v>
      </c>
      <c r="G118" s="7" t="str">
        <f t="shared" si="16"/>
        <v/>
      </c>
      <c r="I118" s="23">
        <f t="shared" si="17"/>
        <v>2021</v>
      </c>
      <c r="J118" s="23" t="str">
        <f t="shared" si="18"/>
        <v>04</v>
      </c>
      <c r="K118" s="23" t="str">
        <f t="shared" si="19"/>
        <v>2021-04-01</v>
      </c>
      <c r="M118" s="11" t="s">
        <v>234</v>
      </c>
      <c r="N118" s="11" t="s">
        <v>787</v>
      </c>
      <c r="O118" s="9">
        <v>44287</v>
      </c>
      <c r="P118" s="13">
        <v>1565877</v>
      </c>
    </row>
    <row r="119" spans="1:16" x14ac:dyDescent="0.25">
      <c r="A119" s="19" t="str">
        <f>VLOOKUP(LEFT(M119,3),Category!$G$3:$H$73,2,0)</f>
        <v>AUDIO</v>
      </c>
      <c r="B119" s="7" t="str">
        <f t="shared" si="11"/>
        <v>CBOX-DHBPRO8CB</v>
      </c>
      <c r="C119" s="7" t="str">
        <f t="shared" si="12"/>
        <v>Hibeat Professional Sound System, 8", Stereo in One Box System, Bluetooth, USB,   2 Mic with Echo, Tripod Included</v>
      </c>
      <c r="D119" s="25" t="str">
        <f t="shared" si="13"/>
        <v>2021-04-01</v>
      </c>
      <c r="E119" s="7">
        <f t="shared" si="14"/>
        <v>2359860</v>
      </c>
      <c r="F119" s="6">
        <f t="shared" si="15"/>
        <v>0</v>
      </c>
      <c r="G119" s="7" t="str">
        <f t="shared" si="16"/>
        <v/>
      </c>
      <c r="I119" s="23">
        <f t="shared" si="17"/>
        <v>2021</v>
      </c>
      <c r="J119" s="23" t="str">
        <f t="shared" si="18"/>
        <v>04</v>
      </c>
      <c r="K119" s="23" t="str">
        <f t="shared" si="19"/>
        <v>2021-04-01</v>
      </c>
      <c r="M119" s="11" t="s">
        <v>235</v>
      </c>
      <c r="N119" s="11" t="s">
        <v>788</v>
      </c>
      <c r="O119" s="9">
        <v>44287</v>
      </c>
      <c r="P119" s="13">
        <v>2359860</v>
      </c>
    </row>
    <row r="120" spans="1:16" x14ac:dyDescent="0.25">
      <c r="A120" s="19" t="str">
        <f>VLOOKUP(LEFT(M120,3),Category!$G$3:$H$73,2,0)</f>
        <v>AUDIO</v>
      </c>
      <c r="B120" s="7" t="str">
        <f t="shared" si="11"/>
        <v>CBOX-DPRO10CB</v>
      </c>
      <c r="C120" s="7" t="str">
        <f t="shared" si="12"/>
        <v>10" Big Woofer, Digital Sound Engine with Digital Equalizer, 60 Watt RMS, Bluetooth, USB, 2 Mic with Echo</v>
      </c>
      <c r="D120" s="25" t="str">
        <f t="shared" si="13"/>
        <v>2021-04-01</v>
      </c>
      <c r="E120" s="7">
        <f t="shared" si="14"/>
        <v>1807080</v>
      </c>
      <c r="F120" s="6">
        <f t="shared" si="15"/>
        <v>0</v>
      </c>
      <c r="G120" s="7" t="str">
        <f t="shared" si="16"/>
        <v/>
      </c>
      <c r="I120" s="23">
        <f t="shared" si="17"/>
        <v>2021</v>
      </c>
      <c r="J120" s="23" t="str">
        <f t="shared" si="18"/>
        <v>04</v>
      </c>
      <c r="K120" s="23" t="str">
        <f t="shared" si="19"/>
        <v>2021-04-01</v>
      </c>
      <c r="M120" s="11" t="s">
        <v>236</v>
      </c>
      <c r="N120" s="11" t="s">
        <v>789</v>
      </c>
      <c r="O120" s="9">
        <v>44287</v>
      </c>
      <c r="P120" s="13">
        <v>1807080</v>
      </c>
    </row>
    <row r="121" spans="1:16" x14ac:dyDescent="0.25">
      <c r="A121" s="19" t="str">
        <f>VLOOKUP(LEFT(M121,3),Category!$G$3:$H$73,2,0)</f>
        <v>AUDIO</v>
      </c>
      <c r="B121" s="7" t="str">
        <f t="shared" si="11"/>
        <v>CBOX-DPRO12CB</v>
      </c>
      <c r="C121" s="7" t="str">
        <f t="shared" si="12"/>
        <v>12" Big Woofer, Digital Sound Engine with Digital Equalizer, 60 Watt RMS, Bluetooth, USB, 2 Mic with Echo</v>
      </c>
      <c r="D121" s="25" t="str">
        <f t="shared" si="13"/>
        <v>2021-04-01</v>
      </c>
      <c r="E121" s="7">
        <f t="shared" si="14"/>
        <v>2075700</v>
      </c>
      <c r="F121" s="6">
        <f t="shared" si="15"/>
        <v>0</v>
      </c>
      <c r="G121" s="7" t="str">
        <f t="shared" si="16"/>
        <v/>
      </c>
      <c r="I121" s="23">
        <f t="shared" si="17"/>
        <v>2021</v>
      </c>
      <c r="J121" s="23" t="str">
        <f t="shared" si="18"/>
        <v>04</v>
      </c>
      <c r="K121" s="23" t="str">
        <f t="shared" si="19"/>
        <v>2021-04-01</v>
      </c>
      <c r="M121" s="11" t="s">
        <v>237</v>
      </c>
      <c r="N121" s="11" t="s">
        <v>790</v>
      </c>
      <c r="O121" s="9">
        <v>44287</v>
      </c>
      <c r="P121" s="13">
        <v>2075700</v>
      </c>
    </row>
    <row r="122" spans="1:16" x14ac:dyDescent="0.25">
      <c r="A122" s="19" t="str">
        <f>VLOOKUP(LEFT(M122,3),Category!$G$3:$H$73,2,0)</f>
        <v>AUDIO</v>
      </c>
      <c r="B122" s="7" t="str">
        <f t="shared" si="11"/>
        <v>CBOX-DPRO15CB</v>
      </c>
      <c r="C122" s="7" t="str">
        <f t="shared" si="12"/>
        <v>15" Big Woofer, Digital Sound Engine with Digital Equalizer, 60 Watt RMS, Bluetooth, USB, 2 Mic with Echo</v>
      </c>
      <c r="D122" s="25" t="str">
        <f t="shared" si="13"/>
        <v>2021-04-01</v>
      </c>
      <c r="E122" s="7">
        <f t="shared" si="14"/>
        <v>2416470</v>
      </c>
      <c r="F122" s="6">
        <f t="shared" si="15"/>
        <v>0</v>
      </c>
      <c r="G122" s="7" t="str">
        <f t="shared" si="16"/>
        <v/>
      </c>
      <c r="I122" s="23">
        <f t="shared" si="17"/>
        <v>2021</v>
      </c>
      <c r="J122" s="23" t="str">
        <f t="shared" si="18"/>
        <v>04</v>
      </c>
      <c r="K122" s="23" t="str">
        <f t="shared" si="19"/>
        <v>2021-04-01</v>
      </c>
      <c r="M122" s="11" t="s">
        <v>238</v>
      </c>
      <c r="N122" s="11" t="s">
        <v>791</v>
      </c>
      <c r="O122" s="9">
        <v>44287</v>
      </c>
      <c r="P122" s="13">
        <v>2416470</v>
      </c>
    </row>
    <row r="123" spans="1:16" x14ac:dyDescent="0.25">
      <c r="A123" s="19" t="str">
        <f>VLOOKUP(LEFT(M123,3),Category!$G$3:$H$73,2,0)</f>
        <v>AUDIO</v>
      </c>
      <c r="B123" s="7" t="str">
        <f t="shared" si="11"/>
        <v>CBOX-DPRO20CB</v>
      </c>
      <c r="C123" s="7" t="str">
        <f t="shared" si="12"/>
        <v>Double 10" Big Woofer, Digital Sound Engine with Digital Equalizer, 2x50 Watt RMS, Bluetooth, USB, 2 Mic with Echo</v>
      </c>
      <c r="D123" s="25" t="str">
        <f t="shared" si="13"/>
        <v>2021-04-01</v>
      </c>
      <c r="E123" s="7">
        <f t="shared" si="14"/>
        <v>2696190</v>
      </c>
      <c r="F123" s="6">
        <f t="shared" si="15"/>
        <v>0</v>
      </c>
      <c r="G123" s="7" t="str">
        <f t="shared" si="16"/>
        <v/>
      </c>
      <c r="I123" s="23">
        <f t="shared" si="17"/>
        <v>2021</v>
      </c>
      <c r="J123" s="23" t="str">
        <f t="shared" si="18"/>
        <v>04</v>
      </c>
      <c r="K123" s="23" t="str">
        <f t="shared" si="19"/>
        <v>2021-04-01</v>
      </c>
      <c r="M123" s="11" t="s">
        <v>239</v>
      </c>
      <c r="N123" s="11" t="s">
        <v>792</v>
      </c>
      <c r="O123" s="9">
        <v>44287</v>
      </c>
      <c r="P123" s="13">
        <v>2696190</v>
      </c>
    </row>
    <row r="124" spans="1:16" x14ac:dyDescent="0.25">
      <c r="A124" s="19" t="str">
        <f>VLOOKUP(LEFT(M124,3),Category!$G$3:$H$73,2,0)</f>
        <v>AUDIO</v>
      </c>
      <c r="B124" s="7" t="str">
        <f t="shared" si="11"/>
        <v>CBOX-DPRO22CB</v>
      </c>
      <c r="C124" s="7" t="str">
        <f t="shared" si="12"/>
        <v>Double 12" Big Woofer, Digital Sound Engine with Digital Equalizer, 2x50 Watt RMS, Bluetooth, USB, 2 Mic with Echo</v>
      </c>
      <c r="D124" s="25" t="str">
        <f t="shared" si="13"/>
        <v>2021-04-01</v>
      </c>
      <c r="E124" s="7">
        <f t="shared" si="14"/>
        <v>2979240</v>
      </c>
      <c r="F124" s="6">
        <f t="shared" si="15"/>
        <v>0</v>
      </c>
      <c r="G124" s="7" t="str">
        <f t="shared" si="16"/>
        <v/>
      </c>
      <c r="I124" s="23">
        <f t="shared" si="17"/>
        <v>2021</v>
      </c>
      <c r="J124" s="23" t="str">
        <f t="shared" si="18"/>
        <v>04</v>
      </c>
      <c r="K124" s="23" t="str">
        <f t="shared" si="19"/>
        <v>2021-04-01</v>
      </c>
      <c r="M124" s="11" t="s">
        <v>240</v>
      </c>
      <c r="N124" s="11" t="s">
        <v>793</v>
      </c>
      <c r="O124" s="9">
        <v>44287</v>
      </c>
      <c r="P124" s="13">
        <v>2979240</v>
      </c>
    </row>
    <row r="125" spans="1:16" x14ac:dyDescent="0.25">
      <c r="A125" s="19" t="str">
        <f>VLOOKUP(LEFT(M125,3),Category!$G$3:$H$73,2,0)</f>
        <v>AUDIO</v>
      </c>
      <c r="B125" s="7" t="str">
        <f t="shared" si="11"/>
        <v>CBOX-G600UBL2</v>
      </c>
      <c r="C125" s="7" t="str">
        <f t="shared" si="12"/>
        <v>6" Woofer, 13.000W PMPO, USB, Magnetically Shielded, Karaoke Function</v>
      </c>
      <c r="D125" s="25" t="str">
        <f t="shared" si="13"/>
        <v>2016-03-01</v>
      </c>
      <c r="E125" s="7">
        <f t="shared" si="14"/>
        <v>935730</v>
      </c>
      <c r="F125" s="6">
        <f t="shared" si="15"/>
        <v>0</v>
      </c>
      <c r="G125" s="7" t="str">
        <f t="shared" si="16"/>
        <v/>
      </c>
      <c r="I125" s="23">
        <f t="shared" si="17"/>
        <v>2016</v>
      </c>
      <c r="J125" s="23" t="str">
        <f t="shared" si="18"/>
        <v>03</v>
      </c>
      <c r="K125" s="23" t="str">
        <f t="shared" si="19"/>
        <v>2016-03-01</v>
      </c>
      <c r="M125" s="11" t="s">
        <v>157</v>
      </c>
      <c r="N125" s="11" t="s">
        <v>794</v>
      </c>
      <c r="O125" s="9">
        <v>42430</v>
      </c>
      <c r="P125" s="13">
        <v>935730</v>
      </c>
    </row>
    <row r="126" spans="1:16" x14ac:dyDescent="0.25">
      <c r="A126" s="19" t="str">
        <f>VLOOKUP(LEFT(M126,3),Category!$G$3:$H$73,2,0)</f>
        <v>AUDIO</v>
      </c>
      <c r="B126" s="7" t="str">
        <f t="shared" si="11"/>
        <v>CBOX-GSPRO10SB</v>
      </c>
      <c r="C126" s="7" t="str">
        <f t="shared" si="12"/>
        <v>GS PRO Series 10"</v>
      </c>
      <c r="D126" s="25" t="str">
        <f t="shared" si="13"/>
        <v>2001-05-01</v>
      </c>
      <c r="E126" s="7">
        <f t="shared" si="14"/>
        <v>2408700</v>
      </c>
      <c r="F126" s="6">
        <f t="shared" si="15"/>
        <v>0</v>
      </c>
      <c r="G126" s="7" t="str">
        <f t="shared" si="16"/>
        <v/>
      </c>
      <c r="I126" s="23">
        <f t="shared" si="17"/>
        <v>2001</v>
      </c>
      <c r="J126" s="23" t="str">
        <f t="shared" si="18"/>
        <v>05</v>
      </c>
      <c r="K126" s="23" t="str">
        <f t="shared" si="19"/>
        <v>2001-05-01</v>
      </c>
      <c r="M126" s="11" t="s">
        <v>299</v>
      </c>
      <c r="N126" s="11" t="s">
        <v>795</v>
      </c>
      <c r="O126" s="9">
        <v>44682</v>
      </c>
      <c r="P126" s="13">
        <v>2408700</v>
      </c>
    </row>
    <row r="127" spans="1:16" x14ac:dyDescent="0.25">
      <c r="A127" s="19" t="str">
        <f>VLOOKUP(LEFT(M127,3),Category!$G$3:$H$73,2,0)</f>
        <v>AUDIO</v>
      </c>
      <c r="B127" s="7" t="str">
        <f t="shared" si="11"/>
        <v>CBOX-GSPRO8SB</v>
      </c>
      <c r="C127" s="7" t="str">
        <f t="shared" si="12"/>
        <v>GS PRO Series 8"</v>
      </c>
      <c r="D127" s="25" t="str">
        <f t="shared" si="13"/>
        <v>2001-05-01</v>
      </c>
      <c r="E127" s="7">
        <f t="shared" si="14"/>
        <v>2065710</v>
      </c>
      <c r="F127" s="6">
        <f t="shared" si="15"/>
        <v>0</v>
      </c>
      <c r="G127" s="7" t="str">
        <f t="shared" si="16"/>
        <v/>
      </c>
      <c r="I127" s="23">
        <f t="shared" si="17"/>
        <v>2001</v>
      </c>
      <c r="J127" s="23" t="str">
        <f t="shared" si="18"/>
        <v>05</v>
      </c>
      <c r="K127" s="23" t="str">
        <f t="shared" si="19"/>
        <v>2001-05-01</v>
      </c>
      <c r="M127" s="11" t="s">
        <v>300</v>
      </c>
      <c r="N127" s="11" t="s">
        <v>796</v>
      </c>
      <c r="O127" s="9">
        <v>44682</v>
      </c>
      <c r="P127" s="13">
        <v>2065710</v>
      </c>
    </row>
    <row r="128" spans="1:16" x14ac:dyDescent="0.25">
      <c r="A128" s="19" t="str">
        <f>VLOOKUP(LEFT(M128,3),Category!$G$3:$H$73,2,0)</f>
        <v>AUDIO</v>
      </c>
      <c r="B128" s="7" t="str">
        <f t="shared" si="11"/>
        <v>CBOX-HB06UBO</v>
      </c>
      <c r="C128" s="7" t="str">
        <f t="shared" si="12"/>
        <v>Hi-Beat Series 6", One Box - Two Power Speaker System, Bluetooth, USB, FM Radio</v>
      </c>
      <c r="D128" s="25" t="str">
        <f t="shared" si="13"/>
        <v>2019-09-01</v>
      </c>
      <c r="E128" s="7">
        <f t="shared" si="14"/>
        <v>1289820</v>
      </c>
      <c r="F128" s="6">
        <f t="shared" si="15"/>
        <v>0</v>
      </c>
      <c r="G128" s="7" t="str">
        <f t="shared" si="16"/>
        <v/>
      </c>
      <c r="I128" s="23">
        <f t="shared" si="17"/>
        <v>2019</v>
      </c>
      <c r="J128" s="23" t="str">
        <f t="shared" si="18"/>
        <v>09</v>
      </c>
      <c r="K128" s="23" t="str">
        <f t="shared" si="19"/>
        <v>2019-09-01</v>
      </c>
      <c r="M128" s="11" t="s">
        <v>436</v>
      </c>
      <c r="N128" s="11" t="s">
        <v>797</v>
      </c>
      <c r="O128" s="9">
        <v>43709</v>
      </c>
      <c r="P128" s="13">
        <v>1289820</v>
      </c>
    </row>
    <row r="129" spans="1:16" x14ac:dyDescent="0.25">
      <c r="A129" s="19" t="str">
        <f>VLOOKUP(LEFT(M129,3),Category!$G$3:$H$73,2,0)</f>
        <v>AUDIO</v>
      </c>
      <c r="B129" s="7" t="str">
        <f t="shared" si="11"/>
        <v>CBOX-HB08UBO</v>
      </c>
      <c r="C129" s="7" t="str">
        <f t="shared" si="12"/>
        <v>Hi-Beat Series 8", One Box - Two Power Speaker System, Bluetooth, USB, FM Radio</v>
      </c>
      <c r="D129" s="25" t="str">
        <f t="shared" si="13"/>
        <v>2019-09-01</v>
      </c>
      <c r="E129" s="7">
        <f t="shared" si="14"/>
        <v>1569540</v>
      </c>
      <c r="F129" s="6">
        <f t="shared" si="15"/>
        <v>0</v>
      </c>
      <c r="G129" s="7" t="str">
        <f t="shared" si="16"/>
        <v/>
      </c>
      <c r="I129" s="23">
        <f t="shared" si="17"/>
        <v>2019</v>
      </c>
      <c r="J129" s="23" t="str">
        <f t="shared" si="18"/>
        <v>09</v>
      </c>
      <c r="K129" s="23" t="str">
        <f t="shared" si="19"/>
        <v>2019-09-01</v>
      </c>
      <c r="M129" s="11" t="s">
        <v>437</v>
      </c>
      <c r="N129" s="11" t="s">
        <v>798</v>
      </c>
      <c r="O129" s="9">
        <v>43709</v>
      </c>
      <c r="P129" s="13">
        <v>1569540</v>
      </c>
    </row>
    <row r="130" spans="1:16" x14ac:dyDescent="0.25">
      <c r="A130" s="19" t="str">
        <f>VLOOKUP(LEFT(M130,3),Category!$G$3:$H$73,2,0)</f>
        <v>AUDIO</v>
      </c>
      <c r="B130" s="7" t="str">
        <f t="shared" si="11"/>
        <v>CBOX-HBPRO8UBO</v>
      </c>
      <c r="C130" s="7" t="str">
        <f t="shared" si="12"/>
        <v>Hibeat Professional Sound System, 8", One Box - Two Power Speaker System, Bluetooth, USB, FM Radio</v>
      </c>
      <c r="D130" s="25" t="str">
        <f t="shared" si="13"/>
        <v>2020-05-01</v>
      </c>
      <c r="E130" s="7">
        <f t="shared" si="14"/>
        <v>2244420</v>
      </c>
      <c r="F130" s="6">
        <f t="shared" si="15"/>
        <v>0</v>
      </c>
      <c r="G130" s="7" t="str">
        <f t="shared" si="16"/>
        <v/>
      </c>
      <c r="I130" s="23">
        <f t="shared" si="17"/>
        <v>2020</v>
      </c>
      <c r="J130" s="23" t="str">
        <f t="shared" si="18"/>
        <v>05</v>
      </c>
      <c r="K130" s="23" t="str">
        <f t="shared" si="19"/>
        <v>2020-05-01</v>
      </c>
      <c r="M130" s="11" t="s">
        <v>289</v>
      </c>
      <c r="N130" s="11" t="s">
        <v>799</v>
      </c>
      <c r="O130" s="9">
        <v>43952</v>
      </c>
      <c r="P130" s="13">
        <v>2244420</v>
      </c>
    </row>
    <row r="131" spans="1:16" x14ac:dyDescent="0.25">
      <c r="A131" s="19" t="str">
        <f>VLOOKUP(LEFT(M131,3),Category!$G$3:$H$73,2,0)</f>
        <v>AUDIO</v>
      </c>
      <c r="B131" s="7" t="str">
        <f t="shared" si="11"/>
        <v>CBOX-MAX06UBL</v>
      </c>
      <c r="C131" s="7" t="str">
        <f t="shared" si="12"/>
        <v>XMAX Series 8", 2.1 Audio Sistem, Bluetooth, USB, FM Radio</v>
      </c>
      <c r="D131" s="25" t="str">
        <f t="shared" si="13"/>
        <v>2019-09-01</v>
      </c>
      <c r="E131" s="7">
        <f t="shared" si="14"/>
        <v>983460</v>
      </c>
      <c r="F131" s="6">
        <f t="shared" si="15"/>
        <v>0</v>
      </c>
      <c r="G131" s="7" t="str">
        <f t="shared" si="16"/>
        <v/>
      </c>
      <c r="I131" s="23">
        <f t="shared" si="17"/>
        <v>2019</v>
      </c>
      <c r="J131" s="23" t="str">
        <f t="shared" si="18"/>
        <v>09</v>
      </c>
      <c r="K131" s="23" t="str">
        <f t="shared" si="19"/>
        <v>2019-09-01</v>
      </c>
      <c r="M131" s="11" t="s">
        <v>438</v>
      </c>
      <c r="N131" s="11" t="s">
        <v>800</v>
      </c>
      <c r="O131" s="9">
        <v>43709</v>
      </c>
      <c r="P131" s="13">
        <v>983460</v>
      </c>
    </row>
    <row r="132" spans="1:16" x14ac:dyDescent="0.25">
      <c r="A132" s="19" t="str">
        <f>VLOOKUP(LEFT(M132,3),Category!$G$3:$H$73,2,0)</f>
        <v>AUDIO</v>
      </c>
      <c r="B132" s="7" t="str">
        <f t="shared" si="11"/>
        <v>CBOX-MAX09PA</v>
      </c>
      <c r="C132" s="7" t="str">
        <f t="shared" si="12"/>
        <v>Pre-amplifier tube built in,classic wood pvc design,Bluetooth,USB,FM radio,AUX-in</v>
      </c>
      <c r="D132" s="25" t="str">
        <f t="shared" si="13"/>
        <v>2020-10-01</v>
      </c>
      <c r="E132" s="7">
        <f t="shared" si="14"/>
        <v>1634919</v>
      </c>
      <c r="F132" s="6">
        <f t="shared" si="15"/>
        <v>0</v>
      </c>
      <c r="G132" s="7" t="str">
        <f t="shared" si="16"/>
        <v/>
      </c>
      <c r="I132" s="23">
        <f t="shared" si="17"/>
        <v>2020</v>
      </c>
      <c r="J132" s="23">
        <f t="shared" si="18"/>
        <v>10</v>
      </c>
      <c r="K132" s="23" t="str">
        <f t="shared" si="19"/>
        <v>2020-10-01</v>
      </c>
      <c r="M132" s="11" t="s">
        <v>457</v>
      </c>
      <c r="N132" s="11" t="s">
        <v>801</v>
      </c>
      <c r="O132" s="9">
        <v>44105</v>
      </c>
      <c r="P132" s="13">
        <v>1634919</v>
      </c>
    </row>
    <row r="133" spans="1:16" x14ac:dyDescent="0.25">
      <c r="A133" s="19" t="str">
        <f>VLOOKUP(LEFT(M133,3),Category!$G$3:$H$73,2,0)</f>
        <v>AUDIO</v>
      </c>
      <c r="B133" s="7" t="str">
        <f t="shared" si="11"/>
        <v>CBOX-PRO10UBB</v>
      </c>
      <c r="C133" s="7" t="str">
        <f t="shared" si="12"/>
        <v>10" Big Woofer . 16.000W PMPO . Carbon Design . Rainbow Light . Voice Cancelling . Bluetooth . USB . FM Radio . Karaoke Function</v>
      </c>
      <c r="D133" s="25" t="str">
        <f t="shared" si="13"/>
        <v>2017-07-01</v>
      </c>
      <c r="E133" s="7">
        <f t="shared" si="14"/>
        <v>1639470</v>
      </c>
      <c r="F133" s="6">
        <f t="shared" si="15"/>
        <v>0</v>
      </c>
      <c r="G133" s="7" t="str">
        <f t="shared" si="16"/>
        <v/>
      </c>
      <c r="I133" s="23">
        <f t="shared" si="17"/>
        <v>2017</v>
      </c>
      <c r="J133" s="23" t="str">
        <f t="shared" si="18"/>
        <v>07</v>
      </c>
      <c r="K133" s="23" t="str">
        <f t="shared" si="19"/>
        <v>2017-07-01</v>
      </c>
      <c r="M133" s="11" t="s">
        <v>339</v>
      </c>
      <c r="N133" s="11" t="s">
        <v>802</v>
      </c>
      <c r="O133" s="9">
        <v>42917</v>
      </c>
      <c r="P133" s="13">
        <v>1639470</v>
      </c>
    </row>
    <row r="134" spans="1:16" x14ac:dyDescent="0.25">
      <c r="A134" s="19" t="str">
        <f>VLOOKUP(LEFT(M134,3),Category!$G$3:$H$73,2,0)</f>
        <v>AUDIO</v>
      </c>
      <c r="B134" s="7" t="str">
        <f t="shared" si="11"/>
        <v>CBOX-PRO12UBB</v>
      </c>
      <c r="C134" s="7" t="str">
        <f t="shared" si="12"/>
        <v>12" Big Woofer . 17.000W PMPO . Carbon Design . Rainbow Light . Voice Cancelling . Bluetooth . USB . FM Radio . Karaoke Function</v>
      </c>
      <c r="D134" s="25" t="str">
        <f t="shared" si="13"/>
        <v>2017-07-01</v>
      </c>
      <c r="E134" s="7">
        <f t="shared" si="14"/>
        <v>1883670</v>
      </c>
      <c r="F134" s="6">
        <f t="shared" si="15"/>
        <v>0</v>
      </c>
      <c r="G134" s="7" t="str">
        <f t="shared" si="16"/>
        <v/>
      </c>
      <c r="I134" s="23">
        <f t="shared" si="17"/>
        <v>2017</v>
      </c>
      <c r="J134" s="23" t="str">
        <f t="shared" si="18"/>
        <v>07</v>
      </c>
      <c r="K134" s="23" t="str">
        <f t="shared" si="19"/>
        <v>2017-07-01</v>
      </c>
      <c r="M134" s="11" t="s">
        <v>340</v>
      </c>
      <c r="N134" s="11" t="s">
        <v>803</v>
      </c>
      <c r="O134" s="9">
        <v>42917</v>
      </c>
      <c r="P134" s="13">
        <v>1883670</v>
      </c>
    </row>
    <row r="135" spans="1:16" x14ac:dyDescent="0.25">
      <c r="A135" s="19" t="str">
        <f>VLOOKUP(LEFT(M135,3),Category!$G$3:$H$73,2,0)</f>
        <v>AUDIO</v>
      </c>
      <c r="B135" s="7" t="str">
        <f t="shared" ref="B135:B198" si="20">UPPER(M135)</f>
        <v>CBOX-PRO15UBB</v>
      </c>
      <c r="C135" s="7" t="str">
        <f t="shared" ref="C135:C198" si="21">IF(OR(N135="",N135=0),"",N135)</f>
        <v>15" Big Woofer . 19.000W PMPO . Carbon Design . Rainbow Light . Voice Cancelling . Bluetooth . USB . FM Radio . Karaoke Function</v>
      </c>
      <c r="D135" s="25" t="str">
        <f t="shared" ref="D135:D198" si="22">IFERROR(K135,"")</f>
        <v>2017-07-01</v>
      </c>
      <c r="E135" s="7">
        <f t="shared" ref="E135:E198" si="23">P135</f>
        <v>2192250</v>
      </c>
      <c r="F135" s="6">
        <f t="shared" ref="F135:F198" si="24">IF(O135="DISC",1,0)</f>
        <v>0</v>
      </c>
      <c r="G135" s="7" t="str">
        <f t="shared" ref="G135:G198" si="25">IF(R135="","",R135)</f>
        <v/>
      </c>
      <c r="I135" s="23">
        <f t="shared" ref="I135:I198" si="26">IF(YEAR(O135)=2022,2000+DAY(O135),YEAR(O135))</f>
        <v>2017</v>
      </c>
      <c r="J135" s="23" t="str">
        <f t="shared" ref="J135:J198" si="27">IF(MONTH(O135)&lt;10,"0"&amp;MONTH(O135),MONTH(O135))</f>
        <v>07</v>
      </c>
      <c r="K135" s="23" t="str">
        <f t="shared" ref="K135:K198" si="28">I135&amp;"-"&amp;J135&amp;"-01"</f>
        <v>2017-07-01</v>
      </c>
      <c r="M135" s="11" t="s">
        <v>341</v>
      </c>
      <c r="N135" s="11" t="s">
        <v>804</v>
      </c>
      <c r="O135" s="9">
        <v>42917</v>
      </c>
      <c r="P135" s="13">
        <v>2192250</v>
      </c>
    </row>
    <row r="136" spans="1:16" x14ac:dyDescent="0.25">
      <c r="A136" s="19" t="str">
        <f>VLOOKUP(LEFT(M136,3),Category!$G$3:$H$73,2,0)</f>
        <v>AUDIO</v>
      </c>
      <c r="B136" s="7" t="str">
        <f t="shared" si="20"/>
        <v>CBOX-PRO20UBB</v>
      </c>
      <c r="C136" s="7" t="str">
        <f t="shared" si="21"/>
        <v>Double 10’’ Woofer . 20.000W PMPO . Carbon Design . Rainbow Light . Voice Cancelling . Bluetooth . USB . FM Radio . Karaoke Function</v>
      </c>
      <c r="D136" s="25" t="str">
        <f t="shared" si="22"/>
        <v>2017-07-01</v>
      </c>
      <c r="E136" s="7">
        <f t="shared" si="23"/>
        <v>2352090</v>
      </c>
      <c r="F136" s="6">
        <f t="shared" si="24"/>
        <v>0</v>
      </c>
      <c r="G136" s="7" t="str">
        <f t="shared" si="25"/>
        <v/>
      </c>
      <c r="I136" s="23">
        <f t="shared" si="26"/>
        <v>2017</v>
      </c>
      <c r="J136" s="23" t="str">
        <f t="shared" si="27"/>
        <v>07</v>
      </c>
      <c r="K136" s="23" t="str">
        <f t="shared" si="28"/>
        <v>2017-07-01</v>
      </c>
      <c r="M136" s="11" t="s">
        <v>342</v>
      </c>
      <c r="N136" s="11" t="s">
        <v>805</v>
      </c>
      <c r="O136" s="9">
        <v>42917</v>
      </c>
      <c r="P136" s="13">
        <v>2352090</v>
      </c>
    </row>
    <row r="137" spans="1:16" x14ac:dyDescent="0.25">
      <c r="A137" s="19" t="str">
        <f>VLOOKUP(LEFT(M137,3),Category!$G$3:$H$73,2,0)</f>
        <v>AUDIO</v>
      </c>
      <c r="B137" s="7" t="str">
        <f t="shared" si="20"/>
        <v>CBOX-PRO22UBB</v>
      </c>
      <c r="C137" s="7" t="str">
        <f t="shared" si="21"/>
        <v>Double 12’’ Woofer . 22.000W PMPO . Carbon Design . Rainbow Light . Voice Cancelling . Bluetooth . USB . FM Radio . Karaoke Function</v>
      </c>
      <c r="D137" s="25" t="str">
        <f t="shared" si="22"/>
        <v>2017-07-01</v>
      </c>
      <c r="E137" s="7">
        <f t="shared" si="23"/>
        <v>2598510</v>
      </c>
      <c r="F137" s="6">
        <f t="shared" si="24"/>
        <v>0</v>
      </c>
      <c r="G137" s="7" t="str">
        <f t="shared" si="25"/>
        <v/>
      </c>
      <c r="I137" s="23">
        <f t="shared" si="26"/>
        <v>2017</v>
      </c>
      <c r="J137" s="23" t="str">
        <f t="shared" si="27"/>
        <v>07</v>
      </c>
      <c r="K137" s="23" t="str">
        <f t="shared" si="28"/>
        <v>2017-07-01</v>
      </c>
      <c r="M137" s="11" t="s">
        <v>343</v>
      </c>
      <c r="N137" s="11" t="s">
        <v>806</v>
      </c>
      <c r="O137" s="9">
        <v>42917</v>
      </c>
      <c r="P137" s="13">
        <v>2598510</v>
      </c>
    </row>
    <row r="138" spans="1:16" x14ac:dyDescent="0.25">
      <c r="A138" s="19" t="str">
        <f>VLOOKUP(LEFT(M138,3),Category!$G$3:$H$73,2,0)</f>
        <v>AUDIO</v>
      </c>
      <c r="B138" s="7" t="str">
        <f t="shared" si="20"/>
        <v>CBOX-RB1280UBL</v>
      </c>
      <c r="C138" s="7" t="str">
        <f t="shared" si="21"/>
        <v>12"Big woofer,22.000W PMPO, Carbon Texture, Bluetooth, USB, X-Bass, FM Radio, Karaoke function</v>
      </c>
      <c r="D138" s="25" t="str">
        <f t="shared" si="22"/>
        <v>2016-12-01</v>
      </c>
      <c r="E138" s="7">
        <f t="shared" si="23"/>
        <v>2054610</v>
      </c>
      <c r="F138" s="6">
        <f t="shared" si="24"/>
        <v>0</v>
      </c>
      <c r="G138" s="7" t="str">
        <f t="shared" si="25"/>
        <v/>
      </c>
      <c r="I138" s="23">
        <f t="shared" si="26"/>
        <v>2016</v>
      </c>
      <c r="J138" s="23">
        <f t="shared" si="27"/>
        <v>12</v>
      </c>
      <c r="K138" s="23" t="str">
        <f t="shared" si="28"/>
        <v>2016-12-01</v>
      </c>
      <c r="M138" s="11" t="s">
        <v>496</v>
      </c>
      <c r="N138" s="11" t="s">
        <v>807</v>
      </c>
      <c r="O138" s="9">
        <v>42705</v>
      </c>
      <c r="P138" s="13">
        <v>2054610</v>
      </c>
    </row>
    <row r="139" spans="1:16" x14ac:dyDescent="0.25">
      <c r="A139" s="19" t="str">
        <f>VLOOKUP(LEFT(M139,3),Category!$G$3:$H$73,2,0)</f>
        <v>AUDIO</v>
      </c>
      <c r="B139" s="7" t="str">
        <f t="shared" si="20"/>
        <v>CBOX-RB988UBL</v>
      </c>
      <c r="C139" s="7" t="str">
        <f t="shared" si="21"/>
        <v>8" Double Woofer, 20.000W PMPO, Carbon Texture, Bluetooth, USB, FM Radio, X-Bass, Karaoke Function</v>
      </c>
      <c r="D139" s="25" t="str">
        <f t="shared" si="22"/>
        <v>2016-12-01</v>
      </c>
      <c r="E139" s="7">
        <f t="shared" si="23"/>
        <v>1827060</v>
      </c>
      <c r="F139" s="6">
        <f t="shared" si="24"/>
        <v>0</v>
      </c>
      <c r="G139" s="7" t="str">
        <f t="shared" si="25"/>
        <v/>
      </c>
      <c r="I139" s="23">
        <f t="shared" si="26"/>
        <v>2016</v>
      </c>
      <c r="J139" s="23">
        <f t="shared" si="27"/>
        <v>12</v>
      </c>
      <c r="K139" s="23" t="str">
        <f t="shared" si="28"/>
        <v>2016-12-01</v>
      </c>
      <c r="M139" s="11" t="s">
        <v>497</v>
      </c>
      <c r="N139" s="11" t="s">
        <v>808</v>
      </c>
      <c r="O139" s="9">
        <v>42705</v>
      </c>
      <c r="P139" s="13">
        <v>1827060</v>
      </c>
    </row>
    <row r="140" spans="1:16" x14ac:dyDescent="0.25">
      <c r="A140" s="19" t="str">
        <f>VLOOKUP(LEFT(M140,3),Category!$G$3:$H$73,2,0)</f>
        <v>AUDIO</v>
      </c>
      <c r="B140" s="7" t="str">
        <f t="shared" si="20"/>
        <v>CBOX-RLPRO12B</v>
      </c>
      <c r="C140" s="7" t="str">
        <f t="shared" si="21"/>
        <v>18" LF Driver, 400 W Continues - 800 W Peak/Dynamic, Water Protection Coat</v>
      </c>
      <c r="D140" s="25" t="str">
        <f t="shared" si="22"/>
        <v>2001-05-01</v>
      </c>
      <c r="E140" s="7">
        <f t="shared" si="23"/>
        <v>3193470</v>
      </c>
      <c r="F140" s="6">
        <f t="shared" si="24"/>
        <v>0</v>
      </c>
      <c r="G140" s="7" t="str">
        <f t="shared" si="25"/>
        <v/>
      </c>
      <c r="I140" s="23">
        <f t="shared" si="26"/>
        <v>2001</v>
      </c>
      <c r="J140" s="23" t="str">
        <f t="shared" si="27"/>
        <v>05</v>
      </c>
      <c r="K140" s="23" t="str">
        <f t="shared" si="28"/>
        <v>2001-05-01</v>
      </c>
      <c r="M140" s="11" t="s">
        <v>654</v>
      </c>
      <c r="N140" s="11" t="s">
        <v>809</v>
      </c>
      <c r="O140" s="9">
        <v>44682</v>
      </c>
      <c r="P140" s="13">
        <v>3193470</v>
      </c>
    </row>
    <row r="141" spans="1:16" x14ac:dyDescent="0.25">
      <c r="A141" s="19" t="str">
        <f>VLOOKUP(LEFT(M141,3),Category!$G$3:$H$73,2,0)</f>
        <v>AUDIO</v>
      </c>
      <c r="B141" s="7" t="str">
        <f t="shared" si="20"/>
        <v>CBOX-RLPRO15B</v>
      </c>
      <c r="C141" s="7" t="str">
        <f t="shared" si="21"/>
        <v>15" LF Driver and 1" Compression Driver, 200 W Continues - 800 W Peak/Dynamic, Controls (Level, Line/Mic, Bluetooth/TWS link, Mains on/off, Master Vol, Bass, Treble), Water Protection Coat</v>
      </c>
      <c r="D141" s="25" t="str">
        <f t="shared" si="22"/>
        <v>2001-05-01</v>
      </c>
      <c r="E141" s="7">
        <f t="shared" si="23"/>
        <v>3504270</v>
      </c>
      <c r="F141" s="6">
        <f t="shared" si="24"/>
        <v>0</v>
      </c>
      <c r="G141" s="7" t="str">
        <f t="shared" si="25"/>
        <v/>
      </c>
      <c r="I141" s="23">
        <f t="shared" si="26"/>
        <v>2001</v>
      </c>
      <c r="J141" s="23" t="str">
        <f t="shared" si="27"/>
        <v>05</v>
      </c>
      <c r="K141" s="23" t="str">
        <f t="shared" si="28"/>
        <v>2001-05-01</v>
      </c>
      <c r="M141" s="11" t="s">
        <v>655</v>
      </c>
      <c r="N141" s="11" t="s">
        <v>810</v>
      </c>
      <c r="O141" s="9">
        <v>44682</v>
      </c>
      <c r="P141" s="13">
        <v>3504270</v>
      </c>
    </row>
    <row r="142" spans="1:16" x14ac:dyDescent="0.25">
      <c r="A142" s="19" t="str">
        <f>VLOOKUP(LEFT(M142,3),Category!$G$3:$H$73,2,0)</f>
        <v>AUDIO</v>
      </c>
      <c r="B142" s="7" t="str">
        <f t="shared" si="20"/>
        <v>CBOX-SBT300BL</v>
      </c>
      <c r="C142" s="7" t="str">
        <f t="shared" si="21"/>
        <v>LED TV sound enhancement with 2x15 watt RMS,Bluetooth&amp;AMP in audio source,wall mountable</v>
      </c>
      <c r="D142" s="25" t="str">
        <f t="shared" si="22"/>
        <v>2020-10-01</v>
      </c>
      <c r="E142" s="7">
        <f t="shared" si="23"/>
        <v>544566</v>
      </c>
      <c r="F142" s="6">
        <f t="shared" si="24"/>
        <v>0</v>
      </c>
      <c r="G142" s="7" t="str">
        <f t="shared" si="25"/>
        <v/>
      </c>
      <c r="I142" s="23">
        <f t="shared" si="26"/>
        <v>2020</v>
      </c>
      <c r="J142" s="23">
        <f t="shared" si="27"/>
        <v>10</v>
      </c>
      <c r="K142" s="23" t="str">
        <f t="shared" si="28"/>
        <v>2020-10-01</v>
      </c>
      <c r="M142" s="11" t="s">
        <v>458</v>
      </c>
      <c r="N142" s="11" t="s">
        <v>811</v>
      </c>
      <c r="O142" s="9">
        <v>44105</v>
      </c>
      <c r="P142" s="13">
        <v>544566</v>
      </c>
    </row>
    <row r="143" spans="1:16" x14ac:dyDescent="0.25">
      <c r="A143" s="19" t="str">
        <f>VLOOKUP(LEFT(M143,3),Category!$G$3:$H$73,2,0)</f>
        <v>AUDIO</v>
      </c>
      <c r="B143" s="7" t="str">
        <f t="shared" si="20"/>
        <v>CBOX-SUB18B</v>
      </c>
      <c r="C143" s="7" t="str">
        <f t="shared" si="21"/>
        <v>15" LF Driver and 1" HF Compression Driver, 200 W Power Handling, Sturdy Design, MDF with PVC Black rough, Controls (Level, Line/Mic, Bluetooth/TWS link, Mains on/off, Master Vol, Bass, Treble)</v>
      </c>
      <c r="D143" s="25" t="str">
        <f t="shared" si="22"/>
        <v>2020-10-01</v>
      </c>
      <c r="E143" s="7">
        <f t="shared" si="23"/>
        <v>8432670</v>
      </c>
      <c r="F143" s="6">
        <f t="shared" si="24"/>
        <v>0</v>
      </c>
      <c r="G143" s="7" t="str">
        <f t="shared" si="25"/>
        <v/>
      </c>
      <c r="I143" s="23">
        <f t="shared" si="26"/>
        <v>2020</v>
      </c>
      <c r="J143" s="23">
        <f t="shared" si="27"/>
        <v>10</v>
      </c>
      <c r="K143" s="23" t="str">
        <f t="shared" si="28"/>
        <v>2020-10-01</v>
      </c>
      <c r="M143" s="11" t="s">
        <v>656</v>
      </c>
      <c r="N143" s="11" t="s">
        <v>812</v>
      </c>
      <c r="O143" s="9">
        <v>44105</v>
      </c>
      <c r="P143" s="13">
        <v>8432670</v>
      </c>
    </row>
    <row r="144" spans="1:16" x14ac:dyDescent="0.25">
      <c r="A144" s="19" t="str">
        <f>VLOOKUP(LEFT(M144,3),Category!$G$3:$H$73,2,0)</f>
        <v>AUDIO</v>
      </c>
      <c r="B144" s="7" t="str">
        <f t="shared" si="20"/>
        <v>CBOX-TR10CBL</v>
      </c>
      <c r="C144" s="7" t="str">
        <f t="shared" si="21"/>
        <v>Trolley Series 10", Non Baterai, Cloth Grill Black</v>
      </c>
      <c r="D144" s="25" t="str">
        <f t="shared" si="22"/>
        <v>2001-05-01</v>
      </c>
      <c r="E144" s="7">
        <f t="shared" si="23"/>
        <v>1308690</v>
      </c>
      <c r="F144" s="6">
        <f t="shared" si="24"/>
        <v>0</v>
      </c>
      <c r="G144" s="7" t="str">
        <f t="shared" si="25"/>
        <v/>
      </c>
      <c r="I144" s="23">
        <f t="shared" si="26"/>
        <v>2001</v>
      </c>
      <c r="J144" s="23" t="str">
        <f t="shared" si="27"/>
        <v>05</v>
      </c>
      <c r="K144" s="23" t="str">
        <f t="shared" si="28"/>
        <v>2001-05-01</v>
      </c>
      <c r="M144" s="11" t="s">
        <v>301</v>
      </c>
      <c r="N144" s="11" t="s">
        <v>813</v>
      </c>
      <c r="O144" s="9">
        <v>44682</v>
      </c>
      <c r="P144" s="13">
        <v>1308690</v>
      </c>
    </row>
    <row r="145" spans="1:16" x14ac:dyDescent="0.25">
      <c r="A145" s="19" t="str">
        <f>VLOOKUP(LEFT(M145,3),Category!$G$3:$H$73,2,0)</f>
        <v>AUDIO</v>
      </c>
      <c r="B145" s="7" t="str">
        <f t="shared" si="20"/>
        <v>CBOX-TRB10MBO</v>
      </c>
      <c r="C145" s="7" t="str">
        <f t="shared" si="21"/>
        <v>Trolley Series 10", Built-In Baterai, Metal Mesh Brown</v>
      </c>
      <c r="D145" s="25" t="str">
        <f t="shared" si="22"/>
        <v>2001-05-01</v>
      </c>
      <c r="E145" s="7">
        <f t="shared" si="23"/>
        <v>1538460</v>
      </c>
      <c r="F145" s="6">
        <f t="shared" si="24"/>
        <v>0</v>
      </c>
      <c r="G145" s="7" t="str">
        <f t="shared" si="25"/>
        <v/>
      </c>
      <c r="I145" s="23">
        <f t="shared" si="26"/>
        <v>2001</v>
      </c>
      <c r="J145" s="23" t="str">
        <f t="shared" si="27"/>
        <v>05</v>
      </c>
      <c r="K145" s="23" t="str">
        <f t="shared" si="28"/>
        <v>2001-05-01</v>
      </c>
      <c r="M145" s="11" t="s">
        <v>302</v>
      </c>
      <c r="N145" s="11" t="s">
        <v>814</v>
      </c>
      <c r="O145" s="9">
        <v>44682</v>
      </c>
      <c r="P145" s="13">
        <v>1538460</v>
      </c>
    </row>
    <row r="146" spans="1:16" x14ac:dyDescent="0.25">
      <c r="A146" s="19" t="str">
        <f>VLOOKUP(LEFT(M146,3),Category!$G$3:$H$73,2,0)</f>
        <v>AUDIO</v>
      </c>
      <c r="B146" s="7" t="str">
        <f t="shared" si="20"/>
        <v>CBOX-TRB12CBL</v>
      </c>
      <c r="C146" s="7" t="str">
        <f t="shared" si="21"/>
        <v>Trolley Series 12", Built-In Baterai, Cloth Grill Black</v>
      </c>
      <c r="D146" s="25" t="str">
        <f t="shared" si="22"/>
        <v>2001-05-01</v>
      </c>
      <c r="E146" s="7">
        <f t="shared" si="23"/>
        <v>1539570</v>
      </c>
      <c r="F146" s="6">
        <f t="shared" si="24"/>
        <v>0</v>
      </c>
      <c r="G146" s="7" t="str">
        <f t="shared" si="25"/>
        <v/>
      </c>
      <c r="I146" s="23">
        <f t="shared" si="26"/>
        <v>2001</v>
      </c>
      <c r="J146" s="23" t="str">
        <f t="shared" si="27"/>
        <v>05</v>
      </c>
      <c r="K146" s="23" t="str">
        <f t="shared" si="28"/>
        <v>2001-05-01</v>
      </c>
      <c r="M146" s="11" t="s">
        <v>303</v>
      </c>
      <c r="N146" s="11" t="s">
        <v>815</v>
      </c>
      <c r="O146" s="9">
        <v>44682</v>
      </c>
      <c r="P146" s="13">
        <v>1539570</v>
      </c>
    </row>
    <row r="147" spans="1:16" x14ac:dyDescent="0.25">
      <c r="A147" s="19" t="str">
        <f>VLOOKUP(LEFT(M147,3),Category!$G$3:$H$73,2,0)</f>
        <v>AUDIO</v>
      </c>
      <c r="B147" s="7" t="str">
        <f t="shared" si="20"/>
        <v>CBOX-TRB12MBO</v>
      </c>
      <c r="C147" s="7" t="str">
        <f t="shared" si="21"/>
        <v>Trolley Series 12", Built-In Baterai, Metal Mesh Brown</v>
      </c>
      <c r="D147" s="25" t="str">
        <f t="shared" si="22"/>
        <v>2001-05-01</v>
      </c>
      <c r="E147" s="7">
        <f t="shared" si="23"/>
        <v>1687200</v>
      </c>
      <c r="F147" s="6">
        <f t="shared" si="24"/>
        <v>0</v>
      </c>
      <c r="G147" s="7" t="str">
        <f t="shared" si="25"/>
        <v/>
      </c>
      <c r="I147" s="23">
        <f t="shared" si="26"/>
        <v>2001</v>
      </c>
      <c r="J147" s="23" t="str">
        <f t="shared" si="27"/>
        <v>05</v>
      </c>
      <c r="K147" s="23" t="str">
        <f t="shared" si="28"/>
        <v>2001-05-01</v>
      </c>
      <c r="M147" s="11" t="s">
        <v>304</v>
      </c>
      <c r="N147" s="11" t="s">
        <v>816</v>
      </c>
      <c r="O147" s="9">
        <v>44682</v>
      </c>
      <c r="P147" s="13">
        <v>1687200</v>
      </c>
    </row>
    <row r="148" spans="1:16" x14ac:dyDescent="0.25">
      <c r="A148" s="19" t="str">
        <f>VLOOKUP(LEFT(M148,3),Category!$G$3:$H$73,2,0)</f>
        <v>AUDIO</v>
      </c>
      <c r="B148" s="7" t="str">
        <f t="shared" si="20"/>
        <v>CBOX-X360-DW</v>
      </c>
      <c r="C148" s="7" t="str">
        <f t="shared" si="21"/>
        <v>360o Sound Speaker, Dark Colour Wood</v>
      </c>
      <c r="D148" s="25" t="str">
        <f t="shared" si="22"/>
        <v>2001-05-01</v>
      </c>
      <c r="E148" s="7">
        <f t="shared" si="23"/>
        <v>2071260</v>
      </c>
      <c r="F148" s="6">
        <f t="shared" si="24"/>
        <v>0</v>
      </c>
      <c r="G148" s="7" t="str">
        <f t="shared" si="25"/>
        <v/>
      </c>
      <c r="I148" s="23">
        <f t="shared" si="26"/>
        <v>2001</v>
      </c>
      <c r="J148" s="23" t="str">
        <f t="shared" si="27"/>
        <v>05</v>
      </c>
      <c r="K148" s="23" t="str">
        <f t="shared" si="28"/>
        <v>2001-05-01</v>
      </c>
      <c r="M148" s="11" t="s">
        <v>657</v>
      </c>
      <c r="N148" s="11" t="s">
        <v>817</v>
      </c>
      <c r="O148" s="9">
        <v>44682</v>
      </c>
      <c r="P148" s="13">
        <v>2071260</v>
      </c>
    </row>
    <row r="149" spans="1:16" x14ac:dyDescent="0.25">
      <c r="A149" s="19" t="str">
        <f>VLOOKUP(LEFT(M149,3),Category!$G$3:$H$73,2,0)</f>
        <v>AUDIO</v>
      </c>
      <c r="B149" s="7" t="str">
        <f t="shared" si="20"/>
        <v>CBOX-X360-LW</v>
      </c>
      <c r="C149" s="7" t="str">
        <f t="shared" si="21"/>
        <v>360o Sound Speaker, Light Colour Wood</v>
      </c>
      <c r="D149" s="25" t="str">
        <f t="shared" si="22"/>
        <v>2001-05-01</v>
      </c>
      <c r="E149" s="7">
        <f t="shared" si="23"/>
        <v>2071260</v>
      </c>
      <c r="F149" s="6">
        <f t="shared" si="24"/>
        <v>0</v>
      </c>
      <c r="G149" s="7" t="str">
        <f t="shared" si="25"/>
        <v/>
      </c>
      <c r="I149" s="23">
        <f t="shared" si="26"/>
        <v>2001</v>
      </c>
      <c r="J149" s="23" t="str">
        <f t="shared" si="27"/>
        <v>05</v>
      </c>
      <c r="K149" s="23" t="str">
        <f t="shared" si="28"/>
        <v>2001-05-01</v>
      </c>
      <c r="M149" s="11" t="s">
        <v>658</v>
      </c>
      <c r="N149" s="11" t="s">
        <v>818</v>
      </c>
      <c r="O149" s="9">
        <v>44682</v>
      </c>
      <c r="P149" s="13">
        <v>2071260</v>
      </c>
    </row>
    <row r="150" spans="1:16" x14ac:dyDescent="0.25">
      <c r="A150" s="19" t="str">
        <f>VLOOKUP(LEFT(M150,3),Category!$G$3:$H$73,2,0)</f>
        <v>AUDIO</v>
      </c>
      <c r="B150" s="7" t="str">
        <f t="shared" si="20"/>
        <v>CP-SW60A1</v>
      </c>
      <c r="C150" s="7" t="str">
        <f t="shared" si="21"/>
        <v xml:space="preserve">Wireless bluetooth subwoofer </v>
      </c>
      <c r="D150" s="25" t="str">
        <f t="shared" si="22"/>
        <v>2018-10-01</v>
      </c>
      <c r="E150" s="7">
        <f t="shared" si="23"/>
        <v>333000</v>
      </c>
      <c r="F150" s="6">
        <f t="shared" si="24"/>
        <v>0</v>
      </c>
      <c r="G150" s="7" t="str">
        <f t="shared" si="25"/>
        <v/>
      </c>
      <c r="I150" s="23">
        <f t="shared" si="26"/>
        <v>2018</v>
      </c>
      <c r="J150" s="23">
        <f t="shared" si="27"/>
        <v>10</v>
      </c>
      <c r="K150" s="23" t="str">
        <f t="shared" si="28"/>
        <v>2018-10-01</v>
      </c>
      <c r="M150" s="11" t="s">
        <v>450</v>
      </c>
      <c r="N150" s="11" t="s">
        <v>819</v>
      </c>
      <c r="O150" s="9">
        <v>43374</v>
      </c>
      <c r="P150" s="13">
        <v>333000</v>
      </c>
    </row>
    <row r="151" spans="1:16" x14ac:dyDescent="0.25">
      <c r="A151" s="19" t="str">
        <f>VLOOKUP(LEFT(M151,3),Category!$G$3:$H$73,2,0)</f>
        <v>LED LIGHT</v>
      </c>
      <c r="B151" s="7" t="str">
        <f t="shared" si="20"/>
        <v>DL-0T13U</v>
      </c>
      <c r="C151" s="7" t="str">
        <f t="shared" si="21"/>
        <v/>
      </c>
      <c r="D151" s="25" t="str">
        <f t="shared" si="22"/>
        <v>1900-01-01</v>
      </c>
      <c r="E151" s="7">
        <f t="shared" si="23"/>
        <v>293706</v>
      </c>
      <c r="F151" s="6">
        <f t="shared" si="24"/>
        <v>0</v>
      </c>
      <c r="G151" s="7" t="str">
        <f t="shared" si="25"/>
        <v/>
      </c>
      <c r="I151" s="23">
        <f t="shared" si="26"/>
        <v>1900</v>
      </c>
      <c r="J151" s="23" t="str">
        <f t="shared" si="27"/>
        <v>01</v>
      </c>
      <c r="K151" s="23" t="str">
        <f t="shared" si="28"/>
        <v>1900-01-01</v>
      </c>
      <c r="M151" s="11" t="s">
        <v>514</v>
      </c>
      <c r="N151" s="11">
        <v>0</v>
      </c>
      <c r="P151" s="13">
        <v>293706</v>
      </c>
    </row>
    <row r="152" spans="1:16" x14ac:dyDescent="0.25">
      <c r="A152" s="19" t="str">
        <f>VLOOKUP(LEFT(M152,3),Category!$G$3:$H$73,2,0)</f>
        <v>LED LIGHT</v>
      </c>
      <c r="B152" s="7" t="str">
        <f t="shared" si="20"/>
        <v>DL-0TC3U</v>
      </c>
      <c r="C152" s="7" t="str">
        <f t="shared" si="21"/>
        <v/>
      </c>
      <c r="D152" s="25" t="str">
        <f t="shared" si="22"/>
        <v>1900-01-01</v>
      </c>
      <c r="E152" s="7">
        <f t="shared" si="23"/>
        <v>326007</v>
      </c>
      <c r="F152" s="6">
        <f t="shared" si="24"/>
        <v>0</v>
      </c>
      <c r="G152" s="7" t="str">
        <f t="shared" si="25"/>
        <v/>
      </c>
      <c r="I152" s="23">
        <f t="shared" si="26"/>
        <v>1900</v>
      </c>
      <c r="J152" s="23" t="str">
        <f t="shared" si="27"/>
        <v>01</v>
      </c>
      <c r="K152" s="23" t="str">
        <f t="shared" si="28"/>
        <v>1900-01-01</v>
      </c>
      <c r="M152" s="11" t="s">
        <v>515</v>
      </c>
      <c r="N152" s="11">
        <v>0</v>
      </c>
      <c r="P152" s="13">
        <v>326007</v>
      </c>
    </row>
    <row r="153" spans="1:16" x14ac:dyDescent="0.25">
      <c r="A153" s="19" t="str">
        <f>VLOOKUP(LEFT(M153,3),Category!$G$3:$H$73,2,0)</f>
        <v>LED LIGHT</v>
      </c>
      <c r="B153" s="7" t="str">
        <f t="shared" si="20"/>
        <v>DL-T431NM</v>
      </c>
      <c r="C153" s="7" t="str">
        <f t="shared" si="21"/>
        <v/>
      </c>
      <c r="D153" s="25" t="str">
        <f t="shared" si="22"/>
        <v>1900-01-01</v>
      </c>
      <c r="E153" s="7">
        <f t="shared" si="23"/>
        <v>260850</v>
      </c>
      <c r="F153" s="6">
        <f t="shared" si="24"/>
        <v>0</v>
      </c>
      <c r="G153" s="7" t="str">
        <f t="shared" si="25"/>
        <v/>
      </c>
      <c r="I153" s="23">
        <f t="shared" si="26"/>
        <v>1900</v>
      </c>
      <c r="J153" s="23" t="str">
        <f t="shared" si="27"/>
        <v>01</v>
      </c>
      <c r="K153" s="23" t="str">
        <f t="shared" si="28"/>
        <v>1900-01-01</v>
      </c>
      <c r="M153" s="11" t="s">
        <v>516</v>
      </c>
      <c r="N153" s="11">
        <v>0</v>
      </c>
      <c r="P153" s="13">
        <v>260850</v>
      </c>
    </row>
    <row r="154" spans="1:16" x14ac:dyDescent="0.25">
      <c r="A154" s="19" t="str">
        <f>VLOOKUP(LEFT(M154,3),Category!$G$3:$H$73,2,0)</f>
        <v>LED LIGHT</v>
      </c>
      <c r="B154" s="7" t="str">
        <f t="shared" si="20"/>
        <v>DL-YP046</v>
      </c>
      <c r="C154" s="7" t="str">
        <f t="shared" si="21"/>
        <v/>
      </c>
      <c r="D154" s="25" t="str">
        <f t="shared" si="22"/>
        <v>1900-01-01</v>
      </c>
      <c r="E154" s="7">
        <f t="shared" si="23"/>
        <v>229770</v>
      </c>
      <c r="F154" s="6">
        <f t="shared" si="24"/>
        <v>0</v>
      </c>
      <c r="G154" s="7" t="str">
        <f t="shared" si="25"/>
        <v/>
      </c>
      <c r="I154" s="23">
        <f t="shared" si="26"/>
        <v>1900</v>
      </c>
      <c r="J154" s="23" t="str">
        <f t="shared" si="27"/>
        <v>01</v>
      </c>
      <c r="K154" s="23" t="str">
        <f t="shared" si="28"/>
        <v>1900-01-01</v>
      </c>
      <c r="M154" s="11" t="s">
        <v>517</v>
      </c>
      <c r="N154" s="11">
        <v>0</v>
      </c>
      <c r="P154" s="13">
        <v>229770</v>
      </c>
    </row>
    <row r="155" spans="1:16" x14ac:dyDescent="0.25">
      <c r="A155" s="19" t="str">
        <f>VLOOKUP(LEFT(M155,3),Category!$G$3:$H$73,2,0)</f>
        <v>LED LIGHT</v>
      </c>
      <c r="B155" s="7" t="str">
        <f t="shared" si="20"/>
        <v>DN4A6XD474</v>
      </c>
      <c r="C155" s="7" t="str">
        <f t="shared" si="21"/>
        <v/>
      </c>
      <c r="D155" s="25" t="str">
        <f t="shared" si="22"/>
        <v>2014-01-01</v>
      </c>
      <c r="E155" s="7">
        <f t="shared" si="23"/>
        <v>144300</v>
      </c>
      <c r="F155" s="6">
        <f t="shared" si="24"/>
        <v>0</v>
      </c>
      <c r="G155" s="7" t="str">
        <f t="shared" si="25"/>
        <v/>
      </c>
      <c r="I155" s="23">
        <f t="shared" si="26"/>
        <v>2014</v>
      </c>
      <c r="J155" s="23" t="str">
        <f t="shared" si="27"/>
        <v>01</v>
      </c>
      <c r="K155" s="23" t="str">
        <f t="shared" si="28"/>
        <v>2014-01-01</v>
      </c>
      <c r="M155" s="11" t="s">
        <v>68</v>
      </c>
      <c r="N155" s="11">
        <v>0</v>
      </c>
      <c r="O155" s="9">
        <v>41653</v>
      </c>
      <c r="P155" s="13">
        <v>144300</v>
      </c>
    </row>
    <row r="156" spans="1:16" x14ac:dyDescent="0.25">
      <c r="A156" s="19" t="str">
        <f>VLOOKUP(LEFT(M156,3),Category!$G$3:$H$73,2,0)</f>
        <v>LED LIGHT</v>
      </c>
      <c r="B156" s="7" t="str">
        <f t="shared" si="20"/>
        <v>DN4A6XD475</v>
      </c>
      <c r="C156" s="7" t="str">
        <f t="shared" si="21"/>
        <v/>
      </c>
      <c r="D156" s="25" t="str">
        <f t="shared" si="22"/>
        <v>1900-01-01</v>
      </c>
      <c r="E156" s="7">
        <f t="shared" si="23"/>
        <v>177600</v>
      </c>
      <c r="F156" s="6">
        <f t="shared" si="24"/>
        <v>0</v>
      </c>
      <c r="G156" s="7" t="str">
        <f t="shared" si="25"/>
        <v/>
      </c>
      <c r="I156" s="23">
        <f t="shared" si="26"/>
        <v>1900</v>
      </c>
      <c r="J156" s="23" t="str">
        <f t="shared" si="27"/>
        <v>01</v>
      </c>
      <c r="K156" s="23" t="str">
        <f t="shared" si="28"/>
        <v>1900-01-01</v>
      </c>
      <c r="M156" s="11" t="s">
        <v>518</v>
      </c>
      <c r="N156" s="11">
        <v>0</v>
      </c>
      <c r="P156" s="13">
        <v>177600</v>
      </c>
    </row>
    <row r="157" spans="1:16" x14ac:dyDescent="0.25">
      <c r="A157" s="19" t="str">
        <f>VLOOKUP(LEFT(M157,3),Category!$G$3:$H$73,2,0)</f>
        <v>LED LIGHT</v>
      </c>
      <c r="B157" s="7" t="str">
        <f t="shared" si="20"/>
        <v>DN4A6XZ476</v>
      </c>
      <c r="C157" s="7" t="str">
        <f t="shared" si="21"/>
        <v/>
      </c>
      <c r="D157" s="25" t="str">
        <f t="shared" si="22"/>
        <v>1900-01-01</v>
      </c>
      <c r="E157" s="7">
        <f t="shared" si="23"/>
        <v>44400</v>
      </c>
      <c r="F157" s="6">
        <f t="shared" si="24"/>
        <v>0</v>
      </c>
      <c r="G157" s="7" t="str">
        <f t="shared" si="25"/>
        <v/>
      </c>
      <c r="I157" s="23">
        <f t="shared" si="26"/>
        <v>1900</v>
      </c>
      <c r="J157" s="23" t="str">
        <f t="shared" si="27"/>
        <v>01</v>
      </c>
      <c r="K157" s="23" t="str">
        <f t="shared" si="28"/>
        <v>1900-01-01</v>
      </c>
      <c r="M157" s="11" t="s">
        <v>519</v>
      </c>
      <c r="N157" s="11">
        <v>0</v>
      </c>
      <c r="P157" s="13">
        <v>44400</v>
      </c>
    </row>
    <row r="158" spans="1:16" x14ac:dyDescent="0.25">
      <c r="A158" s="19" t="str">
        <f>VLOOKUP(LEFT(M158,3),Category!$G$3:$H$73,2,0)</f>
        <v>DEHUMIDIFIER</v>
      </c>
      <c r="B158" s="7" t="str">
        <f t="shared" si="20"/>
        <v>DW-D12A-W</v>
      </c>
      <c r="C158" s="7" t="str">
        <f t="shared" si="21"/>
        <v>High Density 7000, Dry Clothing Mode, Dehumidifying Capacity, Dehumidification Area, Auto Louver</v>
      </c>
      <c r="D158" s="25" t="str">
        <f t="shared" si="22"/>
        <v>2023-01-01</v>
      </c>
      <c r="E158" s="7">
        <f t="shared" si="23"/>
        <v>3253410</v>
      </c>
      <c r="F158" s="6">
        <f t="shared" si="24"/>
        <v>0</v>
      </c>
      <c r="G158" s="7" t="str">
        <f t="shared" si="25"/>
        <v/>
      </c>
      <c r="I158" s="23">
        <f t="shared" si="26"/>
        <v>2023</v>
      </c>
      <c r="J158" s="23" t="str">
        <f t="shared" si="27"/>
        <v>01</v>
      </c>
      <c r="K158" s="23" t="str">
        <f t="shared" si="28"/>
        <v>2023-01-01</v>
      </c>
      <c r="M158" s="11" t="s">
        <v>659</v>
      </c>
      <c r="N158" s="11" t="s">
        <v>820</v>
      </c>
      <c r="O158" s="9">
        <v>44927</v>
      </c>
      <c r="P158" s="13">
        <v>3253410</v>
      </c>
    </row>
    <row r="159" spans="1:16" x14ac:dyDescent="0.25">
      <c r="A159" s="19" t="str">
        <f>VLOOKUP(LEFT(M159,3),Category!$G$3:$H$73,2,0)</f>
        <v>DEHUMIDIFIER</v>
      </c>
      <c r="B159" s="7" t="str">
        <f t="shared" si="20"/>
        <v>DW-E16FA-W</v>
      </c>
      <c r="C159" s="7" t="str">
        <f t="shared" si="21"/>
        <v>High Density 7000, 2 IN 1, Dehumidifying Capacity, Dehumidification Area, Dry Clothing Mode</v>
      </c>
      <c r="D159" s="25" t="str">
        <f t="shared" si="22"/>
        <v>2023-01-01</v>
      </c>
      <c r="E159" s="7">
        <f t="shared" si="23"/>
        <v>4689750</v>
      </c>
      <c r="F159" s="6">
        <f t="shared" si="24"/>
        <v>0</v>
      </c>
      <c r="G159" s="7" t="str">
        <f t="shared" si="25"/>
        <v/>
      </c>
      <c r="I159" s="23">
        <f t="shared" si="26"/>
        <v>2023</v>
      </c>
      <c r="J159" s="23" t="str">
        <f t="shared" si="27"/>
        <v>01</v>
      </c>
      <c r="K159" s="23" t="str">
        <f t="shared" si="28"/>
        <v>2023-01-01</v>
      </c>
      <c r="M159" s="11" t="s">
        <v>660</v>
      </c>
      <c r="N159" s="11" t="s">
        <v>821</v>
      </c>
      <c r="O159" s="9">
        <v>44927</v>
      </c>
      <c r="P159" s="13">
        <v>4689750</v>
      </c>
    </row>
    <row r="160" spans="1:16" x14ac:dyDescent="0.25">
      <c r="A160" s="19" t="str">
        <f>VLOOKUP(LEFT(M160,3),Category!$G$3:$H$73,2,0)</f>
        <v>VACUUM CLEANER</v>
      </c>
      <c r="B160" s="7" t="str">
        <f t="shared" si="20"/>
        <v>EC-8305-B</v>
      </c>
      <c r="C160" s="7" t="str">
        <f t="shared" si="21"/>
        <v xml:space="preserve">400 Watt, </v>
      </c>
      <c r="D160" s="25" t="str">
        <f t="shared" si="22"/>
        <v>2015-08-01</v>
      </c>
      <c r="E160" s="7">
        <f t="shared" si="23"/>
        <v>890220</v>
      </c>
      <c r="F160" s="6">
        <f t="shared" si="24"/>
        <v>0</v>
      </c>
      <c r="G160" s="7" t="str">
        <f t="shared" si="25"/>
        <v/>
      </c>
      <c r="I160" s="23">
        <f t="shared" si="26"/>
        <v>2015</v>
      </c>
      <c r="J160" s="23" t="str">
        <f t="shared" si="27"/>
        <v>08</v>
      </c>
      <c r="K160" s="23" t="str">
        <f t="shared" si="28"/>
        <v>2015-08-01</v>
      </c>
      <c r="M160" s="11" t="s">
        <v>372</v>
      </c>
      <c r="N160" s="11" t="s">
        <v>822</v>
      </c>
      <c r="O160" s="9">
        <v>42217</v>
      </c>
      <c r="P160" s="13">
        <v>890220</v>
      </c>
    </row>
    <row r="161" spans="1:16" x14ac:dyDescent="0.25">
      <c r="A161" s="19" t="str">
        <f>VLOOKUP(LEFT(M161,3),Category!$G$3:$H$73,2,0)</f>
        <v>VACUUM CLEANER</v>
      </c>
      <c r="B161" s="7" t="str">
        <f t="shared" si="20"/>
        <v>EC-8305-P</v>
      </c>
      <c r="C161" s="7" t="str">
        <f t="shared" si="21"/>
        <v>Low Wattage 400 Watt</v>
      </c>
      <c r="D161" s="25" t="str">
        <f t="shared" si="22"/>
        <v>2015-08-01</v>
      </c>
      <c r="E161" s="7">
        <f t="shared" si="23"/>
        <v>890220</v>
      </c>
      <c r="F161" s="6">
        <f t="shared" si="24"/>
        <v>0</v>
      </c>
      <c r="G161" s="7" t="str">
        <f t="shared" si="25"/>
        <v/>
      </c>
      <c r="I161" s="23">
        <f t="shared" si="26"/>
        <v>2015</v>
      </c>
      <c r="J161" s="23" t="str">
        <f t="shared" si="27"/>
        <v>08</v>
      </c>
      <c r="K161" s="23" t="str">
        <f t="shared" si="28"/>
        <v>2015-08-01</v>
      </c>
      <c r="M161" s="11" t="s">
        <v>373</v>
      </c>
      <c r="N161" s="11" t="s">
        <v>823</v>
      </c>
      <c r="O161" s="9">
        <v>42217</v>
      </c>
      <c r="P161" s="13">
        <v>890220</v>
      </c>
    </row>
    <row r="162" spans="1:16" x14ac:dyDescent="0.25">
      <c r="A162" s="19" t="str">
        <f>VLOOKUP(LEFT(M162,3),Category!$G$3:$H$73,2,0)</f>
        <v>VACUUM CLEANER</v>
      </c>
      <c r="B162" s="7" t="str">
        <f t="shared" si="20"/>
        <v>EC-CW60</v>
      </c>
      <c r="C162" s="7" t="str">
        <f t="shared" si="21"/>
        <v>Wet and Dry 600 Watt</v>
      </c>
      <c r="D162" s="25" t="str">
        <f t="shared" si="22"/>
        <v>2009-08-01</v>
      </c>
      <c r="E162" s="7">
        <f t="shared" si="23"/>
        <v>922410</v>
      </c>
      <c r="F162" s="6">
        <f t="shared" si="24"/>
        <v>0</v>
      </c>
      <c r="G162" s="7" t="str">
        <f t="shared" si="25"/>
        <v/>
      </c>
      <c r="I162" s="23">
        <f t="shared" si="26"/>
        <v>2009</v>
      </c>
      <c r="J162" s="23" t="str">
        <f t="shared" si="27"/>
        <v>08</v>
      </c>
      <c r="K162" s="23" t="str">
        <f t="shared" si="28"/>
        <v>2009-08-01</v>
      </c>
      <c r="M162" s="11" t="s">
        <v>28</v>
      </c>
      <c r="N162" s="11" t="s">
        <v>824</v>
      </c>
      <c r="O162" s="9">
        <v>40026</v>
      </c>
      <c r="P162" s="13">
        <v>922410</v>
      </c>
    </row>
    <row r="163" spans="1:16" x14ac:dyDescent="0.25">
      <c r="A163" s="19" t="str">
        <f>VLOOKUP(LEFT(M163,3),Category!$G$3:$H$73,2,0)</f>
        <v>VACUUM CLEANER</v>
      </c>
      <c r="B163" s="7" t="str">
        <f t="shared" si="20"/>
        <v>EC-HX100Y-S</v>
      </c>
      <c r="C163" s="7" t="str">
        <f t="shared" si="21"/>
        <v/>
      </c>
      <c r="D163" s="25" t="str">
        <f t="shared" si="22"/>
        <v>2015-11-01</v>
      </c>
      <c r="E163" s="7">
        <f t="shared" si="23"/>
        <v>2664000</v>
      </c>
      <c r="F163" s="6">
        <f t="shared" si="24"/>
        <v>0</v>
      </c>
      <c r="G163" s="7" t="str">
        <f t="shared" si="25"/>
        <v/>
      </c>
      <c r="I163" s="23">
        <f t="shared" si="26"/>
        <v>2015</v>
      </c>
      <c r="J163" s="23">
        <f t="shared" si="27"/>
        <v>11</v>
      </c>
      <c r="K163" s="23" t="str">
        <f t="shared" si="28"/>
        <v>2015-11-01</v>
      </c>
      <c r="M163" s="11" t="s">
        <v>473</v>
      </c>
      <c r="N163" s="11">
        <v>0</v>
      </c>
      <c r="O163" s="9">
        <v>42309</v>
      </c>
      <c r="P163" s="13">
        <v>2664000</v>
      </c>
    </row>
    <row r="164" spans="1:16" x14ac:dyDescent="0.25">
      <c r="A164" s="19" t="str">
        <f>VLOOKUP(LEFT(M164,3),Category!$G$3:$H$73,2,0)</f>
        <v>VACUUM CLEANER</v>
      </c>
      <c r="B164" s="7" t="str">
        <f t="shared" si="20"/>
        <v>EC-NS18-BK</v>
      </c>
      <c r="C164" s="7" t="str">
        <f t="shared" si="21"/>
        <v>Bagless vacum cleaner,low wattage 450 watt, dry vacum cleaner, black colour</v>
      </c>
      <c r="D164" s="25" t="str">
        <f t="shared" si="22"/>
        <v>2017-11-01</v>
      </c>
      <c r="E164" s="7">
        <f t="shared" si="23"/>
        <v>946830</v>
      </c>
      <c r="F164" s="6">
        <f t="shared" si="24"/>
        <v>0</v>
      </c>
      <c r="G164" s="7" t="str">
        <f t="shared" si="25"/>
        <v/>
      </c>
      <c r="I164" s="23">
        <f t="shared" si="26"/>
        <v>2017</v>
      </c>
      <c r="J164" s="23">
        <f t="shared" si="27"/>
        <v>11</v>
      </c>
      <c r="K164" s="23" t="str">
        <f t="shared" si="28"/>
        <v>2017-11-01</v>
      </c>
      <c r="M164" s="11" t="s">
        <v>475</v>
      </c>
      <c r="N164" s="11" t="s">
        <v>825</v>
      </c>
      <c r="O164" s="9">
        <v>43040</v>
      </c>
      <c r="P164" s="13">
        <v>946830</v>
      </c>
    </row>
    <row r="165" spans="1:16" x14ac:dyDescent="0.25">
      <c r="A165" s="19" t="str">
        <f>VLOOKUP(LEFT(M165,3),Category!$G$3:$H$73,2,0)</f>
        <v>VACUUM CLEANER</v>
      </c>
      <c r="B165" s="7" t="str">
        <f t="shared" si="20"/>
        <v>EC-NS18-RD</v>
      </c>
      <c r="C165" s="7" t="str">
        <f t="shared" si="21"/>
        <v>Bagless vacum cleaner,low wattage 450 watt, dry vacum cleaner, red colour</v>
      </c>
      <c r="D165" s="25" t="str">
        <f t="shared" si="22"/>
        <v>2017-11-01</v>
      </c>
      <c r="E165" s="7">
        <f t="shared" si="23"/>
        <v>946830</v>
      </c>
      <c r="F165" s="6">
        <f t="shared" si="24"/>
        <v>0</v>
      </c>
      <c r="G165" s="7" t="str">
        <f t="shared" si="25"/>
        <v/>
      </c>
      <c r="I165" s="23">
        <f t="shared" si="26"/>
        <v>2017</v>
      </c>
      <c r="J165" s="23">
        <f t="shared" si="27"/>
        <v>11</v>
      </c>
      <c r="K165" s="23" t="str">
        <f t="shared" si="28"/>
        <v>2017-11-01</v>
      </c>
      <c r="M165" s="11" t="s">
        <v>476</v>
      </c>
      <c r="N165" s="11" t="s">
        <v>826</v>
      </c>
      <c r="O165" s="9">
        <v>43040</v>
      </c>
      <c r="P165" s="13">
        <v>946830</v>
      </c>
    </row>
    <row r="166" spans="1:16" x14ac:dyDescent="0.25">
      <c r="A166" s="19" t="str">
        <f>VLOOKUP(LEFT(M166,3),Category!$G$3:$H$73,2,0)</f>
        <v>VACUUM CLEANER</v>
      </c>
      <c r="B166" s="7" t="str">
        <f t="shared" si="20"/>
        <v>EC-SA95Y-R</v>
      </c>
      <c r="C166" s="7" t="str">
        <f t="shared" si="21"/>
        <v>Cordless vacuum cleaner with Mop Kit, Mopping System with water release, Detachable Battery Pack</v>
      </c>
      <c r="D166" s="25" t="str">
        <f t="shared" si="22"/>
        <v>2021-07-01</v>
      </c>
      <c r="E166" s="7">
        <f t="shared" si="23"/>
        <v>2377620</v>
      </c>
      <c r="F166" s="6">
        <f t="shared" si="24"/>
        <v>0</v>
      </c>
      <c r="G166" s="7" t="str">
        <f t="shared" si="25"/>
        <v/>
      </c>
      <c r="I166" s="23">
        <f t="shared" si="26"/>
        <v>2021</v>
      </c>
      <c r="J166" s="23" t="str">
        <f t="shared" si="27"/>
        <v>07</v>
      </c>
      <c r="K166" s="23" t="str">
        <f t="shared" si="28"/>
        <v>2021-07-01</v>
      </c>
      <c r="M166" s="11" t="s">
        <v>367</v>
      </c>
      <c r="N166" s="11" t="s">
        <v>827</v>
      </c>
      <c r="O166" s="9">
        <v>44378</v>
      </c>
      <c r="P166" s="13">
        <v>2377620</v>
      </c>
    </row>
    <row r="167" spans="1:16" x14ac:dyDescent="0.25">
      <c r="A167" s="19" t="str">
        <f>VLOOKUP(LEFT(M167,3),Category!$G$3:$H$73,2,0)</f>
        <v>SMALL HOME APPLIANCES</v>
      </c>
      <c r="B167" s="7" t="str">
        <f t="shared" si="20"/>
        <v>EI-N05-B</v>
      </c>
      <c r="C167" s="7" t="str">
        <f t="shared" si="21"/>
        <v/>
      </c>
      <c r="D167" s="25" t="str">
        <f t="shared" si="22"/>
        <v>2018-07-01</v>
      </c>
      <c r="E167" s="7">
        <f t="shared" si="23"/>
        <v>189810</v>
      </c>
      <c r="F167" s="6">
        <f t="shared" si="24"/>
        <v>0</v>
      </c>
      <c r="G167" s="7" t="str">
        <f t="shared" si="25"/>
        <v/>
      </c>
      <c r="I167" s="23">
        <f t="shared" si="26"/>
        <v>2018</v>
      </c>
      <c r="J167" s="23" t="str">
        <f t="shared" si="27"/>
        <v>07</v>
      </c>
      <c r="K167" s="23" t="str">
        <f t="shared" si="28"/>
        <v>2018-07-01</v>
      </c>
      <c r="M167" s="11" t="s">
        <v>345</v>
      </c>
      <c r="N167" s="11">
        <v>0</v>
      </c>
      <c r="O167" s="9">
        <v>43282</v>
      </c>
      <c r="P167" s="13">
        <v>189810</v>
      </c>
    </row>
    <row r="168" spans="1:16" x14ac:dyDescent="0.25">
      <c r="A168" s="19" t="str">
        <f>VLOOKUP(LEFT(M168,3),Category!$G$3:$H$73,2,0)</f>
        <v>SMALL HOME APPLIANCES</v>
      </c>
      <c r="B168" s="7" t="str">
        <f t="shared" si="20"/>
        <v>EI-N05-P</v>
      </c>
      <c r="C168" s="7" t="str">
        <f t="shared" si="21"/>
        <v/>
      </c>
      <c r="D168" s="25" t="str">
        <f t="shared" si="22"/>
        <v>2018-07-01</v>
      </c>
      <c r="E168" s="7">
        <f t="shared" si="23"/>
        <v>189810</v>
      </c>
      <c r="F168" s="6">
        <f t="shared" si="24"/>
        <v>0</v>
      </c>
      <c r="G168" s="7" t="str">
        <f t="shared" si="25"/>
        <v/>
      </c>
      <c r="I168" s="23">
        <f t="shared" si="26"/>
        <v>2018</v>
      </c>
      <c r="J168" s="23" t="str">
        <f t="shared" si="27"/>
        <v>07</v>
      </c>
      <c r="K168" s="23" t="str">
        <f t="shared" si="28"/>
        <v>2018-07-01</v>
      </c>
      <c r="M168" s="11" t="s">
        <v>346</v>
      </c>
      <c r="N168" s="11">
        <v>0</v>
      </c>
      <c r="O168" s="9">
        <v>43282</v>
      </c>
      <c r="P168" s="13">
        <v>189810</v>
      </c>
    </row>
    <row r="169" spans="1:16" x14ac:dyDescent="0.25">
      <c r="A169" s="19" t="str">
        <f>VLOOKUP(LEFT(M169,3),Category!$G$3:$H$73,2,0)</f>
        <v>SMALL HOME APPLIANCES</v>
      </c>
      <c r="B169" s="7" t="str">
        <f t="shared" si="20"/>
        <v>EI-N10-GY</v>
      </c>
      <c r="C169" s="7" t="str">
        <f t="shared" si="21"/>
        <v>Electric Iron (Dry), 350W</v>
      </c>
      <c r="D169" s="25" t="str">
        <f t="shared" si="22"/>
        <v>2001-11-01</v>
      </c>
      <c r="E169" s="7">
        <f t="shared" si="23"/>
        <v>203130</v>
      </c>
      <c r="F169" s="6">
        <f t="shared" si="24"/>
        <v>0</v>
      </c>
      <c r="G169" s="7" t="str">
        <f t="shared" si="25"/>
        <v/>
      </c>
      <c r="I169" s="23">
        <f t="shared" si="26"/>
        <v>2001</v>
      </c>
      <c r="J169" s="23">
        <f t="shared" si="27"/>
        <v>11</v>
      </c>
      <c r="K169" s="23" t="str">
        <f t="shared" si="28"/>
        <v>2001-11-01</v>
      </c>
      <c r="M169" s="11" t="s">
        <v>661</v>
      </c>
      <c r="N169" s="11" t="s">
        <v>828</v>
      </c>
      <c r="O169" s="9">
        <v>44866</v>
      </c>
      <c r="P169" s="13">
        <v>203130</v>
      </c>
    </row>
    <row r="170" spans="1:16" x14ac:dyDescent="0.25">
      <c r="A170" s="19" t="str">
        <f>VLOOKUP(LEFT(M170,3),Category!$G$3:$H$73,2,0)</f>
        <v>SMALL HOME APPLIANCES</v>
      </c>
      <c r="B170" s="7" t="str">
        <f t="shared" si="20"/>
        <v>EI-N10-WH</v>
      </c>
      <c r="C170" s="7" t="str">
        <f t="shared" si="21"/>
        <v>Electric Iron (Dry), 350W</v>
      </c>
      <c r="D170" s="25" t="str">
        <f t="shared" si="22"/>
        <v>2001-11-01</v>
      </c>
      <c r="E170" s="7">
        <f t="shared" si="23"/>
        <v>203130</v>
      </c>
      <c r="F170" s="6">
        <f t="shared" si="24"/>
        <v>0</v>
      </c>
      <c r="G170" s="7" t="str">
        <f t="shared" si="25"/>
        <v/>
      </c>
      <c r="I170" s="23">
        <f t="shared" si="26"/>
        <v>2001</v>
      </c>
      <c r="J170" s="23">
        <f t="shared" si="27"/>
        <v>11</v>
      </c>
      <c r="K170" s="23" t="str">
        <f t="shared" si="28"/>
        <v>2001-11-01</v>
      </c>
      <c r="M170" s="11" t="s">
        <v>662</v>
      </c>
      <c r="N170" s="11" t="s">
        <v>828</v>
      </c>
      <c r="O170" s="9">
        <v>44866</v>
      </c>
      <c r="P170" s="13">
        <v>203130</v>
      </c>
    </row>
    <row r="171" spans="1:16" x14ac:dyDescent="0.25">
      <c r="A171" s="19" t="str">
        <f>VLOOKUP(LEFT(M171,3),Category!$G$3:$H$73,2,0)</f>
        <v>SMALL HOME APPLIANCES</v>
      </c>
      <c r="B171" s="7" t="str">
        <f t="shared" si="20"/>
        <v>EJ-C20Y-RD</v>
      </c>
      <c r="C171" s="7" t="str">
        <f t="shared" si="21"/>
        <v>Slow juicer, power 150 W, Grinding technology</v>
      </c>
      <c r="D171" s="25" t="str">
        <f t="shared" si="22"/>
        <v>2017-02-01</v>
      </c>
      <c r="E171" s="7">
        <f t="shared" si="23"/>
        <v>2170050</v>
      </c>
      <c r="F171" s="6">
        <f t="shared" si="24"/>
        <v>0</v>
      </c>
      <c r="G171" s="7" t="str">
        <f t="shared" si="25"/>
        <v/>
      </c>
      <c r="I171" s="23">
        <f t="shared" si="26"/>
        <v>2017</v>
      </c>
      <c r="J171" s="23" t="str">
        <f t="shared" si="27"/>
        <v>02</v>
      </c>
      <c r="K171" s="23" t="str">
        <f t="shared" si="28"/>
        <v>2017-02-01</v>
      </c>
      <c r="M171" s="11" t="s">
        <v>132</v>
      </c>
      <c r="N171" s="11" t="s">
        <v>829</v>
      </c>
      <c r="O171" s="9">
        <v>42767</v>
      </c>
      <c r="P171" s="13">
        <v>2170050</v>
      </c>
    </row>
    <row r="172" spans="1:16" x14ac:dyDescent="0.25">
      <c r="A172" s="19" t="str">
        <f>VLOOKUP(LEFT(M172,3),Category!$G$3:$H$73,2,0)</f>
        <v>SMALL HOME APPLIANCES</v>
      </c>
      <c r="B172" s="7" t="str">
        <f t="shared" si="20"/>
        <v>EKJ-156-BK</v>
      </c>
      <c r="C172" s="7" t="str">
        <f t="shared" si="21"/>
        <v>Auto lid opening function, Dry boil protection, On/off switch with indicator light, Capacity 1.5L</v>
      </c>
      <c r="D172" s="25" t="str">
        <f t="shared" si="22"/>
        <v>2018-05-01</v>
      </c>
      <c r="E172" s="7">
        <f t="shared" si="23"/>
        <v>344100</v>
      </c>
      <c r="F172" s="6">
        <f t="shared" si="24"/>
        <v>0</v>
      </c>
      <c r="G172" s="7" t="str">
        <f t="shared" si="25"/>
        <v/>
      </c>
      <c r="I172" s="23">
        <f t="shared" si="26"/>
        <v>2018</v>
      </c>
      <c r="J172" s="23" t="str">
        <f t="shared" si="27"/>
        <v>05</v>
      </c>
      <c r="K172" s="23" t="str">
        <f t="shared" si="28"/>
        <v>2018-05-01</v>
      </c>
      <c r="M172" s="11" t="s">
        <v>256</v>
      </c>
      <c r="N172" s="11" t="s">
        <v>830</v>
      </c>
      <c r="O172" s="9">
        <v>43221</v>
      </c>
      <c r="P172" s="13">
        <v>344100</v>
      </c>
    </row>
    <row r="173" spans="1:16" x14ac:dyDescent="0.25">
      <c r="A173" s="19" t="str">
        <f>VLOOKUP(LEFT(M173,3),Category!$G$3:$H$73,2,0)</f>
        <v>SMALL HOME APPLIANCES</v>
      </c>
      <c r="B173" s="7" t="str">
        <f t="shared" si="20"/>
        <v>EKJ-177-BK</v>
      </c>
      <c r="C173" s="7" t="str">
        <f t="shared" si="21"/>
        <v>Kettle jug,Black colour,1.7 Liter,800 Watt,Double layer cool touch body</v>
      </c>
      <c r="D173" s="25" t="str">
        <f t="shared" si="22"/>
        <v>2020-12-01</v>
      </c>
      <c r="E173" s="7">
        <f t="shared" si="23"/>
        <v>352980</v>
      </c>
      <c r="F173" s="6">
        <f t="shared" si="24"/>
        <v>0</v>
      </c>
      <c r="G173" s="7" t="str">
        <f t="shared" si="25"/>
        <v/>
      </c>
      <c r="I173" s="23">
        <f t="shared" si="26"/>
        <v>2020</v>
      </c>
      <c r="J173" s="23">
        <f t="shared" si="27"/>
        <v>12</v>
      </c>
      <c r="K173" s="23" t="str">
        <f t="shared" si="28"/>
        <v>2020-12-01</v>
      </c>
      <c r="M173" s="11" t="s">
        <v>505</v>
      </c>
      <c r="N173" s="11" t="s">
        <v>831</v>
      </c>
      <c r="O173" s="9">
        <v>44166</v>
      </c>
      <c r="P173" s="13">
        <v>352980</v>
      </c>
    </row>
    <row r="174" spans="1:16" x14ac:dyDescent="0.25">
      <c r="A174" s="19" t="str">
        <f>VLOOKUP(LEFT(M174,3),Category!$G$3:$H$73,2,0)</f>
        <v>SMALL HOME APPLIANCES</v>
      </c>
      <c r="B174" s="7" t="str">
        <f t="shared" si="20"/>
        <v>EKJ-177-WH</v>
      </c>
      <c r="C174" s="7" t="str">
        <f t="shared" si="21"/>
        <v>Kettle jug,White colour,1.7 Liter,800 Watt,Double layer cool touch body</v>
      </c>
      <c r="D174" s="25" t="str">
        <f t="shared" si="22"/>
        <v>2020-12-01</v>
      </c>
      <c r="E174" s="7">
        <f t="shared" si="23"/>
        <v>352980</v>
      </c>
      <c r="F174" s="6">
        <f t="shared" si="24"/>
        <v>0</v>
      </c>
      <c r="G174" s="7" t="str">
        <f t="shared" si="25"/>
        <v/>
      </c>
      <c r="I174" s="23">
        <f t="shared" si="26"/>
        <v>2020</v>
      </c>
      <c r="J174" s="23">
        <f t="shared" si="27"/>
        <v>12</v>
      </c>
      <c r="K174" s="23" t="str">
        <f t="shared" si="28"/>
        <v>2020-12-01</v>
      </c>
      <c r="M174" s="11" t="s">
        <v>506</v>
      </c>
      <c r="N174" s="11" t="s">
        <v>832</v>
      </c>
      <c r="O174" s="9">
        <v>44166</v>
      </c>
      <c r="P174" s="13">
        <v>352980</v>
      </c>
    </row>
    <row r="175" spans="1:16" x14ac:dyDescent="0.25">
      <c r="A175" s="19" t="str">
        <f>VLOOKUP(LEFT(M175,3),Category!$G$3:$H$73,2,0)</f>
        <v>SMALL HOME APPLIANCES</v>
      </c>
      <c r="B175" s="7" t="str">
        <f t="shared" si="20"/>
        <v>EKJ-178S</v>
      </c>
      <c r="C175" s="7" t="str">
        <f t="shared" si="21"/>
        <v>Kettle jug,Stainless body,1.7 Liter,800 Watt,with boil-dry protection</v>
      </c>
      <c r="D175" s="25" t="str">
        <f t="shared" si="22"/>
        <v>2020-12-01</v>
      </c>
      <c r="E175" s="7">
        <f t="shared" si="23"/>
        <v>360750</v>
      </c>
      <c r="F175" s="6">
        <f t="shared" si="24"/>
        <v>0</v>
      </c>
      <c r="G175" s="7" t="str">
        <f t="shared" si="25"/>
        <v/>
      </c>
      <c r="I175" s="23">
        <f t="shared" si="26"/>
        <v>2020</v>
      </c>
      <c r="J175" s="23">
        <f t="shared" si="27"/>
        <v>12</v>
      </c>
      <c r="K175" s="23" t="str">
        <f t="shared" si="28"/>
        <v>2020-12-01</v>
      </c>
      <c r="M175" s="11" t="s">
        <v>507</v>
      </c>
      <c r="N175" s="11" t="s">
        <v>833</v>
      </c>
      <c r="O175" s="9">
        <v>44166</v>
      </c>
      <c r="P175" s="13">
        <v>360750</v>
      </c>
    </row>
    <row r="176" spans="1:16" x14ac:dyDescent="0.25">
      <c r="A176" s="19" t="str">
        <f>VLOOKUP(LEFT(M176,3),Category!$G$3:$H$73,2,0)</f>
        <v>SMALL HOME APPLIANCES</v>
      </c>
      <c r="B176" s="7" t="str">
        <f t="shared" si="20"/>
        <v>EM-120-WH</v>
      </c>
      <c r="C176" s="7" t="str">
        <f t="shared" si="21"/>
        <v>Blender, plastic jug, capacity 1.25L</v>
      </c>
      <c r="D176" s="25" t="str">
        <f t="shared" si="22"/>
        <v>2017-02-01</v>
      </c>
      <c r="E176" s="7">
        <f t="shared" si="23"/>
        <v>377400</v>
      </c>
      <c r="F176" s="6">
        <f t="shared" si="24"/>
        <v>0</v>
      </c>
      <c r="G176" s="7" t="str">
        <f t="shared" si="25"/>
        <v/>
      </c>
      <c r="I176" s="23">
        <f t="shared" si="26"/>
        <v>2017</v>
      </c>
      <c r="J176" s="23" t="str">
        <f t="shared" si="27"/>
        <v>02</v>
      </c>
      <c r="K176" s="23" t="str">
        <f t="shared" si="28"/>
        <v>2017-02-01</v>
      </c>
      <c r="M176" s="11" t="s">
        <v>75</v>
      </c>
      <c r="N176" s="11" t="s">
        <v>834</v>
      </c>
      <c r="O176" s="9">
        <v>42783</v>
      </c>
      <c r="P176" s="13">
        <v>377400</v>
      </c>
    </row>
    <row r="177" spans="1:16" x14ac:dyDescent="0.25">
      <c r="A177" s="19" t="str">
        <f>VLOOKUP(LEFT(M177,3),Category!$G$3:$H$73,2,0)</f>
        <v>SMALL HOME APPLIANCES</v>
      </c>
      <c r="B177" s="7" t="str">
        <f t="shared" si="20"/>
        <v>EM-121-BK</v>
      </c>
      <c r="C177" s="7" t="str">
        <f t="shared" si="21"/>
        <v>Blender, plastic jug, capacity 1.25L</v>
      </c>
      <c r="D177" s="25" t="str">
        <f t="shared" si="22"/>
        <v>2017-02-01</v>
      </c>
      <c r="E177" s="7">
        <f t="shared" si="23"/>
        <v>377400</v>
      </c>
      <c r="F177" s="6">
        <f t="shared" si="24"/>
        <v>0</v>
      </c>
      <c r="G177" s="7" t="str">
        <f t="shared" si="25"/>
        <v/>
      </c>
      <c r="I177" s="23">
        <f t="shared" si="26"/>
        <v>2017</v>
      </c>
      <c r="J177" s="23" t="str">
        <f t="shared" si="27"/>
        <v>02</v>
      </c>
      <c r="K177" s="23" t="str">
        <f t="shared" si="28"/>
        <v>2017-02-01</v>
      </c>
      <c r="M177" s="11" t="s">
        <v>76</v>
      </c>
      <c r="N177" s="11" t="s">
        <v>834</v>
      </c>
      <c r="O177" s="9">
        <v>42783</v>
      </c>
      <c r="P177" s="13">
        <v>377400</v>
      </c>
    </row>
    <row r="178" spans="1:16" x14ac:dyDescent="0.25">
      <c r="A178" s="19" t="str">
        <f>VLOOKUP(LEFT(M178,3),Category!$G$3:$H$73,2,0)</f>
        <v>SMALL HOME APPLIANCES</v>
      </c>
      <c r="B178" s="7" t="str">
        <f t="shared" si="20"/>
        <v>EM-125L(W)</v>
      </c>
      <c r="C178" s="7" t="str">
        <f t="shared" si="21"/>
        <v>variable speed button, Plastic jug 1000ml</v>
      </c>
      <c r="D178" s="25" t="str">
        <f t="shared" si="22"/>
        <v>2010-02-01</v>
      </c>
      <c r="E178" s="7">
        <f t="shared" si="23"/>
        <v>436230</v>
      </c>
      <c r="F178" s="6">
        <f t="shared" si="24"/>
        <v>0</v>
      </c>
      <c r="G178" s="7" t="str">
        <f t="shared" si="25"/>
        <v/>
      </c>
      <c r="I178" s="23">
        <f t="shared" si="26"/>
        <v>2010</v>
      </c>
      <c r="J178" s="23" t="str">
        <f t="shared" si="27"/>
        <v>02</v>
      </c>
      <c r="K178" s="23" t="str">
        <f t="shared" si="28"/>
        <v>2010-02-01</v>
      </c>
      <c r="M178" s="11" t="s">
        <v>32</v>
      </c>
      <c r="N178" s="11" t="s">
        <v>835</v>
      </c>
      <c r="O178" s="9">
        <v>40210</v>
      </c>
      <c r="P178" s="13">
        <v>436230</v>
      </c>
    </row>
    <row r="179" spans="1:16" x14ac:dyDescent="0.25">
      <c r="A179" s="19" t="str">
        <f>VLOOKUP(LEFT(M179,3),Category!$G$3:$H$73,2,0)</f>
        <v>SMALL HOME APPLIANCES</v>
      </c>
      <c r="B179" s="7" t="str">
        <f t="shared" si="20"/>
        <v>EM-151G-GY</v>
      </c>
      <c r="C179" s="7" t="str">
        <f t="shared" si="21"/>
        <v>Blender Glass Jug 1.5L, 350W</v>
      </c>
      <c r="D179" s="25" t="str">
        <f t="shared" si="22"/>
        <v>2001-11-01</v>
      </c>
      <c r="E179" s="7">
        <f t="shared" si="23"/>
        <v>449550</v>
      </c>
      <c r="F179" s="6">
        <f t="shared" si="24"/>
        <v>0</v>
      </c>
      <c r="G179" s="7" t="str">
        <f t="shared" si="25"/>
        <v/>
      </c>
      <c r="I179" s="23">
        <f t="shared" si="26"/>
        <v>2001</v>
      </c>
      <c r="J179" s="23">
        <f t="shared" si="27"/>
        <v>11</v>
      </c>
      <c r="K179" s="23" t="str">
        <f t="shared" si="28"/>
        <v>2001-11-01</v>
      </c>
      <c r="M179" s="11" t="s">
        <v>663</v>
      </c>
      <c r="N179" s="11" t="s">
        <v>836</v>
      </c>
      <c r="O179" s="9">
        <v>44866</v>
      </c>
      <c r="P179" s="13">
        <v>449550</v>
      </c>
    </row>
    <row r="180" spans="1:16" x14ac:dyDescent="0.25">
      <c r="A180" s="19" t="str">
        <f>VLOOKUP(LEFT(M180,3),Category!$G$3:$H$73,2,0)</f>
        <v>SMALL HOME APPLIANCES</v>
      </c>
      <c r="B180" s="7" t="str">
        <f t="shared" si="20"/>
        <v>EM-151P-WH</v>
      </c>
      <c r="C180" s="7" t="str">
        <f t="shared" si="21"/>
        <v>Blender Plastic Jug 1.5L, 350W</v>
      </c>
      <c r="D180" s="25" t="str">
        <f t="shared" si="22"/>
        <v>2001-11-01</v>
      </c>
      <c r="E180" s="7">
        <f t="shared" si="23"/>
        <v>424020</v>
      </c>
      <c r="F180" s="6">
        <f t="shared" si="24"/>
        <v>0</v>
      </c>
      <c r="G180" s="7" t="str">
        <f t="shared" si="25"/>
        <v/>
      </c>
      <c r="I180" s="23">
        <f t="shared" si="26"/>
        <v>2001</v>
      </c>
      <c r="J180" s="23">
        <f t="shared" si="27"/>
        <v>11</v>
      </c>
      <c r="K180" s="23" t="str">
        <f t="shared" si="28"/>
        <v>2001-11-01</v>
      </c>
      <c r="M180" s="11" t="s">
        <v>664</v>
      </c>
      <c r="N180" s="11" t="s">
        <v>837</v>
      </c>
      <c r="O180" s="9">
        <v>44866</v>
      </c>
      <c r="P180" s="13">
        <v>424020</v>
      </c>
    </row>
    <row r="181" spans="1:16" x14ac:dyDescent="0.25">
      <c r="A181" s="19" t="str">
        <f>VLOOKUP(LEFT(M181,3),Category!$G$3:$H$73,2,0)</f>
        <v>SMALL HOME APPLIANCES</v>
      </c>
      <c r="B181" s="7" t="str">
        <f t="shared" si="20"/>
        <v>EM-152G-BL</v>
      </c>
      <c r="C181" s="7" t="str">
        <f t="shared" si="21"/>
        <v>Blender Glass Jug 1.5L with Chopper, 350W</v>
      </c>
      <c r="D181" s="25" t="str">
        <f t="shared" si="22"/>
        <v>2001-11-01</v>
      </c>
      <c r="E181" s="7">
        <f t="shared" si="23"/>
        <v>583860</v>
      </c>
      <c r="F181" s="6">
        <f t="shared" si="24"/>
        <v>0</v>
      </c>
      <c r="G181" s="7" t="str">
        <f t="shared" si="25"/>
        <v/>
      </c>
      <c r="I181" s="23">
        <f t="shared" si="26"/>
        <v>2001</v>
      </c>
      <c r="J181" s="23">
        <f t="shared" si="27"/>
        <v>11</v>
      </c>
      <c r="K181" s="23" t="str">
        <f t="shared" si="28"/>
        <v>2001-11-01</v>
      </c>
      <c r="M181" s="11" t="s">
        <v>665</v>
      </c>
      <c r="N181" s="11" t="s">
        <v>838</v>
      </c>
      <c r="O181" s="9">
        <v>44866</v>
      </c>
      <c r="P181" s="13">
        <v>583860</v>
      </c>
    </row>
    <row r="182" spans="1:16" x14ac:dyDescent="0.25">
      <c r="A182" s="19" t="str">
        <f>VLOOKUP(LEFT(M182,3),Category!$G$3:$H$73,2,0)</f>
        <v>SMALL HOME APPLIANCES</v>
      </c>
      <c r="B182" s="7" t="str">
        <f t="shared" si="20"/>
        <v>EM-152P-PK</v>
      </c>
      <c r="C182" s="7" t="str">
        <f t="shared" si="21"/>
        <v>Blender Plastic Jug 1.5L with Chopper, 350W</v>
      </c>
      <c r="D182" s="25" t="str">
        <f t="shared" si="22"/>
        <v>2001-11-01</v>
      </c>
      <c r="E182" s="7">
        <f t="shared" si="23"/>
        <v>558330</v>
      </c>
      <c r="F182" s="6">
        <f t="shared" si="24"/>
        <v>0</v>
      </c>
      <c r="G182" s="7" t="str">
        <f t="shared" si="25"/>
        <v/>
      </c>
      <c r="I182" s="23">
        <f t="shared" si="26"/>
        <v>2001</v>
      </c>
      <c r="J182" s="23">
        <f t="shared" si="27"/>
        <v>11</v>
      </c>
      <c r="K182" s="23" t="str">
        <f t="shared" si="28"/>
        <v>2001-11-01</v>
      </c>
      <c r="M182" s="11" t="s">
        <v>666</v>
      </c>
      <c r="N182" s="11" t="s">
        <v>839</v>
      </c>
      <c r="O182" s="9">
        <v>44866</v>
      </c>
      <c r="P182" s="13">
        <v>558330</v>
      </c>
    </row>
    <row r="183" spans="1:16" x14ac:dyDescent="0.25">
      <c r="A183" s="19" t="str">
        <f>VLOOKUP(LEFT(M183,3),Category!$G$3:$H$73,2,0)</f>
        <v>SMALL HOME APPLIANCES</v>
      </c>
      <c r="B183" s="7" t="str">
        <f t="shared" si="20"/>
        <v>EM-181-GR</v>
      </c>
      <c r="C183" s="7" t="str">
        <f t="shared" si="21"/>
        <v>Blender &amp; Food Processor</v>
      </c>
      <c r="D183" s="25" t="str">
        <f t="shared" si="22"/>
        <v>2019-04-01</v>
      </c>
      <c r="E183" s="7">
        <f t="shared" si="23"/>
        <v>997890</v>
      </c>
      <c r="F183" s="6">
        <f t="shared" si="24"/>
        <v>0</v>
      </c>
      <c r="G183" s="7" t="str">
        <f t="shared" si="25"/>
        <v/>
      </c>
      <c r="I183" s="23">
        <f t="shared" si="26"/>
        <v>2019</v>
      </c>
      <c r="J183" s="23" t="str">
        <f t="shared" si="27"/>
        <v>04</v>
      </c>
      <c r="K183" s="23" t="str">
        <f t="shared" si="28"/>
        <v>2019-04-01</v>
      </c>
      <c r="M183" s="11" t="s">
        <v>215</v>
      </c>
      <c r="N183" s="11" t="s">
        <v>840</v>
      </c>
      <c r="O183" s="9">
        <v>43556</v>
      </c>
      <c r="P183" s="13">
        <v>997890</v>
      </c>
    </row>
    <row r="184" spans="1:16" x14ac:dyDescent="0.25">
      <c r="A184" s="19" t="str">
        <f>VLOOKUP(LEFT(M184,3),Category!$G$3:$H$73,2,0)</f>
        <v>SMALL HOME APPLIANCES</v>
      </c>
      <c r="B184" s="7" t="str">
        <f t="shared" si="20"/>
        <v>EM-181-ST</v>
      </c>
      <c r="C184" s="7" t="str">
        <f t="shared" si="21"/>
        <v>Blender &amp; Food Processor</v>
      </c>
      <c r="D184" s="25" t="str">
        <f t="shared" si="22"/>
        <v>2019-04-01</v>
      </c>
      <c r="E184" s="7">
        <f t="shared" si="23"/>
        <v>997890</v>
      </c>
      <c r="F184" s="6">
        <f t="shared" si="24"/>
        <v>0</v>
      </c>
      <c r="G184" s="7" t="str">
        <f t="shared" si="25"/>
        <v/>
      </c>
      <c r="I184" s="23">
        <f t="shared" si="26"/>
        <v>2019</v>
      </c>
      <c r="J184" s="23" t="str">
        <f t="shared" si="27"/>
        <v>04</v>
      </c>
      <c r="K184" s="23" t="str">
        <f t="shared" si="28"/>
        <v>2019-04-01</v>
      </c>
      <c r="M184" s="11" t="s">
        <v>216</v>
      </c>
      <c r="N184" s="11" t="s">
        <v>840</v>
      </c>
      <c r="O184" s="9">
        <v>43556</v>
      </c>
      <c r="P184" s="13">
        <v>997890</v>
      </c>
    </row>
    <row r="185" spans="1:16" x14ac:dyDescent="0.25">
      <c r="A185" s="19" t="str">
        <f>VLOOKUP(LEFT(M185,3),Category!$G$3:$H$73,2,0)</f>
        <v>SMALL HOME APPLIANCES</v>
      </c>
      <c r="B185" s="7" t="str">
        <f t="shared" si="20"/>
        <v>EM-H53-WH</v>
      </c>
      <c r="C185" s="7" t="str">
        <f t="shared" si="21"/>
        <v>Hand mixer, Power 250-320W, With hook &amp; beater</v>
      </c>
      <c r="D185" s="25" t="str">
        <f t="shared" si="22"/>
        <v>2017-09-01</v>
      </c>
      <c r="E185" s="7">
        <f t="shared" si="23"/>
        <v>328560</v>
      </c>
      <c r="F185" s="6">
        <f t="shared" si="24"/>
        <v>0</v>
      </c>
      <c r="G185" s="7" t="str">
        <f t="shared" si="25"/>
        <v/>
      </c>
      <c r="I185" s="23">
        <f t="shared" si="26"/>
        <v>2017</v>
      </c>
      <c r="J185" s="23" t="str">
        <f t="shared" si="27"/>
        <v>09</v>
      </c>
      <c r="K185" s="23" t="str">
        <f t="shared" si="28"/>
        <v>2017-09-01</v>
      </c>
      <c r="M185" s="11" t="s">
        <v>428</v>
      </c>
      <c r="N185" s="11" t="s">
        <v>841</v>
      </c>
      <c r="O185" s="9">
        <v>42979</v>
      </c>
      <c r="P185" s="13">
        <v>328560</v>
      </c>
    </row>
    <row r="186" spans="1:16" x14ac:dyDescent="0.25">
      <c r="A186" s="19" t="str">
        <f>VLOOKUP(LEFT(M186,3),Category!$G$3:$H$73,2,0)</f>
        <v>SMALL HOME APPLIANCES</v>
      </c>
      <c r="B186" s="7" t="str">
        <f t="shared" si="20"/>
        <v>EM-P01-BK</v>
      </c>
      <c r="C186" s="7" t="str">
        <f t="shared" si="21"/>
        <v>Personal Blender,Sport bottle with BPA Free,Capacity 600ml</v>
      </c>
      <c r="D186" s="25" t="str">
        <f t="shared" si="22"/>
        <v>2017-02-01</v>
      </c>
      <c r="E186" s="7">
        <f t="shared" si="23"/>
        <v>304140</v>
      </c>
      <c r="F186" s="6">
        <f t="shared" si="24"/>
        <v>0</v>
      </c>
      <c r="G186" s="7" t="str">
        <f t="shared" si="25"/>
        <v/>
      </c>
      <c r="I186" s="23">
        <f t="shared" si="26"/>
        <v>2017</v>
      </c>
      <c r="J186" s="23" t="str">
        <f t="shared" si="27"/>
        <v>02</v>
      </c>
      <c r="K186" s="23" t="str">
        <f t="shared" si="28"/>
        <v>2017-02-01</v>
      </c>
      <c r="M186" s="11" t="s">
        <v>77</v>
      </c>
      <c r="N186" s="11" t="s">
        <v>842</v>
      </c>
      <c r="O186" s="9">
        <v>42783</v>
      </c>
      <c r="P186" s="13">
        <v>304140</v>
      </c>
    </row>
    <row r="187" spans="1:16" x14ac:dyDescent="0.25">
      <c r="A187" s="19" t="str">
        <f>VLOOKUP(LEFT(M187,3),Category!$G$3:$H$73,2,0)</f>
        <v>SMALL HOME APPLIANCES</v>
      </c>
      <c r="B187" s="7" t="str">
        <f t="shared" si="20"/>
        <v>EM-S53-WH</v>
      </c>
      <c r="C187" s="7" t="str">
        <f t="shared" si="21"/>
        <v>Stand mixer, 5 Speed level, With hooks &amp; beater</v>
      </c>
      <c r="D187" s="25" t="str">
        <f t="shared" si="22"/>
        <v>2017-02-01</v>
      </c>
      <c r="E187" s="7">
        <f t="shared" si="23"/>
        <v>450660</v>
      </c>
      <c r="F187" s="6">
        <f t="shared" si="24"/>
        <v>0</v>
      </c>
      <c r="G187" s="7" t="str">
        <f t="shared" si="25"/>
        <v/>
      </c>
      <c r="I187" s="23">
        <f t="shared" si="26"/>
        <v>2017</v>
      </c>
      <c r="J187" s="23" t="str">
        <f t="shared" si="27"/>
        <v>02</v>
      </c>
      <c r="K187" s="23" t="str">
        <f t="shared" si="28"/>
        <v>2017-02-01</v>
      </c>
      <c r="M187" s="11" t="s">
        <v>78</v>
      </c>
      <c r="N187" s="11" t="s">
        <v>843</v>
      </c>
      <c r="O187" s="9">
        <v>42783</v>
      </c>
      <c r="P187" s="13">
        <v>450660</v>
      </c>
    </row>
    <row r="188" spans="1:16" x14ac:dyDescent="0.25">
      <c r="A188" s="19" t="str">
        <f>VLOOKUP(LEFT(M188,3),Category!$G$3:$H$73,2,0)</f>
        <v>SMALL HOME APPLIANCES</v>
      </c>
      <c r="B188" s="7" t="str">
        <f t="shared" si="20"/>
        <v>EM-TI175G</v>
      </c>
      <c r="C188" s="7" t="str">
        <f t="shared" si="21"/>
        <v>Blender,capacity 1750ml</v>
      </c>
      <c r="D188" s="25" t="str">
        <f t="shared" si="22"/>
        <v>2018-12-01</v>
      </c>
      <c r="E188" s="7">
        <f t="shared" si="23"/>
        <v>485070</v>
      </c>
      <c r="F188" s="6">
        <f t="shared" si="24"/>
        <v>0</v>
      </c>
      <c r="G188" s="7" t="str">
        <f t="shared" si="25"/>
        <v/>
      </c>
      <c r="I188" s="23">
        <f t="shared" si="26"/>
        <v>2018</v>
      </c>
      <c r="J188" s="23">
        <f t="shared" si="27"/>
        <v>12</v>
      </c>
      <c r="K188" s="23" t="str">
        <f t="shared" si="28"/>
        <v>2018-12-01</v>
      </c>
      <c r="M188" s="11" t="s">
        <v>500</v>
      </c>
      <c r="N188" s="11" t="s">
        <v>844</v>
      </c>
      <c r="O188" s="9">
        <v>43435</v>
      </c>
      <c r="P188" s="13">
        <v>485070</v>
      </c>
    </row>
    <row r="189" spans="1:16" x14ac:dyDescent="0.25">
      <c r="A189" s="19" t="str">
        <f>VLOOKUP(LEFT(M189,3),Category!$G$3:$H$73,2,0)</f>
        <v>SMALL HOME APPLIANCES</v>
      </c>
      <c r="B189" s="7" t="str">
        <f t="shared" si="20"/>
        <v>EO-18L(W)</v>
      </c>
      <c r="C189" s="7" t="str">
        <f t="shared" si="21"/>
        <v>18 lt</v>
      </c>
      <c r="D189" s="25" t="str">
        <f t="shared" si="22"/>
        <v>2010-02-01</v>
      </c>
      <c r="E189" s="7">
        <f t="shared" si="23"/>
        <v>773670</v>
      </c>
      <c r="F189" s="6">
        <f t="shared" si="24"/>
        <v>0</v>
      </c>
      <c r="G189" s="7" t="str">
        <f t="shared" si="25"/>
        <v/>
      </c>
      <c r="I189" s="23">
        <f t="shared" si="26"/>
        <v>2010</v>
      </c>
      <c r="J189" s="23" t="str">
        <f t="shared" si="27"/>
        <v>02</v>
      </c>
      <c r="K189" s="23" t="str">
        <f t="shared" si="28"/>
        <v>2010-02-01</v>
      </c>
      <c r="M189" s="11" t="s">
        <v>33</v>
      </c>
      <c r="N189" s="11" t="s">
        <v>845</v>
      </c>
      <c r="O189" s="9">
        <v>40210</v>
      </c>
      <c r="P189" s="13">
        <v>773670</v>
      </c>
    </row>
    <row r="190" spans="1:16" x14ac:dyDescent="0.25">
      <c r="A190" s="19" t="str">
        <f>VLOOKUP(LEFT(M190,3),Category!$G$3:$H$73,2,0)</f>
        <v>SMALL HOME APPLIANCES</v>
      </c>
      <c r="B190" s="7" t="str">
        <f t="shared" si="20"/>
        <v>EO-25BK</v>
      </c>
      <c r="C190" s="7" t="str">
        <f t="shared" si="21"/>
        <v>Capacity 25 Liter, Power 1000 Watt, Temperature up to 230 derajat, inside lamp, Convection &amp; Rotisserie</v>
      </c>
      <c r="D190" s="25" t="str">
        <f t="shared" si="22"/>
        <v>2001-04-01</v>
      </c>
      <c r="E190" s="7">
        <f t="shared" si="23"/>
        <v>793650</v>
      </c>
      <c r="F190" s="6">
        <f t="shared" si="24"/>
        <v>0</v>
      </c>
      <c r="G190" s="7" t="str">
        <f t="shared" si="25"/>
        <v/>
      </c>
      <c r="I190" s="23">
        <f t="shared" si="26"/>
        <v>2001</v>
      </c>
      <c r="J190" s="23" t="str">
        <f t="shared" si="27"/>
        <v>04</v>
      </c>
      <c r="K190" s="23" t="str">
        <f t="shared" si="28"/>
        <v>2001-04-01</v>
      </c>
      <c r="M190" s="11" t="s">
        <v>200</v>
      </c>
      <c r="N190" s="11" t="s">
        <v>846</v>
      </c>
      <c r="O190" s="9">
        <v>44652</v>
      </c>
      <c r="P190" s="13">
        <v>793650</v>
      </c>
    </row>
    <row r="191" spans="1:16" x14ac:dyDescent="0.25">
      <c r="A191" s="19" t="str">
        <f>VLOOKUP(LEFT(M191,3),Category!$G$3:$H$73,2,0)</f>
        <v>SMALL HOME APPLIANCES</v>
      </c>
      <c r="B191" s="7" t="str">
        <f t="shared" si="20"/>
        <v>EO-28LP(K)</v>
      </c>
      <c r="C191" s="7" t="str">
        <f t="shared" si="21"/>
        <v>28 lt</v>
      </c>
      <c r="D191" s="25" t="str">
        <f t="shared" si="22"/>
        <v>2012-10-01</v>
      </c>
      <c r="E191" s="7">
        <f t="shared" si="23"/>
        <v>900210</v>
      </c>
      <c r="F191" s="6">
        <f t="shared" si="24"/>
        <v>0</v>
      </c>
      <c r="G191" s="7" t="str">
        <f t="shared" si="25"/>
        <v/>
      </c>
      <c r="I191" s="23">
        <f t="shared" si="26"/>
        <v>2012</v>
      </c>
      <c r="J191" s="23">
        <f t="shared" si="27"/>
        <v>10</v>
      </c>
      <c r="K191" s="23" t="str">
        <f t="shared" si="28"/>
        <v>2012-10-01</v>
      </c>
      <c r="M191" s="11" t="s">
        <v>46</v>
      </c>
      <c r="N191" s="11" t="s">
        <v>847</v>
      </c>
      <c r="O191" s="9">
        <v>41183</v>
      </c>
      <c r="P191" s="13">
        <v>900210</v>
      </c>
    </row>
    <row r="192" spans="1:16" x14ac:dyDescent="0.25">
      <c r="A192" s="19" t="str">
        <f>VLOOKUP(LEFT(M192,3),Category!$G$3:$H$73,2,0)</f>
        <v>SMALL HOME APPLIANCES</v>
      </c>
      <c r="B192" s="7" t="str">
        <f t="shared" si="20"/>
        <v>EO-32BK</v>
      </c>
      <c r="C192" s="7" t="str">
        <f t="shared" si="21"/>
        <v>Capacity 32 Liter, Power 1300 Watt, Temperature up to 230 derajat, inside lamp, Convection &amp; Rotisserie</v>
      </c>
      <c r="D192" s="25" t="str">
        <f t="shared" si="22"/>
        <v>2001-04-01</v>
      </c>
      <c r="E192" s="7">
        <f t="shared" si="23"/>
        <v>952380</v>
      </c>
      <c r="F192" s="6">
        <f t="shared" si="24"/>
        <v>0</v>
      </c>
      <c r="G192" s="7" t="str">
        <f t="shared" si="25"/>
        <v/>
      </c>
      <c r="I192" s="23">
        <f t="shared" si="26"/>
        <v>2001</v>
      </c>
      <c r="J192" s="23" t="str">
        <f t="shared" si="27"/>
        <v>04</v>
      </c>
      <c r="K192" s="23" t="str">
        <f t="shared" si="28"/>
        <v>2001-04-01</v>
      </c>
      <c r="M192" s="11" t="s">
        <v>201</v>
      </c>
      <c r="N192" s="11" t="s">
        <v>848</v>
      </c>
      <c r="O192" s="9">
        <v>44652</v>
      </c>
      <c r="P192" s="13">
        <v>952380</v>
      </c>
    </row>
    <row r="193" spans="1:16" x14ac:dyDescent="0.25">
      <c r="A193" s="19" t="str">
        <f>VLOOKUP(LEFT(M193,3),Category!$G$3:$H$73,2,0)</f>
        <v>SMALL HOME APPLIANCES</v>
      </c>
      <c r="B193" s="7" t="str">
        <f t="shared" si="20"/>
        <v>EO-35SL</v>
      </c>
      <c r="C193" s="7" t="str">
        <f t="shared" si="21"/>
        <v>Electric oven,Capacity 35Liter,Power 1500W,Functions toast,Grill,Bake,Roast,Rotisserie &amp; Convection</v>
      </c>
      <c r="D193" s="25" t="str">
        <f t="shared" si="22"/>
        <v>2021-04-01</v>
      </c>
      <c r="E193" s="7">
        <f t="shared" si="23"/>
        <v>1077810</v>
      </c>
      <c r="F193" s="6">
        <f t="shared" si="24"/>
        <v>0</v>
      </c>
      <c r="G193" s="7" t="str">
        <f t="shared" si="25"/>
        <v/>
      </c>
      <c r="I193" s="23">
        <f t="shared" si="26"/>
        <v>2021</v>
      </c>
      <c r="J193" s="23" t="str">
        <f t="shared" si="27"/>
        <v>04</v>
      </c>
      <c r="K193" s="23" t="str">
        <f t="shared" si="28"/>
        <v>2021-04-01</v>
      </c>
      <c r="M193" s="11" t="s">
        <v>241</v>
      </c>
      <c r="N193" s="11" t="s">
        <v>849</v>
      </c>
      <c r="O193" s="9">
        <v>44287</v>
      </c>
      <c r="P193" s="13">
        <v>1077810</v>
      </c>
    </row>
    <row r="194" spans="1:16" x14ac:dyDescent="0.25">
      <c r="A194" s="19" t="str">
        <f>VLOOKUP(LEFT(M194,3),Category!$G$3:$H$73,2,0)</f>
        <v>SMALL HOME APPLIANCES</v>
      </c>
      <c r="B194" s="7" t="str">
        <f t="shared" si="20"/>
        <v>EO-38BK</v>
      </c>
      <c r="C194" s="7" t="str">
        <f t="shared" si="21"/>
        <v>Capacity 38 Liter, Power 1300 Watt, Temperature up to 230 derajat, inside lamp, Convection &amp; Rotisserie</v>
      </c>
      <c r="D194" s="25" t="str">
        <f t="shared" si="22"/>
        <v>2001-04-01</v>
      </c>
      <c r="E194" s="7">
        <f t="shared" si="23"/>
        <v>1181040</v>
      </c>
      <c r="F194" s="6">
        <f t="shared" si="24"/>
        <v>0</v>
      </c>
      <c r="G194" s="7" t="str">
        <f t="shared" si="25"/>
        <v/>
      </c>
      <c r="I194" s="23">
        <f t="shared" si="26"/>
        <v>2001</v>
      </c>
      <c r="J194" s="23" t="str">
        <f t="shared" si="27"/>
        <v>04</v>
      </c>
      <c r="K194" s="23" t="str">
        <f t="shared" si="28"/>
        <v>2001-04-01</v>
      </c>
      <c r="M194" s="11" t="s">
        <v>202</v>
      </c>
      <c r="N194" s="11" t="s">
        <v>850</v>
      </c>
      <c r="O194" s="9">
        <v>44652</v>
      </c>
      <c r="P194" s="13">
        <v>1181040</v>
      </c>
    </row>
    <row r="195" spans="1:16" x14ac:dyDescent="0.25">
      <c r="A195" s="19" t="str">
        <f>VLOOKUP(LEFT(M195,3),Category!$G$3:$H$73,2,0)</f>
        <v>WASHING MACHINE</v>
      </c>
      <c r="B195" s="7" t="str">
        <f t="shared" si="20"/>
        <v>ES-F1208X-SL</v>
      </c>
      <c r="C195" s="7" t="str">
        <f t="shared" si="21"/>
        <v>Capacity 12 kg, Stainless Steel, Adjustable Spin Speed 500/650RPM, 300 Watt</v>
      </c>
      <c r="D195" s="25" t="str">
        <f t="shared" si="22"/>
        <v>2017-08-01</v>
      </c>
      <c r="E195" s="7">
        <f t="shared" si="23"/>
        <v>6158280</v>
      </c>
      <c r="F195" s="6">
        <f t="shared" si="24"/>
        <v>0</v>
      </c>
      <c r="G195" s="7" t="str">
        <f t="shared" si="25"/>
        <v/>
      </c>
      <c r="I195" s="23">
        <f t="shared" si="26"/>
        <v>2017</v>
      </c>
      <c r="J195" s="23" t="str">
        <f t="shared" si="27"/>
        <v>08</v>
      </c>
      <c r="K195" s="23" t="str">
        <f t="shared" si="28"/>
        <v>2017-08-01</v>
      </c>
      <c r="M195" s="11" t="s">
        <v>380</v>
      </c>
      <c r="N195" s="11" t="s">
        <v>851</v>
      </c>
      <c r="O195" s="9">
        <v>42948</v>
      </c>
      <c r="P195" s="13">
        <v>6158280</v>
      </c>
    </row>
    <row r="196" spans="1:16" x14ac:dyDescent="0.25">
      <c r="A196" s="19" t="str">
        <f>VLOOKUP(LEFT(M196,3),Category!$G$3:$H$73,2,0)</f>
        <v>WASHING MACHINE</v>
      </c>
      <c r="B196" s="7" t="str">
        <f t="shared" si="20"/>
        <v>ES-F1408X-SL</v>
      </c>
      <c r="C196" s="7" t="str">
        <f t="shared" si="21"/>
        <v>Capacity 14 kg, Stainless Steel, Adjustable Spin Speed 300/500/650RPM, 300 Watt</v>
      </c>
      <c r="D196" s="25" t="str">
        <f t="shared" si="22"/>
        <v>2017-08-01</v>
      </c>
      <c r="E196" s="7">
        <f t="shared" si="23"/>
        <v>7205010</v>
      </c>
      <c r="F196" s="6">
        <f t="shared" si="24"/>
        <v>0</v>
      </c>
      <c r="G196" s="7" t="str">
        <f t="shared" si="25"/>
        <v/>
      </c>
      <c r="I196" s="23">
        <f t="shared" si="26"/>
        <v>2017</v>
      </c>
      <c r="J196" s="23" t="str">
        <f t="shared" si="27"/>
        <v>08</v>
      </c>
      <c r="K196" s="23" t="str">
        <f t="shared" si="28"/>
        <v>2017-08-01</v>
      </c>
      <c r="M196" s="11" t="s">
        <v>381</v>
      </c>
      <c r="N196" s="11" t="s">
        <v>852</v>
      </c>
      <c r="O196" s="9">
        <v>42948</v>
      </c>
      <c r="P196" s="13">
        <v>7205010</v>
      </c>
    </row>
    <row r="197" spans="1:16" x14ac:dyDescent="0.25">
      <c r="A197" s="19" t="str">
        <f>VLOOKUP(LEFT(M197,3),Category!$G$3:$H$73,2,0)</f>
        <v>WASHING MACHINE</v>
      </c>
      <c r="B197" s="7" t="str">
        <f t="shared" si="20"/>
        <v>ES-F1500X-GY</v>
      </c>
      <c r="C197" s="7" t="str">
        <f t="shared" si="21"/>
        <v>Capacity 15 kg, LED Touch Display, Glass Touch Panel, Tub Clean program, 10 Dry program, Air Dry program, Low Water Pressure</v>
      </c>
      <c r="D197" s="25" t="str">
        <f t="shared" si="22"/>
        <v>2020-11-01</v>
      </c>
      <c r="E197" s="7">
        <f t="shared" si="23"/>
        <v>7506930</v>
      </c>
      <c r="F197" s="6">
        <f t="shared" si="24"/>
        <v>0</v>
      </c>
      <c r="G197" s="7" t="str">
        <f t="shared" si="25"/>
        <v/>
      </c>
      <c r="I197" s="23">
        <f t="shared" si="26"/>
        <v>2020</v>
      </c>
      <c r="J197" s="23">
        <f t="shared" si="27"/>
        <v>11</v>
      </c>
      <c r="K197" s="23" t="str">
        <f t="shared" si="28"/>
        <v>2020-11-01</v>
      </c>
      <c r="M197" s="11" t="s">
        <v>487</v>
      </c>
      <c r="N197" s="11" t="s">
        <v>853</v>
      </c>
      <c r="O197" s="9">
        <v>44136</v>
      </c>
      <c r="P197" s="13">
        <v>7506930</v>
      </c>
    </row>
    <row r="198" spans="1:16" x14ac:dyDescent="0.25">
      <c r="A198" s="19" t="str">
        <f>VLOOKUP(LEFT(M198,3),Category!$G$3:$H$73,2,0)</f>
        <v>WASHING MACHINE</v>
      </c>
      <c r="B198" s="7" t="str">
        <f t="shared" si="20"/>
        <v>ES-F950P-GY</v>
      </c>
      <c r="C198" s="7" t="str">
        <f t="shared" si="21"/>
        <v>Eco logic system, zero pressure technology, delay start, capacity 7.5kg</v>
      </c>
      <c r="D198" s="25" t="str">
        <f t="shared" si="22"/>
        <v>2018-07-01</v>
      </c>
      <c r="E198" s="7">
        <f t="shared" si="23"/>
        <v>2498610</v>
      </c>
      <c r="F198" s="6">
        <f t="shared" si="24"/>
        <v>0</v>
      </c>
      <c r="G198" s="7" t="str">
        <f t="shared" si="25"/>
        <v/>
      </c>
      <c r="I198" s="23">
        <f t="shared" si="26"/>
        <v>2018</v>
      </c>
      <c r="J198" s="23" t="str">
        <f t="shared" si="27"/>
        <v>07</v>
      </c>
      <c r="K198" s="23" t="str">
        <f t="shared" si="28"/>
        <v>2018-07-01</v>
      </c>
      <c r="M198" s="11" t="s">
        <v>347</v>
      </c>
      <c r="N198" s="11" t="s">
        <v>854</v>
      </c>
      <c r="O198" s="9">
        <v>43282</v>
      </c>
      <c r="P198" s="13">
        <v>2498610</v>
      </c>
    </row>
    <row r="199" spans="1:16" x14ac:dyDescent="0.25">
      <c r="A199" s="19" t="str">
        <f>VLOOKUP(LEFT(M199,3),Category!$G$3:$H$73,2,0)</f>
        <v>WASHING MACHINE</v>
      </c>
      <c r="B199" s="7" t="str">
        <f t="shared" ref="B199:B262" si="29">UPPER(M199)</f>
        <v>ES-FL1062B</v>
      </c>
      <c r="C199" s="7" t="str">
        <f t="shared" ref="C199:C262" si="30">IF(OR(N199="",N199=0),"",N199)</f>
        <v>Capacity 6 kg, Quick Wash, Eco Logic System, Boomerang Cabinet, LED Contro panel, Easy Ironing, White Colour</v>
      </c>
      <c r="D199" s="25" t="str">
        <f t="shared" ref="D199:D262" si="31">IFERROR(K199,"")</f>
        <v>2020-05-01</v>
      </c>
      <c r="E199" s="7">
        <f t="shared" ref="E199:E262" si="32">P199</f>
        <v>4092570</v>
      </c>
      <c r="F199" s="6">
        <f t="shared" ref="F199:F262" si="33">IF(O199="DISC",1,0)</f>
        <v>0</v>
      </c>
      <c r="G199" s="7" t="str">
        <f t="shared" ref="G199:G262" si="34">IF(R199="","",R199)</f>
        <v/>
      </c>
      <c r="I199" s="23">
        <f t="shared" ref="I199:I262" si="35">IF(YEAR(O199)=2022,2000+DAY(O199),YEAR(O199))</f>
        <v>2020</v>
      </c>
      <c r="J199" s="23" t="str">
        <f t="shared" ref="J199:J262" si="36">IF(MONTH(O199)&lt;10,"0"&amp;MONTH(O199),MONTH(O199))</f>
        <v>05</v>
      </c>
      <c r="K199" s="23" t="str">
        <f t="shared" ref="K199:K262" si="37">I199&amp;"-"&amp;J199&amp;"-01"</f>
        <v>2020-05-01</v>
      </c>
      <c r="M199" s="11" t="s">
        <v>290</v>
      </c>
      <c r="N199" s="11" t="s">
        <v>855</v>
      </c>
      <c r="O199" s="9">
        <v>43952</v>
      </c>
      <c r="P199" s="13">
        <v>4092570</v>
      </c>
    </row>
    <row r="200" spans="1:16" x14ac:dyDescent="0.25">
      <c r="A200" s="19" t="str">
        <f>VLOOKUP(LEFT(M200,3),Category!$G$3:$H$73,2,0)</f>
        <v>WASHING MACHINE</v>
      </c>
      <c r="B200" s="7" t="str">
        <f t="shared" si="29"/>
        <v>ES-FL1072B</v>
      </c>
      <c r="C200" s="7" t="str">
        <f t="shared" si="30"/>
        <v>Capacity 7 kg, Quick Wash, Eco Logic System, Boomerang Cabinet, LED Contro panel, Easy Ironing, White Colour</v>
      </c>
      <c r="D200" s="25" t="str">
        <f t="shared" si="31"/>
        <v>2020-05-01</v>
      </c>
      <c r="E200" s="7">
        <f t="shared" si="32"/>
        <v>4224660</v>
      </c>
      <c r="F200" s="6">
        <f t="shared" si="33"/>
        <v>0</v>
      </c>
      <c r="G200" s="7" t="str">
        <f t="shared" si="34"/>
        <v/>
      </c>
      <c r="I200" s="23">
        <f t="shared" si="35"/>
        <v>2020</v>
      </c>
      <c r="J200" s="23" t="str">
        <f t="shared" si="36"/>
        <v>05</v>
      </c>
      <c r="K200" s="23" t="str">
        <f t="shared" si="37"/>
        <v>2020-05-01</v>
      </c>
      <c r="M200" s="11" t="s">
        <v>291</v>
      </c>
      <c r="N200" s="11" t="s">
        <v>856</v>
      </c>
      <c r="O200" s="9">
        <v>43952</v>
      </c>
      <c r="P200" s="13">
        <v>4224660</v>
      </c>
    </row>
    <row r="201" spans="1:16" x14ac:dyDescent="0.25">
      <c r="A201" s="19" t="str">
        <f>VLOOKUP(LEFT(M201,3),Category!$G$3:$H$73,2,0)</f>
        <v>WASHING MACHINE</v>
      </c>
      <c r="B201" s="7" t="str">
        <f t="shared" si="29"/>
        <v>ES-FL1073W</v>
      </c>
      <c r="C201" s="7" t="str">
        <f t="shared" si="30"/>
        <v>Capacity 7 Kg, Triple Quick Wash, Eco Logic System, Turbo Key, Super Clean Rinse, Silent Wash</v>
      </c>
      <c r="D201" s="25" t="str">
        <f t="shared" si="31"/>
        <v>2018-07-01</v>
      </c>
      <c r="E201" s="7">
        <f t="shared" si="32"/>
        <v>4201350</v>
      </c>
      <c r="F201" s="6">
        <f t="shared" si="33"/>
        <v>0</v>
      </c>
      <c r="G201" s="7" t="str">
        <f t="shared" si="34"/>
        <v/>
      </c>
      <c r="I201" s="23">
        <f t="shared" si="35"/>
        <v>2018</v>
      </c>
      <c r="J201" s="23" t="str">
        <f t="shared" si="36"/>
        <v>07</v>
      </c>
      <c r="K201" s="23" t="str">
        <f t="shared" si="37"/>
        <v>2018-07-01</v>
      </c>
      <c r="M201" s="11" t="s">
        <v>348</v>
      </c>
      <c r="N201" s="11" t="s">
        <v>857</v>
      </c>
      <c r="O201" s="9">
        <v>43282</v>
      </c>
      <c r="P201" s="13">
        <v>4201350</v>
      </c>
    </row>
    <row r="202" spans="1:16" x14ac:dyDescent="0.25">
      <c r="A202" s="19" t="str">
        <f>VLOOKUP(LEFT(M202,3),Category!$G$3:$H$73,2,0)</f>
        <v>WASHING MACHINE</v>
      </c>
      <c r="B202" s="7" t="str">
        <f t="shared" si="29"/>
        <v>ES-FL1082B</v>
      </c>
      <c r="C202" s="7" t="str">
        <f t="shared" si="30"/>
        <v>Capacity 8 kg, Quick Wash, Eco Logic System, Boomerang Cabinet, LED Contro panel, Easy Ironing, White Colour</v>
      </c>
      <c r="D202" s="25" t="str">
        <f t="shared" si="31"/>
        <v>2020-05-01</v>
      </c>
      <c r="E202" s="7">
        <f t="shared" si="32"/>
        <v>4417800</v>
      </c>
      <c r="F202" s="6">
        <f t="shared" si="33"/>
        <v>0</v>
      </c>
      <c r="G202" s="7" t="str">
        <f t="shared" si="34"/>
        <v/>
      </c>
      <c r="I202" s="23">
        <f t="shared" si="35"/>
        <v>2020</v>
      </c>
      <c r="J202" s="23" t="str">
        <f t="shared" si="36"/>
        <v>05</v>
      </c>
      <c r="K202" s="23" t="str">
        <f t="shared" si="37"/>
        <v>2020-05-01</v>
      </c>
      <c r="M202" s="11" t="s">
        <v>292</v>
      </c>
      <c r="N202" s="11" t="s">
        <v>858</v>
      </c>
      <c r="O202" s="9">
        <v>43952</v>
      </c>
      <c r="P202" s="13">
        <v>4417800</v>
      </c>
    </row>
    <row r="203" spans="1:16" x14ac:dyDescent="0.25">
      <c r="A203" s="19" t="str">
        <f>VLOOKUP(LEFT(M203,3),Category!$G$3:$H$73,2,0)</f>
        <v>WASHING MACHINE</v>
      </c>
      <c r="B203" s="7" t="str">
        <f t="shared" si="29"/>
        <v>ES-FL1082BG</v>
      </c>
      <c r="C203" s="7" t="str">
        <f t="shared" si="30"/>
        <v>Capacity 8 kg, Quick Wash, Eco Logic System, Boomerang Cabinet, Allergy Smart, White Colour</v>
      </c>
      <c r="D203" s="25" t="str">
        <f t="shared" si="31"/>
        <v>2020-05-01</v>
      </c>
      <c r="E203" s="7">
        <f t="shared" si="32"/>
        <v>4838490</v>
      </c>
      <c r="F203" s="6">
        <f t="shared" si="33"/>
        <v>0</v>
      </c>
      <c r="G203" s="7" t="str">
        <f t="shared" si="34"/>
        <v/>
      </c>
      <c r="I203" s="23">
        <f t="shared" si="35"/>
        <v>2020</v>
      </c>
      <c r="J203" s="23" t="str">
        <f t="shared" si="36"/>
        <v>05</v>
      </c>
      <c r="K203" s="23" t="str">
        <f t="shared" si="37"/>
        <v>2020-05-01</v>
      </c>
      <c r="M203" s="11" t="s">
        <v>293</v>
      </c>
      <c r="N203" s="11" t="s">
        <v>859</v>
      </c>
      <c r="O203" s="9">
        <v>43952</v>
      </c>
      <c r="P203" s="13">
        <v>4838490</v>
      </c>
    </row>
    <row r="204" spans="1:16" x14ac:dyDescent="0.25">
      <c r="A204" s="19" t="str">
        <f>VLOOKUP(LEFT(M204,3),Category!$G$3:$H$73,2,0)</f>
        <v>WASHING MACHINE</v>
      </c>
      <c r="B204" s="7" t="str">
        <f t="shared" si="29"/>
        <v>ES-FL1083W</v>
      </c>
      <c r="C204" s="7" t="str">
        <f t="shared" si="30"/>
        <v>Capacity 8.5 Kg, Triple Quick Wash, Eco Logic System, Turbo Key, Super Clean Rinse, Silent Wash</v>
      </c>
      <c r="D204" s="25" t="str">
        <f t="shared" si="31"/>
        <v>2018-07-01</v>
      </c>
      <c r="E204" s="7">
        <f t="shared" si="32"/>
        <v>4871790</v>
      </c>
      <c r="F204" s="6">
        <f t="shared" si="33"/>
        <v>0</v>
      </c>
      <c r="G204" s="7" t="str">
        <f t="shared" si="34"/>
        <v/>
      </c>
      <c r="I204" s="23">
        <f t="shared" si="35"/>
        <v>2018</v>
      </c>
      <c r="J204" s="23" t="str">
        <f t="shared" si="36"/>
        <v>07</v>
      </c>
      <c r="K204" s="23" t="str">
        <f t="shared" si="37"/>
        <v>2018-07-01</v>
      </c>
      <c r="M204" s="11" t="s">
        <v>349</v>
      </c>
      <c r="N204" s="11" t="s">
        <v>860</v>
      </c>
      <c r="O204" s="9">
        <v>43282</v>
      </c>
      <c r="P204" s="13">
        <v>4871790</v>
      </c>
    </row>
    <row r="205" spans="1:16" x14ac:dyDescent="0.25">
      <c r="A205" s="19" t="str">
        <f>VLOOKUP(LEFT(M205,3),Category!$G$3:$H$73,2,0)</f>
        <v>WASHING MACHINE</v>
      </c>
      <c r="B205" s="7" t="str">
        <f t="shared" si="29"/>
        <v>ES-FL1212SX</v>
      </c>
      <c r="C205" s="7" t="str">
        <f t="shared" si="30"/>
        <v>Washer, Capacity 12.5Kg, J-Tech Inverter</v>
      </c>
      <c r="D205" s="25" t="str">
        <f t="shared" si="31"/>
        <v>2001-10-01</v>
      </c>
      <c r="E205" s="7">
        <f t="shared" si="32"/>
        <v>7575750</v>
      </c>
      <c r="F205" s="6">
        <f t="shared" si="33"/>
        <v>0</v>
      </c>
      <c r="G205" s="7" t="str">
        <f t="shared" si="34"/>
        <v/>
      </c>
      <c r="I205" s="23">
        <f t="shared" si="35"/>
        <v>2001</v>
      </c>
      <c r="J205" s="23">
        <f t="shared" si="36"/>
        <v>10</v>
      </c>
      <c r="K205" s="23" t="str">
        <f t="shared" si="37"/>
        <v>2001-10-01</v>
      </c>
      <c r="M205" s="11" t="s">
        <v>667</v>
      </c>
      <c r="N205" s="11" t="s">
        <v>861</v>
      </c>
      <c r="O205" s="9">
        <v>44835</v>
      </c>
      <c r="P205" s="13">
        <v>7575750</v>
      </c>
    </row>
    <row r="206" spans="1:16" x14ac:dyDescent="0.25">
      <c r="A206" s="19" t="str">
        <f>VLOOKUP(LEFT(M206,3),Category!$G$3:$H$73,2,0)</f>
        <v>WASHING MACHINE</v>
      </c>
      <c r="B206" s="7" t="str">
        <f t="shared" si="29"/>
        <v>ES-FL1280BTX</v>
      </c>
      <c r="C206" s="7" t="str">
        <f t="shared" si="30"/>
        <v>Capacity 8 kg, Eco Logic System, Bubble Drum, Allergy Smart, DoubleJet Tech, Dark Inox colour</v>
      </c>
      <c r="D206" s="25" t="str">
        <f t="shared" si="31"/>
        <v>2020-05-01</v>
      </c>
      <c r="E206" s="7">
        <f t="shared" si="32"/>
        <v>6822060</v>
      </c>
      <c r="F206" s="6">
        <f t="shared" si="33"/>
        <v>0</v>
      </c>
      <c r="G206" s="7" t="str">
        <f t="shared" si="34"/>
        <v/>
      </c>
      <c r="I206" s="23">
        <f t="shared" si="35"/>
        <v>2020</v>
      </c>
      <c r="J206" s="23" t="str">
        <f t="shared" si="36"/>
        <v>05</v>
      </c>
      <c r="K206" s="23" t="str">
        <f t="shared" si="37"/>
        <v>2020-05-01</v>
      </c>
      <c r="M206" s="11" t="s">
        <v>294</v>
      </c>
      <c r="N206" s="11" t="s">
        <v>862</v>
      </c>
      <c r="O206" s="9">
        <v>43952</v>
      </c>
      <c r="P206" s="13">
        <v>6822060</v>
      </c>
    </row>
    <row r="207" spans="1:16" x14ac:dyDescent="0.25">
      <c r="A207" s="19" t="str">
        <f>VLOOKUP(LEFT(M207,3),Category!$G$3:$H$73,2,0)</f>
        <v>WASHING MACHINE</v>
      </c>
      <c r="B207" s="7" t="str">
        <f t="shared" si="29"/>
        <v>ES-FL1280BX</v>
      </c>
      <c r="C207" s="7" t="str">
        <f t="shared" si="30"/>
        <v>Capacity 8 kg, Eco Logic System, Bubble Drum, Allergy Smart, DoubleJet Tech, White Colour</v>
      </c>
      <c r="D207" s="25" t="str">
        <f t="shared" si="31"/>
        <v>2020-05-01</v>
      </c>
      <c r="E207" s="7">
        <f t="shared" si="32"/>
        <v>6172710</v>
      </c>
      <c r="F207" s="6">
        <f t="shared" si="33"/>
        <v>0</v>
      </c>
      <c r="G207" s="7" t="str">
        <f t="shared" si="34"/>
        <v/>
      </c>
      <c r="I207" s="23">
        <f t="shared" si="35"/>
        <v>2020</v>
      </c>
      <c r="J207" s="23" t="str">
        <f t="shared" si="36"/>
        <v>05</v>
      </c>
      <c r="K207" s="23" t="str">
        <f t="shared" si="37"/>
        <v>2020-05-01</v>
      </c>
      <c r="M207" s="11" t="s">
        <v>295</v>
      </c>
      <c r="N207" s="11" t="s">
        <v>863</v>
      </c>
      <c r="O207" s="9">
        <v>43952</v>
      </c>
      <c r="P207" s="13">
        <v>6172710</v>
      </c>
    </row>
    <row r="208" spans="1:16" x14ac:dyDescent="0.25">
      <c r="A208" s="19" t="str">
        <f>VLOOKUP(LEFT(M208,3),Category!$G$3:$H$73,2,0)</f>
        <v>WASHING MACHINE</v>
      </c>
      <c r="B208" s="7" t="str">
        <f t="shared" si="29"/>
        <v>ES-FL1290BG</v>
      </c>
      <c r="C208" s="7" t="str">
        <f t="shared" si="30"/>
        <v>Capacity 9 kg, Quick Wash, Eco Logic System, Boomerang Cabinet, Allergy Smart, White Colour</v>
      </c>
      <c r="D208" s="25" t="str">
        <f t="shared" si="31"/>
        <v>2020-05-01</v>
      </c>
      <c r="E208" s="7">
        <f t="shared" si="32"/>
        <v>6269280</v>
      </c>
      <c r="F208" s="6">
        <f t="shared" si="33"/>
        <v>0</v>
      </c>
      <c r="G208" s="7" t="str">
        <f t="shared" si="34"/>
        <v/>
      </c>
      <c r="I208" s="23">
        <f t="shared" si="35"/>
        <v>2020</v>
      </c>
      <c r="J208" s="23" t="str">
        <f t="shared" si="36"/>
        <v>05</v>
      </c>
      <c r="K208" s="23" t="str">
        <f t="shared" si="37"/>
        <v>2020-05-01</v>
      </c>
      <c r="M208" s="11" t="s">
        <v>296</v>
      </c>
      <c r="N208" s="11" t="s">
        <v>864</v>
      </c>
      <c r="O208" s="9">
        <v>43952</v>
      </c>
      <c r="P208" s="13">
        <v>6269280</v>
      </c>
    </row>
    <row r="209" spans="1:16" x14ac:dyDescent="0.25">
      <c r="A209" s="19" t="str">
        <f>VLOOKUP(LEFT(M209,3),Category!$G$3:$H$73,2,0)</f>
        <v>WASHING MACHINE</v>
      </c>
      <c r="B209" s="7" t="str">
        <f t="shared" si="29"/>
        <v>ES-FL1410DPX</v>
      </c>
      <c r="C209" s="7" t="str">
        <f t="shared" si="30"/>
        <v>Washer Dryer, Capacity 10.5KG/7KG, Plasmacluster Technology, J-Tech Inverter</v>
      </c>
      <c r="D209" s="25" t="str">
        <f t="shared" si="31"/>
        <v>2021-07-01</v>
      </c>
      <c r="E209" s="7">
        <f t="shared" si="32"/>
        <v>9510480</v>
      </c>
      <c r="F209" s="6">
        <f t="shared" si="33"/>
        <v>0</v>
      </c>
      <c r="G209" s="7" t="str">
        <f t="shared" si="34"/>
        <v/>
      </c>
      <c r="I209" s="23">
        <f t="shared" si="35"/>
        <v>2021</v>
      </c>
      <c r="J209" s="23" t="str">
        <f t="shared" si="36"/>
        <v>07</v>
      </c>
      <c r="K209" s="23" t="str">
        <f t="shared" si="37"/>
        <v>2021-07-01</v>
      </c>
      <c r="M209" s="11" t="s">
        <v>368</v>
      </c>
      <c r="N209" s="11" t="s">
        <v>865</v>
      </c>
      <c r="O209" s="9">
        <v>44378</v>
      </c>
      <c r="P209" s="13">
        <v>9510480</v>
      </c>
    </row>
    <row r="210" spans="1:16" x14ac:dyDescent="0.25">
      <c r="A210" s="19" t="str">
        <f>VLOOKUP(LEFT(M210,3),Category!$G$3:$H$73,2,0)</f>
        <v>WASHING MACHINE</v>
      </c>
      <c r="B210" s="7" t="str">
        <f t="shared" si="29"/>
        <v>ES-FL1490BTX</v>
      </c>
      <c r="C210" s="7" t="str">
        <f t="shared" si="30"/>
        <v>Capacity 9 kg, Eco Logic System, Bubble Drum, Allergy Smart, DoubleJet Tech, Dark Inox colour</v>
      </c>
      <c r="D210" s="25" t="str">
        <f t="shared" si="31"/>
        <v>2020-05-01</v>
      </c>
      <c r="E210" s="7">
        <f t="shared" si="32"/>
        <v>7795530</v>
      </c>
      <c r="F210" s="6">
        <f t="shared" si="33"/>
        <v>0</v>
      </c>
      <c r="G210" s="7" t="str">
        <f t="shared" si="34"/>
        <v/>
      </c>
      <c r="I210" s="23">
        <f t="shared" si="35"/>
        <v>2020</v>
      </c>
      <c r="J210" s="23" t="str">
        <f t="shared" si="36"/>
        <v>05</v>
      </c>
      <c r="K210" s="23" t="str">
        <f t="shared" si="37"/>
        <v>2020-05-01</v>
      </c>
      <c r="M210" s="11" t="s">
        <v>297</v>
      </c>
      <c r="N210" s="11" t="s">
        <v>866</v>
      </c>
      <c r="O210" s="9">
        <v>43952</v>
      </c>
      <c r="P210" s="13">
        <v>7795530</v>
      </c>
    </row>
    <row r="211" spans="1:16" x14ac:dyDescent="0.25">
      <c r="A211" s="19" t="str">
        <f>VLOOKUP(LEFT(M211,3),Category!$G$3:$H$73,2,0)</f>
        <v>WASHING MACHINE</v>
      </c>
      <c r="B211" s="7" t="str">
        <f t="shared" si="29"/>
        <v>ES-FL1490BX</v>
      </c>
      <c r="C211" s="7" t="str">
        <f t="shared" si="30"/>
        <v>Capacity 9 kg, Eco Logic System, Bubble Drum, Allergy Smart, DoubleJet Tech, White Colour</v>
      </c>
      <c r="D211" s="25" t="str">
        <f t="shared" si="31"/>
        <v>2020-05-01</v>
      </c>
      <c r="E211" s="7">
        <f t="shared" si="32"/>
        <v>6496830</v>
      </c>
      <c r="F211" s="6">
        <f t="shared" si="33"/>
        <v>0</v>
      </c>
      <c r="G211" s="7" t="str">
        <f t="shared" si="34"/>
        <v/>
      </c>
      <c r="I211" s="23">
        <f t="shared" si="35"/>
        <v>2020</v>
      </c>
      <c r="J211" s="23" t="str">
        <f t="shared" si="36"/>
        <v>05</v>
      </c>
      <c r="K211" s="23" t="str">
        <f t="shared" si="37"/>
        <v>2020-05-01</v>
      </c>
      <c r="M211" s="11" t="s">
        <v>298</v>
      </c>
      <c r="N211" s="11" t="s">
        <v>867</v>
      </c>
      <c r="O211" s="9">
        <v>43952</v>
      </c>
      <c r="P211" s="13">
        <v>6496830</v>
      </c>
    </row>
    <row r="212" spans="1:16" x14ac:dyDescent="0.25">
      <c r="A212" s="19" t="str">
        <f>VLOOKUP(LEFT(M212,3),Category!$G$3:$H$73,2,0)</f>
        <v>WASHING MACHINE</v>
      </c>
      <c r="B212" s="7" t="str">
        <f t="shared" si="29"/>
        <v>ES-FL1491XW</v>
      </c>
      <c r="C212" s="7" t="str">
        <f t="shared" si="30"/>
        <v>Capacity 9.5 Kg, Triple Quick Wash, Eco Logic System, Turbo Key, Super Clean Rinse, Silent Wash</v>
      </c>
      <c r="D212" s="25" t="str">
        <f t="shared" si="31"/>
        <v>2018-07-01</v>
      </c>
      <c r="E212" s="7">
        <f t="shared" si="32"/>
        <v>6499050</v>
      </c>
      <c r="F212" s="6">
        <f t="shared" si="33"/>
        <v>0</v>
      </c>
      <c r="G212" s="7" t="str">
        <f t="shared" si="34"/>
        <v/>
      </c>
      <c r="I212" s="23">
        <f t="shared" si="35"/>
        <v>2018</v>
      </c>
      <c r="J212" s="23" t="str">
        <f t="shared" si="36"/>
        <v>07</v>
      </c>
      <c r="K212" s="23" t="str">
        <f t="shared" si="37"/>
        <v>2018-07-01</v>
      </c>
      <c r="M212" s="11" t="s">
        <v>350</v>
      </c>
      <c r="N212" s="11" t="s">
        <v>868</v>
      </c>
      <c r="O212" s="9">
        <v>43282</v>
      </c>
      <c r="P212" s="13">
        <v>6499050</v>
      </c>
    </row>
    <row r="213" spans="1:16" x14ac:dyDescent="0.25">
      <c r="A213" s="19" t="str">
        <f>VLOOKUP(LEFT(M213,3),Category!$G$3:$H$73,2,0)</f>
        <v>WASHING MACHINE</v>
      </c>
      <c r="B213" s="7" t="str">
        <f t="shared" si="29"/>
        <v>ES-G876P-GY</v>
      </c>
      <c r="C213" s="7" t="str">
        <f t="shared" si="30"/>
        <v>Capacity 7KG, Quickwash Technology, 8 Washing Program, Child Lock</v>
      </c>
      <c r="D213" s="25" t="str">
        <f t="shared" si="31"/>
        <v>2019-08-01</v>
      </c>
      <c r="E213" s="7">
        <f t="shared" si="32"/>
        <v>2498610</v>
      </c>
      <c r="F213" s="6">
        <f t="shared" si="33"/>
        <v>0</v>
      </c>
      <c r="G213" s="7" t="str">
        <f t="shared" si="34"/>
        <v/>
      </c>
      <c r="I213" s="23">
        <f t="shared" si="35"/>
        <v>2019</v>
      </c>
      <c r="J213" s="23" t="str">
        <f t="shared" si="36"/>
        <v>08</v>
      </c>
      <c r="K213" s="23" t="str">
        <f t="shared" si="37"/>
        <v>2019-08-01</v>
      </c>
      <c r="M213" s="11" t="s">
        <v>385</v>
      </c>
      <c r="N213" s="11" t="s">
        <v>869</v>
      </c>
      <c r="O213" s="9">
        <v>43678</v>
      </c>
      <c r="P213" s="13">
        <v>2498610</v>
      </c>
    </row>
    <row r="214" spans="1:16" x14ac:dyDescent="0.25">
      <c r="A214" s="19" t="str">
        <f>VLOOKUP(LEFT(M214,3),Category!$G$3:$H$73,2,0)</f>
        <v>WASHING MACHINE</v>
      </c>
      <c r="B214" s="7" t="str">
        <f t="shared" si="29"/>
        <v>ES-H758T-GY</v>
      </c>
      <c r="C214" s="7" t="str">
        <f t="shared" si="30"/>
        <v>Capacity 7.5kg. Quick Wash Technology, Zero Pressure Technology, Full Big True Temperred Glass Lid with Damper, Power off Memory</v>
      </c>
      <c r="D214" s="25" t="str">
        <f t="shared" si="31"/>
        <v>2018-05-01</v>
      </c>
      <c r="E214" s="7">
        <f t="shared" si="32"/>
        <v>2796090</v>
      </c>
      <c r="F214" s="6">
        <f t="shared" si="33"/>
        <v>0</v>
      </c>
      <c r="G214" s="7" t="str">
        <f t="shared" si="34"/>
        <v/>
      </c>
      <c r="I214" s="23">
        <f t="shared" si="35"/>
        <v>2018</v>
      </c>
      <c r="J214" s="23" t="str">
        <f t="shared" si="36"/>
        <v>05</v>
      </c>
      <c r="K214" s="23" t="str">
        <f t="shared" si="37"/>
        <v>2018-05-01</v>
      </c>
      <c r="M214" s="11" t="s">
        <v>257</v>
      </c>
      <c r="N214" s="11" t="s">
        <v>870</v>
      </c>
      <c r="O214" s="9">
        <v>43221</v>
      </c>
      <c r="P214" s="13">
        <v>2796090</v>
      </c>
    </row>
    <row r="215" spans="1:16" x14ac:dyDescent="0.25">
      <c r="A215" s="19" t="str">
        <f>VLOOKUP(LEFT(M215,3),Category!$G$3:$H$73,2,0)</f>
        <v>WASHING MACHINE</v>
      </c>
      <c r="B215" s="7" t="str">
        <f t="shared" si="29"/>
        <v>ES-H858T-GY</v>
      </c>
      <c r="C215" s="7" t="str">
        <f t="shared" si="30"/>
        <v>Capacity 8.5kg. Quick Wash Technology, Zero Pressure Technology, Full Big True Temperred Glass Lid with Damper, Power off Memory</v>
      </c>
      <c r="D215" s="25" t="str">
        <f t="shared" si="31"/>
        <v>2018-05-01</v>
      </c>
      <c r="E215" s="7">
        <f t="shared" si="32"/>
        <v>3033630</v>
      </c>
      <c r="F215" s="6">
        <f t="shared" si="33"/>
        <v>0</v>
      </c>
      <c r="G215" s="7" t="str">
        <f t="shared" si="34"/>
        <v/>
      </c>
      <c r="I215" s="23">
        <f t="shared" si="35"/>
        <v>2018</v>
      </c>
      <c r="J215" s="23" t="str">
        <f t="shared" si="36"/>
        <v>05</v>
      </c>
      <c r="K215" s="23" t="str">
        <f t="shared" si="37"/>
        <v>2018-05-01</v>
      </c>
      <c r="M215" s="11" t="s">
        <v>258</v>
      </c>
      <c r="N215" s="11" t="s">
        <v>871</v>
      </c>
      <c r="O215" s="9">
        <v>43221</v>
      </c>
      <c r="P215" s="13">
        <v>3033630</v>
      </c>
    </row>
    <row r="216" spans="1:16" x14ac:dyDescent="0.25">
      <c r="A216" s="19" t="str">
        <f>VLOOKUP(LEFT(M216,3),Category!$G$3:$H$73,2,0)</f>
        <v>WASHING MACHINE</v>
      </c>
      <c r="B216" s="7" t="str">
        <f t="shared" si="29"/>
        <v>ES-H958T-GY</v>
      </c>
      <c r="C216" s="7" t="str">
        <f t="shared" si="30"/>
        <v>Capacity 9.5kg. Quick Wash Technology, Zero Pressure Technology, Full Big True Temperred Glass Lid with Damper, Power off Memory</v>
      </c>
      <c r="D216" s="25" t="str">
        <f t="shared" si="31"/>
        <v>2018-05-01</v>
      </c>
      <c r="E216" s="7">
        <f t="shared" si="32"/>
        <v>3166830</v>
      </c>
      <c r="F216" s="6">
        <f t="shared" si="33"/>
        <v>0</v>
      </c>
      <c r="G216" s="7" t="str">
        <f t="shared" si="34"/>
        <v/>
      </c>
      <c r="I216" s="23">
        <f t="shared" si="35"/>
        <v>2018</v>
      </c>
      <c r="J216" s="23" t="str">
        <f t="shared" si="36"/>
        <v>05</v>
      </c>
      <c r="K216" s="23" t="str">
        <f t="shared" si="37"/>
        <v>2018-05-01</v>
      </c>
      <c r="M216" s="11" t="s">
        <v>259</v>
      </c>
      <c r="N216" s="11" t="s">
        <v>872</v>
      </c>
      <c r="O216" s="9">
        <v>43221</v>
      </c>
      <c r="P216" s="13">
        <v>3166830</v>
      </c>
    </row>
    <row r="217" spans="1:16" x14ac:dyDescent="0.25">
      <c r="A217" s="19" t="str">
        <f>VLOOKUP(LEFT(M217,3),Category!$G$3:$H$73,2,0)</f>
        <v>WASHING MACHINE</v>
      </c>
      <c r="B217" s="7" t="str">
        <f t="shared" si="29"/>
        <v>ES-M1000T-GG</v>
      </c>
      <c r="C217" s="7" t="str">
        <f t="shared" si="30"/>
        <v>Capacity 10 kg, Zero Pressure Technology, Long Time Soaking, Lid Damper, Ag Pulsator Anti Bacterial, Auto Tub Clean, Eco Shower Rinse</v>
      </c>
      <c r="D217" s="25" t="str">
        <f t="shared" si="31"/>
        <v>2021-01-01</v>
      </c>
      <c r="E217" s="7">
        <f t="shared" si="32"/>
        <v>3779550</v>
      </c>
      <c r="F217" s="6">
        <f t="shared" si="33"/>
        <v>0</v>
      </c>
      <c r="G217" s="7" t="str">
        <f t="shared" si="34"/>
        <v/>
      </c>
      <c r="I217" s="23">
        <f t="shared" si="35"/>
        <v>2021</v>
      </c>
      <c r="J217" s="23" t="str">
        <f t="shared" si="36"/>
        <v>01</v>
      </c>
      <c r="K217" s="23" t="str">
        <f t="shared" si="37"/>
        <v>2021-01-01</v>
      </c>
      <c r="M217" s="11" t="s">
        <v>119</v>
      </c>
      <c r="N217" s="11" t="s">
        <v>873</v>
      </c>
      <c r="O217" s="9">
        <v>44197</v>
      </c>
      <c r="P217" s="13">
        <v>3779550</v>
      </c>
    </row>
    <row r="218" spans="1:16" x14ac:dyDescent="0.25">
      <c r="A218" s="19" t="str">
        <f>VLOOKUP(LEFT(M218,3),Category!$G$3:$H$73,2,0)</f>
        <v>WASHING MACHINE</v>
      </c>
      <c r="B218" s="7" t="str">
        <f t="shared" si="29"/>
        <v>ES-M1008T-SAK</v>
      </c>
      <c r="C218" s="7" t="str">
        <f t="shared" si="30"/>
        <v>Capacity 10kg, No Holes Tub, Double Screw Pulsator, Long Time Soak, True Temperred Glass</v>
      </c>
      <c r="D218" s="25" t="str">
        <f t="shared" si="31"/>
        <v>2019-07-01</v>
      </c>
      <c r="E218" s="7">
        <f t="shared" si="32"/>
        <v>3768450</v>
      </c>
      <c r="F218" s="6">
        <f t="shared" si="33"/>
        <v>0</v>
      </c>
      <c r="G218" s="7" t="str">
        <f t="shared" si="34"/>
        <v/>
      </c>
      <c r="I218" s="23">
        <f t="shared" si="35"/>
        <v>2019</v>
      </c>
      <c r="J218" s="23" t="str">
        <f t="shared" si="36"/>
        <v>07</v>
      </c>
      <c r="K218" s="23" t="str">
        <f t="shared" si="37"/>
        <v>2019-07-01</v>
      </c>
      <c r="M218" s="11" t="s">
        <v>353</v>
      </c>
      <c r="N218" s="11" t="s">
        <v>874</v>
      </c>
      <c r="O218" s="9">
        <v>43647</v>
      </c>
      <c r="P218" s="13">
        <v>3768450</v>
      </c>
    </row>
    <row r="219" spans="1:16" x14ac:dyDescent="0.25">
      <c r="A219" s="19" t="str">
        <f>VLOOKUP(LEFT(M219,3),Category!$G$3:$H$73,2,0)</f>
        <v>WASHING MACHINE</v>
      </c>
      <c r="B219" s="7" t="str">
        <f t="shared" si="29"/>
        <v>ES-M1009T-GG</v>
      </c>
      <c r="C219" s="7" t="str">
        <f t="shared" si="30"/>
        <v>Capacity 10kg, Anti Mold, Eco Shower Rinse, Zero Pressure Technology, True One Piece Temperred Glass</v>
      </c>
      <c r="D219" s="25" t="str">
        <f t="shared" si="31"/>
        <v>2019-08-01</v>
      </c>
      <c r="E219" s="7">
        <f t="shared" si="32"/>
        <v>3956040</v>
      </c>
      <c r="F219" s="6">
        <f t="shared" si="33"/>
        <v>0</v>
      </c>
      <c r="G219" s="7" t="str">
        <f t="shared" si="34"/>
        <v/>
      </c>
      <c r="I219" s="23">
        <f t="shared" si="35"/>
        <v>2019</v>
      </c>
      <c r="J219" s="23" t="str">
        <f t="shared" si="36"/>
        <v>08</v>
      </c>
      <c r="K219" s="23" t="str">
        <f t="shared" si="37"/>
        <v>2019-08-01</v>
      </c>
      <c r="M219" s="11" t="s">
        <v>386</v>
      </c>
      <c r="N219" s="11" t="s">
        <v>875</v>
      </c>
      <c r="O219" s="9">
        <v>43678</v>
      </c>
      <c r="P219" s="13">
        <v>3956040</v>
      </c>
    </row>
    <row r="220" spans="1:16" x14ac:dyDescent="0.25">
      <c r="A220" s="19" t="str">
        <f>VLOOKUP(LEFT(M220,3),Category!$G$3:$H$73,2,0)</f>
        <v>WASHING MACHINE</v>
      </c>
      <c r="B220" s="7" t="str">
        <f t="shared" si="29"/>
        <v>ES-M1050XT-SA</v>
      </c>
      <c r="C220" s="7" t="str">
        <f t="shared" si="30"/>
        <v>Capacity 10.5kg, J-Tech Inverter, Quick Wash Program, Hijab Pouch, add Laundry, 8 Washing Programs, Ag+ pulsator Anti Bacterial</v>
      </c>
      <c r="D220" s="25" t="str">
        <f t="shared" si="31"/>
        <v>2020-10-01</v>
      </c>
      <c r="E220" s="7">
        <f t="shared" si="32"/>
        <v>4203570</v>
      </c>
      <c r="F220" s="6">
        <f t="shared" si="33"/>
        <v>0</v>
      </c>
      <c r="G220" s="7" t="str">
        <f t="shared" si="34"/>
        <v/>
      </c>
      <c r="I220" s="23">
        <f t="shared" si="35"/>
        <v>2020</v>
      </c>
      <c r="J220" s="23">
        <f t="shared" si="36"/>
        <v>10</v>
      </c>
      <c r="K220" s="23" t="str">
        <f t="shared" si="37"/>
        <v>2020-10-01</v>
      </c>
      <c r="M220" s="11" t="s">
        <v>459</v>
      </c>
      <c r="N220" s="11" t="s">
        <v>876</v>
      </c>
      <c r="O220" s="9">
        <v>44105</v>
      </c>
      <c r="P220" s="13">
        <v>4203570</v>
      </c>
    </row>
    <row r="221" spans="1:16" x14ac:dyDescent="0.25">
      <c r="A221" s="19" t="str">
        <f>VLOOKUP(LEFT(M221,3),Category!$G$3:$H$73,2,0)</f>
        <v>WASHING MACHINE</v>
      </c>
      <c r="B221" s="7" t="str">
        <f t="shared" si="29"/>
        <v>ES-M1108T-SAK</v>
      </c>
      <c r="C221" s="7" t="str">
        <f t="shared" si="30"/>
        <v>Capacity 11kg, No Holes Tub, Double Screw Pulsator, Long Time Soak, True Temperred Glass</v>
      </c>
      <c r="D221" s="25" t="str">
        <f t="shared" si="31"/>
        <v>2019-07-01</v>
      </c>
      <c r="E221" s="7">
        <f t="shared" si="32"/>
        <v>4370070</v>
      </c>
      <c r="F221" s="6">
        <f t="shared" si="33"/>
        <v>0</v>
      </c>
      <c r="G221" s="7" t="str">
        <f t="shared" si="34"/>
        <v/>
      </c>
      <c r="I221" s="23">
        <f t="shared" si="35"/>
        <v>2019</v>
      </c>
      <c r="J221" s="23" t="str">
        <f t="shared" si="36"/>
        <v>07</v>
      </c>
      <c r="K221" s="23" t="str">
        <f t="shared" si="37"/>
        <v>2019-07-01</v>
      </c>
      <c r="M221" s="11" t="s">
        <v>354</v>
      </c>
      <c r="N221" s="11" t="s">
        <v>877</v>
      </c>
      <c r="O221" s="9">
        <v>43647</v>
      </c>
      <c r="P221" s="13">
        <v>4370070</v>
      </c>
    </row>
    <row r="222" spans="1:16" x14ac:dyDescent="0.25">
      <c r="A222" s="19" t="str">
        <f>VLOOKUP(LEFT(M222,3),Category!$G$3:$H$73,2,0)</f>
        <v>WASHING MACHINE</v>
      </c>
      <c r="B222" s="7" t="str">
        <f t="shared" si="29"/>
        <v>ES-M1109T-GG</v>
      </c>
      <c r="C222" s="7" t="str">
        <f t="shared" si="30"/>
        <v>Capacity 11kg, Anti Mold, Eco Shower Rinse, Zero Pressure Technology, True One Piece Temperred Glass</v>
      </c>
      <c r="D222" s="25" t="str">
        <f t="shared" si="31"/>
        <v>2019-08-01</v>
      </c>
      <c r="E222" s="7">
        <f t="shared" si="32"/>
        <v>4622040</v>
      </c>
      <c r="F222" s="6">
        <f t="shared" si="33"/>
        <v>0</v>
      </c>
      <c r="G222" s="7" t="str">
        <f t="shared" si="34"/>
        <v/>
      </c>
      <c r="I222" s="23">
        <f t="shared" si="35"/>
        <v>2019</v>
      </c>
      <c r="J222" s="23" t="str">
        <f t="shared" si="36"/>
        <v>08</v>
      </c>
      <c r="K222" s="23" t="str">
        <f t="shared" si="37"/>
        <v>2019-08-01</v>
      </c>
      <c r="M222" s="11" t="s">
        <v>387</v>
      </c>
      <c r="N222" s="11" t="s">
        <v>878</v>
      </c>
      <c r="O222" s="9">
        <v>43678</v>
      </c>
      <c r="P222" s="13">
        <v>4622040</v>
      </c>
    </row>
    <row r="223" spans="1:16" x14ac:dyDescent="0.25">
      <c r="A223" s="19" t="str">
        <f>VLOOKUP(LEFT(M223,3),Category!$G$3:$H$73,2,0)</f>
        <v>WASHING MACHINE</v>
      </c>
      <c r="B223" s="7" t="str">
        <f t="shared" si="29"/>
        <v>ES-M1209T-SA</v>
      </c>
      <c r="C223" s="7" t="str">
        <f t="shared" si="30"/>
        <v>Capacity 12kg, Anti Mold, Eco Shower Rinse, Zero Pressure Technology, True One Piece Temperred Glass</v>
      </c>
      <c r="D223" s="25" t="str">
        <f t="shared" si="31"/>
        <v>2019-08-01</v>
      </c>
      <c r="E223" s="7">
        <f t="shared" si="32"/>
        <v>4872900</v>
      </c>
      <c r="F223" s="6">
        <f t="shared" si="33"/>
        <v>0</v>
      </c>
      <c r="G223" s="7" t="str">
        <f t="shared" si="34"/>
        <v/>
      </c>
      <c r="I223" s="23">
        <f t="shared" si="35"/>
        <v>2019</v>
      </c>
      <c r="J223" s="23" t="str">
        <f t="shared" si="36"/>
        <v>08</v>
      </c>
      <c r="K223" s="23" t="str">
        <f t="shared" si="37"/>
        <v>2019-08-01</v>
      </c>
      <c r="M223" s="11" t="s">
        <v>388</v>
      </c>
      <c r="N223" s="11" t="s">
        <v>879</v>
      </c>
      <c r="O223" s="9">
        <v>43678</v>
      </c>
      <c r="P223" s="13">
        <v>4872900</v>
      </c>
    </row>
    <row r="224" spans="1:16" x14ac:dyDescent="0.25">
      <c r="A224" s="19" t="str">
        <f>VLOOKUP(LEFT(M224,3),Category!$G$3:$H$73,2,0)</f>
        <v>WASHING MACHINE</v>
      </c>
      <c r="B224" s="7" t="str">
        <f t="shared" si="29"/>
        <v>ES-M8000T-GG</v>
      </c>
      <c r="C224" s="7" t="str">
        <f t="shared" si="30"/>
        <v>Capacity 8 kg, Zero Pressure Technology, Long Time Soaking, Lid Damper, Ag Pulsator Anti Bacterial, Auto Tub Clean, Eco Shower Rinse</v>
      </c>
      <c r="D224" s="25" t="str">
        <f t="shared" si="31"/>
        <v>2021-01-01</v>
      </c>
      <c r="E224" s="7">
        <f t="shared" si="32"/>
        <v>3280050</v>
      </c>
      <c r="F224" s="6">
        <f t="shared" si="33"/>
        <v>0</v>
      </c>
      <c r="G224" s="7" t="str">
        <f t="shared" si="34"/>
        <v/>
      </c>
      <c r="I224" s="23">
        <f t="shared" si="35"/>
        <v>2021</v>
      </c>
      <c r="J224" s="23" t="str">
        <f t="shared" si="36"/>
        <v>01</v>
      </c>
      <c r="K224" s="23" t="str">
        <f t="shared" si="37"/>
        <v>2021-01-01</v>
      </c>
      <c r="M224" s="11" t="s">
        <v>120</v>
      </c>
      <c r="N224" s="11" t="s">
        <v>880</v>
      </c>
      <c r="O224" s="9">
        <v>44197</v>
      </c>
      <c r="P224" s="13">
        <v>3280050</v>
      </c>
    </row>
    <row r="225" spans="1:16" x14ac:dyDescent="0.25">
      <c r="A225" s="19" t="str">
        <f>VLOOKUP(LEFT(M225,3),Category!$G$3:$H$73,2,0)</f>
        <v>WASHING MACHINE</v>
      </c>
      <c r="B225" s="7" t="str">
        <f t="shared" si="29"/>
        <v>ES-M809T-GG</v>
      </c>
      <c r="C225" s="7" t="str">
        <f t="shared" si="30"/>
        <v>Capacity 8kg, Anti Mold, Eco Shower Rinse, Zero Pressure Technology, True One Piece Temperred Glass</v>
      </c>
      <c r="D225" s="25" t="str">
        <f t="shared" si="31"/>
        <v>2019-08-01</v>
      </c>
      <c r="E225" s="7">
        <f t="shared" si="32"/>
        <v>3228990</v>
      </c>
      <c r="F225" s="6">
        <f t="shared" si="33"/>
        <v>0</v>
      </c>
      <c r="G225" s="7" t="str">
        <f t="shared" si="34"/>
        <v/>
      </c>
      <c r="I225" s="23">
        <f t="shared" si="35"/>
        <v>2019</v>
      </c>
      <c r="J225" s="23" t="str">
        <f t="shared" si="36"/>
        <v>08</v>
      </c>
      <c r="K225" s="23" t="str">
        <f t="shared" si="37"/>
        <v>2019-08-01</v>
      </c>
      <c r="M225" s="11" t="s">
        <v>389</v>
      </c>
      <c r="N225" s="11" t="s">
        <v>881</v>
      </c>
      <c r="O225" s="9">
        <v>43678</v>
      </c>
      <c r="P225" s="13">
        <v>3228990</v>
      </c>
    </row>
    <row r="226" spans="1:16" x14ac:dyDescent="0.25">
      <c r="A226" s="19" t="str">
        <f>VLOOKUP(LEFT(M226,3),Category!$G$3:$H$73,2,0)</f>
        <v>WASHING MACHINE</v>
      </c>
      <c r="B226" s="7" t="str">
        <f t="shared" si="29"/>
        <v>ES-M8500XT-SA</v>
      </c>
      <c r="C226" s="7" t="str">
        <f t="shared" si="30"/>
        <v>Capacity 8.5kg, J-Tech Inverter, Quick Wash Program, Hijab Pouch, add Laundry, 8 Washing Programs, Ag+ pulsator Anti Bacterial</v>
      </c>
      <c r="D226" s="25" t="str">
        <f t="shared" si="31"/>
        <v>2020-10-01</v>
      </c>
      <c r="E226" s="7">
        <f t="shared" si="32"/>
        <v>3690750</v>
      </c>
      <c r="F226" s="6">
        <f t="shared" si="33"/>
        <v>0</v>
      </c>
      <c r="G226" s="7" t="str">
        <f t="shared" si="34"/>
        <v/>
      </c>
      <c r="I226" s="23">
        <f t="shared" si="35"/>
        <v>2020</v>
      </c>
      <c r="J226" s="23">
        <f t="shared" si="36"/>
        <v>10</v>
      </c>
      <c r="K226" s="23" t="str">
        <f t="shared" si="37"/>
        <v>2020-10-01</v>
      </c>
      <c r="M226" s="11" t="s">
        <v>460</v>
      </c>
      <c r="N226" s="11" t="s">
        <v>882</v>
      </c>
      <c r="O226" s="9">
        <v>44105</v>
      </c>
      <c r="P226" s="13">
        <v>3690750</v>
      </c>
    </row>
    <row r="227" spans="1:16" x14ac:dyDescent="0.25">
      <c r="A227" s="19" t="str">
        <f>VLOOKUP(LEFT(M227,3),Category!$G$3:$H$73,2,0)</f>
        <v>WASHING MACHINE</v>
      </c>
      <c r="B227" s="7" t="str">
        <f t="shared" si="29"/>
        <v>ES-M9000T-GG</v>
      </c>
      <c r="C227" s="7" t="str">
        <f t="shared" si="30"/>
        <v>Capacity 9 kg, Zero Pressure Technology, Long Time Soaking, Lid Damper, Ag Pulsator Anti Bacterial, Auto Tub Clean, Eco Shower Rinse</v>
      </c>
      <c r="D227" s="25" t="str">
        <f t="shared" si="31"/>
        <v>2021-01-01</v>
      </c>
      <c r="E227" s="7">
        <f t="shared" si="32"/>
        <v>3384390</v>
      </c>
      <c r="F227" s="6">
        <f t="shared" si="33"/>
        <v>0</v>
      </c>
      <c r="G227" s="7" t="str">
        <f t="shared" si="34"/>
        <v/>
      </c>
      <c r="I227" s="23">
        <f t="shared" si="35"/>
        <v>2021</v>
      </c>
      <c r="J227" s="23" t="str">
        <f t="shared" si="36"/>
        <v>01</v>
      </c>
      <c r="K227" s="23" t="str">
        <f t="shared" si="37"/>
        <v>2021-01-01</v>
      </c>
      <c r="M227" s="11" t="s">
        <v>121</v>
      </c>
      <c r="N227" s="11" t="s">
        <v>883</v>
      </c>
      <c r="O227" s="9">
        <v>44197</v>
      </c>
      <c r="P227" s="13">
        <v>3384390</v>
      </c>
    </row>
    <row r="228" spans="1:16" x14ac:dyDescent="0.25">
      <c r="A228" s="19" t="str">
        <f>VLOOKUP(LEFT(M228,3),Category!$G$3:$H$73,2,0)</f>
        <v>WASHING MACHINE</v>
      </c>
      <c r="B228" s="7" t="str">
        <f t="shared" si="29"/>
        <v>ES-M909T-GG</v>
      </c>
      <c r="C228" s="7" t="str">
        <f t="shared" si="30"/>
        <v>Capacity 9kg, Anti Mold, Eco Shower Rinse, Zero Pressure Technology, True One Piece Temperred Glass</v>
      </c>
      <c r="D228" s="25" t="str">
        <f t="shared" si="31"/>
        <v>2019-08-01</v>
      </c>
      <c r="E228" s="7">
        <f t="shared" si="32"/>
        <v>3392160</v>
      </c>
      <c r="F228" s="6">
        <f t="shared" si="33"/>
        <v>0</v>
      </c>
      <c r="G228" s="7" t="str">
        <f t="shared" si="34"/>
        <v/>
      </c>
      <c r="I228" s="23">
        <f t="shared" si="35"/>
        <v>2019</v>
      </c>
      <c r="J228" s="23" t="str">
        <f t="shared" si="36"/>
        <v>08</v>
      </c>
      <c r="K228" s="23" t="str">
        <f t="shared" si="37"/>
        <v>2019-08-01</v>
      </c>
      <c r="M228" s="11" t="s">
        <v>390</v>
      </c>
      <c r="N228" s="11" t="s">
        <v>884</v>
      </c>
      <c r="O228" s="9">
        <v>43678</v>
      </c>
      <c r="P228" s="13">
        <v>3392160</v>
      </c>
    </row>
    <row r="229" spans="1:16" x14ac:dyDescent="0.25">
      <c r="A229" s="19" t="str">
        <f>VLOOKUP(LEFT(M229,3),Category!$G$3:$H$73,2,0)</f>
        <v>WASHING MACHINE</v>
      </c>
      <c r="B229" s="7" t="str">
        <f t="shared" si="29"/>
        <v>ES-M9500XT-SA</v>
      </c>
      <c r="C229" s="7" t="str">
        <f t="shared" si="30"/>
        <v>Capacity 9.5kg, J-Tech Inverter, Quick Wash Program, Hijab Pouch, add Laundry, 8 Washing Programs, Ag+ pulsator Anti Bacterial</v>
      </c>
      <c r="D229" s="25" t="str">
        <f t="shared" si="31"/>
        <v>2020-10-01</v>
      </c>
      <c r="E229" s="7">
        <f t="shared" si="32"/>
        <v>4100340</v>
      </c>
      <c r="F229" s="6">
        <f t="shared" si="33"/>
        <v>0</v>
      </c>
      <c r="G229" s="7" t="str">
        <f t="shared" si="34"/>
        <v/>
      </c>
      <c r="I229" s="23">
        <f t="shared" si="35"/>
        <v>2020</v>
      </c>
      <c r="J229" s="23">
        <f t="shared" si="36"/>
        <v>10</v>
      </c>
      <c r="K229" s="23" t="str">
        <f t="shared" si="37"/>
        <v>2020-10-01</v>
      </c>
      <c r="M229" s="11" t="s">
        <v>461</v>
      </c>
      <c r="N229" s="11" t="s">
        <v>885</v>
      </c>
      <c r="O229" s="9">
        <v>44105</v>
      </c>
      <c r="P229" s="13">
        <v>4100340</v>
      </c>
    </row>
    <row r="230" spans="1:16" x14ac:dyDescent="0.25">
      <c r="A230" s="19" t="str">
        <f>VLOOKUP(LEFT(M230,3),Category!$G$3:$H$73,2,0)</f>
        <v>WASHING MACHINE</v>
      </c>
      <c r="B230" s="7" t="str">
        <f t="shared" si="29"/>
        <v>ES-T1070SJ-GR</v>
      </c>
      <c r="C230" s="7" t="str">
        <f t="shared" si="30"/>
        <v>Capacity 9 kg, Hijab Mode, Two Tone Colour, Aquamagic Filter</v>
      </c>
      <c r="D230" s="25" t="str">
        <f t="shared" si="31"/>
        <v>2019-01-01</v>
      </c>
      <c r="E230" s="7">
        <f t="shared" si="32"/>
        <v>2166720</v>
      </c>
      <c r="F230" s="6">
        <f t="shared" si="33"/>
        <v>0</v>
      </c>
      <c r="G230" s="7" t="str">
        <f t="shared" si="34"/>
        <v/>
      </c>
      <c r="I230" s="23">
        <f t="shared" si="35"/>
        <v>2019</v>
      </c>
      <c r="J230" s="23" t="str">
        <f t="shared" si="36"/>
        <v>01</v>
      </c>
      <c r="K230" s="23" t="str">
        <f t="shared" si="37"/>
        <v>2019-01-01</v>
      </c>
      <c r="M230" s="11" t="s">
        <v>94</v>
      </c>
      <c r="N230" s="11" t="s">
        <v>886</v>
      </c>
      <c r="O230" s="9">
        <v>43466</v>
      </c>
      <c r="P230" s="13">
        <v>2166720</v>
      </c>
    </row>
    <row r="231" spans="1:16" x14ac:dyDescent="0.25">
      <c r="A231" s="19" t="str">
        <f>VLOOKUP(LEFT(M231,3),Category!$G$3:$H$73,2,0)</f>
        <v>WASHING MACHINE</v>
      </c>
      <c r="B231" s="7" t="str">
        <f t="shared" si="29"/>
        <v>ES-T1090-BK</v>
      </c>
      <c r="C231" s="7" t="str">
        <f t="shared" si="30"/>
        <v>Capacity 10 kg, Silver Magic Protection, Dolphin Pulsator, Low Wattage</v>
      </c>
      <c r="D231" s="25" t="str">
        <f t="shared" si="31"/>
        <v>2014-11-01</v>
      </c>
      <c r="E231" s="7">
        <f t="shared" si="32"/>
        <v>2313240</v>
      </c>
      <c r="F231" s="6">
        <f t="shared" si="33"/>
        <v>0</v>
      </c>
      <c r="G231" s="7" t="str">
        <f t="shared" si="34"/>
        <v/>
      </c>
      <c r="I231" s="23">
        <f t="shared" si="35"/>
        <v>2014</v>
      </c>
      <c r="J231" s="23">
        <f t="shared" si="36"/>
        <v>11</v>
      </c>
      <c r="K231" s="23" t="str">
        <f t="shared" si="37"/>
        <v>2014-11-01</v>
      </c>
      <c r="M231" s="11" t="s">
        <v>470</v>
      </c>
      <c r="N231" s="11" t="s">
        <v>887</v>
      </c>
      <c r="O231" s="9">
        <v>41944</v>
      </c>
      <c r="P231" s="13">
        <v>2313240</v>
      </c>
    </row>
    <row r="232" spans="1:16" x14ac:dyDescent="0.25">
      <c r="A232" s="19" t="str">
        <f>VLOOKUP(LEFT(M232,3),Category!$G$3:$H$73,2,0)</f>
        <v>WASHING MACHINE</v>
      </c>
      <c r="B232" s="7" t="str">
        <f t="shared" si="29"/>
        <v>ES-T1090-PK</v>
      </c>
      <c r="C232" s="7" t="str">
        <f t="shared" si="30"/>
        <v>Capacity 10 kg, Silver Magic Protection, Dolphin Pulsator, Low Wattage</v>
      </c>
      <c r="D232" s="25" t="str">
        <f t="shared" si="31"/>
        <v>2014-11-01</v>
      </c>
      <c r="E232" s="7">
        <f t="shared" si="32"/>
        <v>2313240</v>
      </c>
      <c r="F232" s="6">
        <f t="shared" si="33"/>
        <v>0</v>
      </c>
      <c r="G232" s="7" t="str">
        <f t="shared" si="34"/>
        <v/>
      </c>
      <c r="I232" s="23">
        <f t="shared" si="35"/>
        <v>2014</v>
      </c>
      <c r="J232" s="23">
        <f t="shared" si="36"/>
        <v>11</v>
      </c>
      <c r="K232" s="23" t="str">
        <f t="shared" si="37"/>
        <v>2014-11-01</v>
      </c>
      <c r="M232" s="11" t="s">
        <v>471</v>
      </c>
      <c r="N232" s="11" t="s">
        <v>887</v>
      </c>
      <c r="O232" s="9">
        <v>41944</v>
      </c>
      <c r="P232" s="13">
        <v>2313240</v>
      </c>
    </row>
    <row r="233" spans="1:16" x14ac:dyDescent="0.25">
      <c r="A233" s="19" t="str">
        <f>VLOOKUP(LEFT(M233,3),Category!$G$3:$H$73,2,0)</f>
        <v>WASHING MACHINE</v>
      </c>
      <c r="B233" s="7" t="str">
        <f t="shared" si="29"/>
        <v>ES-T1090-VK</v>
      </c>
      <c r="C233" s="7" t="str">
        <f t="shared" si="30"/>
        <v>Capacity 10 kg, Silver Magic Protection, Dolphin Pulsator, Low Wattage</v>
      </c>
      <c r="D233" s="25" t="str">
        <f t="shared" si="31"/>
        <v>2014-11-01</v>
      </c>
      <c r="E233" s="7">
        <f t="shared" si="32"/>
        <v>2313240</v>
      </c>
      <c r="F233" s="6">
        <f t="shared" si="33"/>
        <v>0</v>
      </c>
      <c r="G233" s="7" t="str">
        <f t="shared" si="34"/>
        <v/>
      </c>
      <c r="I233" s="23">
        <f t="shared" si="35"/>
        <v>2014</v>
      </c>
      <c r="J233" s="23">
        <f t="shared" si="36"/>
        <v>11</v>
      </c>
      <c r="K233" s="23" t="str">
        <f t="shared" si="37"/>
        <v>2014-11-01</v>
      </c>
      <c r="M233" s="11" t="s">
        <v>472</v>
      </c>
      <c r="N233" s="11" t="s">
        <v>887</v>
      </c>
      <c r="O233" s="9">
        <v>41944</v>
      </c>
      <c r="P233" s="13">
        <v>2313240</v>
      </c>
    </row>
    <row r="234" spans="1:16" x14ac:dyDescent="0.25">
      <c r="A234" s="19" t="str">
        <f>VLOOKUP(LEFT(M234,3),Category!$G$3:$H$73,2,0)</f>
        <v>WASHING MACHINE</v>
      </c>
      <c r="B234" s="7" t="str">
        <f t="shared" si="29"/>
        <v>ES-T1270SJ-BL</v>
      </c>
      <c r="C234" s="7" t="str">
        <f t="shared" si="30"/>
        <v>Capacity 11 kg, Super Aquamagic Filter, Wash Motor Input 310 watt</v>
      </c>
      <c r="D234" s="25" t="str">
        <f t="shared" si="31"/>
        <v>2018-05-01</v>
      </c>
      <c r="E234" s="7">
        <f t="shared" si="32"/>
        <v>2608500</v>
      </c>
      <c r="F234" s="6">
        <f t="shared" si="33"/>
        <v>0</v>
      </c>
      <c r="G234" s="7" t="str">
        <f t="shared" si="34"/>
        <v/>
      </c>
      <c r="I234" s="23">
        <f t="shared" si="35"/>
        <v>2018</v>
      </c>
      <c r="J234" s="23" t="str">
        <f t="shared" si="36"/>
        <v>05</v>
      </c>
      <c r="K234" s="23" t="str">
        <f t="shared" si="37"/>
        <v>2018-05-01</v>
      </c>
      <c r="M234" s="11" t="s">
        <v>260</v>
      </c>
      <c r="N234" s="11" t="s">
        <v>888</v>
      </c>
      <c r="O234" s="9">
        <v>43221</v>
      </c>
      <c r="P234" s="13">
        <v>2608500</v>
      </c>
    </row>
    <row r="235" spans="1:16" x14ac:dyDescent="0.25">
      <c r="A235" s="19" t="str">
        <f>VLOOKUP(LEFT(M235,3),Category!$G$3:$H$73,2,0)</f>
        <v>WASHING MACHINE</v>
      </c>
      <c r="B235" s="7" t="str">
        <f t="shared" si="29"/>
        <v>ES-T1270SJ-PK</v>
      </c>
      <c r="C235" s="7" t="str">
        <f t="shared" si="30"/>
        <v>Capacity 11 kg, Super Aquamagic Filter, Wash Motor Input 310 watt</v>
      </c>
      <c r="D235" s="25" t="str">
        <f t="shared" si="31"/>
        <v>2018-05-01</v>
      </c>
      <c r="E235" s="7">
        <f t="shared" si="32"/>
        <v>2608500</v>
      </c>
      <c r="F235" s="6">
        <f t="shared" si="33"/>
        <v>0</v>
      </c>
      <c r="G235" s="7" t="str">
        <f t="shared" si="34"/>
        <v/>
      </c>
      <c r="I235" s="23">
        <f t="shared" si="35"/>
        <v>2018</v>
      </c>
      <c r="J235" s="23" t="str">
        <f t="shared" si="36"/>
        <v>05</v>
      </c>
      <c r="K235" s="23" t="str">
        <f t="shared" si="37"/>
        <v>2018-05-01</v>
      </c>
      <c r="M235" s="11" t="s">
        <v>261</v>
      </c>
      <c r="N235" s="11" t="s">
        <v>888</v>
      </c>
      <c r="O235" s="9">
        <v>43221</v>
      </c>
      <c r="P235" s="13">
        <v>2608500</v>
      </c>
    </row>
    <row r="236" spans="1:16" x14ac:dyDescent="0.25">
      <c r="A236" s="19" t="str">
        <f>VLOOKUP(LEFT(M236,3),Category!$G$3:$H$73,2,0)</f>
        <v>WASHING MACHINE</v>
      </c>
      <c r="B236" s="7" t="str">
        <f t="shared" si="29"/>
        <v>ES-T1290WA-BL</v>
      </c>
      <c r="C236" s="7" t="str">
        <f t="shared" si="30"/>
        <v>Capacity 12KG, W-Screw Pulsator, Super Aquamagic Filter, Anti Bacteria, Spin Air Dry, Color: Blue</v>
      </c>
      <c r="D236" s="25" t="str">
        <f t="shared" si="31"/>
        <v>2017-04-01</v>
      </c>
      <c r="E236" s="7">
        <f t="shared" si="32"/>
        <v>2810520</v>
      </c>
      <c r="F236" s="6">
        <f t="shared" si="33"/>
        <v>0</v>
      </c>
      <c r="G236" s="7" t="str">
        <f t="shared" si="34"/>
        <v/>
      </c>
      <c r="I236" s="23">
        <f t="shared" si="35"/>
        <v>2017</v>
      </c>
      <c r="J236" s="23" t="str">
        <f t="shared" si="36"/>
        <v>04</v>
      </c>
      <c r="K236" s="23" t="str">
        <f t="shared" si="37"/>
        <v>2017-04-01</v>
      </c>
      <c r="M236" s="11" t="s">
        <v>203</v>
      </c>
      <c r="N236" s="11" t="s">
        <v>889</v>
      </c>
      <c r="O236" s="9">
        <v>42826</v>
      </c>
      <c r="P236" s="13">
        <v>2810520</v>
      </c>
    </row>
    <row r="237" spans="1:16" x14ac:dyDescent="0.25">
      <c r="A237" s="19" t="str">
        <f>VLOOKUP(LEFT(M237,3),Category!$G$3:$H$73,2,0)</f>
        <v>WASHING MACHINE</v>
      </c>
      <c r="B237" s="7" t="str">
        <f t="shared" si="29"/>
        <v>ES-T1290WA-PK</v>
      </c>
      <c r="C237" s="7" t="str">
        <f t="shared" si="30"/>
        <v>Capacity 12KG, W-Screw Pulsator, Super Aquamagic Filter, Anti Bacteria, Spin Air Dry, Color: Pink</v>
      </c>
      <c r="D237" s="25" t="str">
        <f t="shared" si="31"/>
        <v>2017-04-01</v>
      </c>
      <c r="E237" s="7">
        <f t="shared" si="32"/>
        <v>2810520</v>
      </c>
      <c r="F237" s="6">
        <f t="shared" si="33"/>
        <v>0</v>
      </c>
      <c r="G237" s="7" t="str">
        <f t="shared" si="34"/>
        <v/>
      </c>
      <c r="I237" s="23">
        <f t="shared" si="35"/>
        <v>2017</v>
      </c>
      <c r="J237" s="23" t="str">
        <f t="shared" si="36"/>
        <v>04</v>
      </c>
      <c r="K237" s="23" t="str">
        <f t="shared" si="37"/>
        <v>2017-04-01</v>
      </c>
      <c r="M237" s="11" t="s">
        <v>204</v>
      </c>
      <c r="N237" s="11" t="s">
        <v>890</v>
      </c>
      <c r="O237" s="9">
        <v>42826</v>
      </c>
      <c r="P237" s="13">
        <v>2810520</v>
      </c>
    </row>
    <row r="238" spans="1:16" x14ac:dyDescent="0.25">
      <c r="A238" s="19" t="str">
        <f>VLOOKUP(LEFT(M238,3),Category!$G$3:$H$73,2,0)</f>
        <v>WASHING MACHINE</v>
      </c>
      <c r="B238" s="7" t="str">
        <f t="shared" si="29"/>
        <v>ES-T1490WA-BL</v>
      </c>
      <c r="C238" s="7" t="str">
        <f t="shared" si="30"/>
        <v>Capacity 14KG, W-Screw Pulsator, Super Aquamagic Filter, Anti Bacteria, Spin Air Dry, Color: Blue</v>
      </c>
      <c r="D238" s="25" t="str">
        <f t="shared" si="31"/>
        <v>2017-04-01</v>
      </c>
      <c r="E238" s="7">
        <f t="shared" si="32"/>
        <v>2965920</v>
      </c>
      <c r="F238" s="6">
        <f t="shared" si="33"/>
        <v>0</v>
      </c>
      <c r="G238" s="7" t="str">
        <f t="shared" si="34"/>
        <v/>
      </c>
      <c r="I238" s="23">
        <f t="shared" si="35"/>
        <v>2017</v>
      </c>
      <c r="J238" s="23" t="str">
        <f t="shared" si="36"/>
        <v>04</v>
      </c>
      <c r="K238" s="23" t="str">
        <f t="shared" si="37"/>
        <v>2017-04-01</v>
      </c>
      <c r="M238" s="11" t="s">
        <v>205</v>
      </c>
      <c r="N238" s="11" t="s">
        <v>891</v>
      </c>
      <c r="O238" s="9">
        <v>42826</v>
      </c>
      <c r="P238" s="13">
        <v>2965920</v>
      </c>
    </row>
    <row r="239" spans="1:16" x14ac:dyDescent="0.25">
      <c r="A239" s="19" t="str">
        <f>VLOOKUP(LEFT(M239,3),Category!$G$3:$H$73,2,0)</f>
        <v>WASHING MACHINE</v>
      </c>
      <c r="B239" s="7" t="str">
        <f t="shared" si="29"/>
        <v>ES-T1490WA-RD</v>
      </c>
      <c r="C239" s="7" t="str">
        <f t="shared" si="30"/>
        <v>Capacity 14KG, W-Screw Pulsator, Super Aquamagic Filter, Anti Bacteria, Spin Air Dry, Color: Red</v>
      </c>
      <c r="D239" s="25" t="str">
        <f t="shared" si="31"/>
        <v>2017-04-01</v>
      </c>
      <c r="E239" s="7">
        <f t="shared" si="32"/>
        <v>2965920</v>
      </c>
      <c r="F239" s="6">
        <f t="shared" si="33"/>
        <v>0</v>
      </c>
      <c r="G239" s="7" t="str">
        <f t="shared" si="34"/>
        <v/>
      </c>
      <c r="I239" s="23">
        <f t="shared" si="35"/>
        <v>2017</v>
      </c>
      <c r="J239" s="23" t="str">
        <f t="shared" si="36"/>
        <v>04</v>
      </c>
      <c r="K239" s="23" t="str">
        <f t="shared" si="37"/>
        <v>2017-04-01</v>
      </c>
      <c r="M239" s="11" t="s">
        <v>206</v>
      </c>
      <c r="N239" s="11" t="s">
        <v>892</v>
      </c>
      <c r="O239" s="9">
        <v>42826</v>
      </c>
      <c r="P239" s="13">
        <v>2965920</v>
      </c>
    </row>
    <row r="240" spans="1:16" x14ac:dyDescent="0.25">
      <c r="A240" s="19" t="str">
        <f>VLOOKUP(LEFT(M240,3),Category!$G$3:$H$73,2,0)</f>
        <v>WASHING MACHINE</v>
      </c>
      <c r="B240" s="7" t="str">
        <f t="shared" si="29"/>
        <v>ES-T65MW-BK</v>
      </c>
      <c r="C240" s="7" t="str">
        <f t="shared" si="30"/>
        <v>Capacity 6.5kg, Silver Magic Protection, Easy Function</v>
      </c>
      <c r="D240" s="25" t="str">
        <f t="shared" si="31"/>
        <v>1900-01-01</v>
      </c>
      <c r="E240" s="7">
        <f t="shared" si="32"/>
        <v>1516260</v>
      </c>
      <c r="F240" s="6">
        <f t="shared" si="33"/>
        <v>0</v>
      </c>
      <c r="G240" s="7" t="str">
        <f t="shared" si="34"/>
        <v/>
      </c>
      <c r="I240" s="23">
        <f t="shared" si="35"/>
        <v>1900</v>
      </c>
      <c r="J240" s="23" t="str">
        <f t="shared" si="36"/>
        <v>01</v>
      </c>
      <c r="K240" s="23" t="str">
        <f t="shared" si="37"/>
        <v>1900-01-01</v>
      </c>
      <c r="M240" s="11" t="s">
        <v>520</v>
      </c>
      <c r="N240" s="11" t="s">
        <v>893</v>
      </c>
      <c r="P240" s="13">
        <v>1516260</v>
      </c>
    </row>
    <row r="241" spans="1:16" x14ac:dyDescent="0.25">
      <c r="A241" s="19" t="str">
        <f>VLOOKUP(LEFT(M241,3),Category!$G$3:$H$73,2,0)</f>
        <v>WASHING MACHINE</v>
      </c>
      <c r="B241" s="7" t="str">
        <f t="shared" si="29"/>
        <v>ES-T65MW-GK</v>
      </c>
      <c r="C241" s="7" t="str">
        <f t="shared" si="30"/>
        <v>Capacity 6.5kg, Silver Magic Protection, Easy Function</v>
      </c>
      <c r="D241" s="25" t="str">
        <f t="shared" si="31"/>
        <v>1900-01-01</v>
      </c>
      <c r="E241" s="7">
        <f t="shared" si="32"/>
        <v>1516260</v>
      </c>
      <c r="F241" s="6">
        <f t="shared" si="33"/>
        <v>0</v>
      </c>
      <c r="G241" s="7" t="str">
        <f t="shared" si="34"/>
        <v/>
      </c>
      <c r="I241" s="23">
        <f t="shared" si="35"/>
        <v>1900</v>
      </c>
      <c r="J241" s="23" t="str">
        <f t="shared" si="36"/>
        <v>01</v>
      </c>
      <c r="K241" s="23" t="str">
        <f t="shared" si="37"/>
        <v>1900-01-01</v>
      </c>
      <c r="M241" s="11" t="s">
        <v>521</v>
      </c>
      <c r="N241" s="11" t="s">
        <v>893</v>
      </c>
      <c r="P241" s="13">
        <v>1516260</v>
      </c>
    </row>
    <row r="242" spans="1:16" x14ac:dyDescent="0.25">
      <c r="A242" s="19" t="str">
        <f>VLOOKUP(LEFT(M242,3),Category!$G$3:$H$73,2,0)</f>
        <v>WASHING MACHINE</v>
      </c>
      <c r="B242" s="7" t="str">
        <f t="shared" si="29"/>
        <v>ES-T65MW-PK</v>
      </c>
      <c r="C242" s="7" t="str">
        <f t="shared" si="30"/>
        <v>Capacity 6.5kg, Silver Magic Protection, Easy Function</v>
      </c>
      <c r="D242" s="25" t="str">
        <f t="shared" si="31"/>
        <v>1900-01-01</v>
      </c>
      <c r="E242" s="7">
        <f t="shared" si="32"/>
        <v>1516260</v>
      </c>
      <c r="F242" s="6">
        <f t="shared" si="33"/>
        <v>0</v>
      </c>
      <c r="G242" s="7" t="str">
        <f t="shared" si="34"/>
        <v/>
      </c>
      <c r="I242" s="23">
        <f t="shared" si="35"/>
        <v>1900</v>
      </c>
      <c r="J242" s="23" t="str">
        <f t="shared" si="36"/>
        <v>01</v>
      </c>
      <c r="K242" s="23" t="str">
        <f t="shared" si="37"/>
        <v>1900-01-01</v>
      </c>
      <c r="M242" s="11" t="s">
        <v>522</v>
      </c>
      <c r="N242" s="11" t="s">
        <v>893</v>
      </c>
      <c r="P242" s="13">
        <v>1516260</v>
      </c>
    </row>
    <row r="243" spans="1:16" x14ac:dyDescent="0.25">
      <c r="A243" s="19" t="str">
        <f>VLOOKUP(LEFT(M243,3),Category!$G$3:$H$73,2,0)</f>
        <v>WASHING MACHINE</v>
      </c>
      <c r="B243" s="7" t="str">
        <f t="shared" si="29"/>
        <v>ES-T65NT-BL</v>
      </c>
      <c r="C243" s="7" t="str">
        <f t="shared" si="30"/>
        <v xml:space="preserve">Capacity 6 kg, Supersoak magic, water inlet,transparent LID </v>
      </c>
      <c r="D243" s="25" t="str">
        <f t="shared" si="31"/>
        <v>2019-05-01</v>
      </c>
      <c r="E243" s="7">
        <f t="shared" si="32"/>
        <v>1507380</v>
      </c>
      <c r="F243" s="6">
        <f t="shared" si="33"/>
        <v>0</v>
      </c>
      <c r="G243" s="7" t="str">
        <f t="shared" si="34"/>
        <v/>
      </c>
      <c r="I243" s="23">
        <f t="shared" si="35"/>
        <v>2019</v>
      </c>
      <c r="J243" s="23" t="str">
        <f t="shared" si="36"/>
        <v>05</v>
      </c>
      <c r="K243" s="23" t="str">
        <f t="shared" si="37"/>
        <v>2019-05-01</v>
      </c>
      <c r="M243" s="11" t="s">
        <v>268</v>
      </c>
      <c r="N243" s="11" t="s">
        <v>894</v>
      </c>
      <c r="O243" s="9">
        <v>43586</v>
      </c>
      <c r="P243" s="13">
        <v>1507380</v>
      </c>
    </row>
    <row r="244" spans="1:16" x14ac:dyDescent="0.25">
      <c r="A244" s="19" t="str">
        <f>VLOOKUP(LEFT(M244,3),Category!$G$3:$H$73,2,0)</f>
        <v>WASHING MACHINE</v>
      </c>
      <c r="B244" s="7" t="str">
        <f t="shared" si="29"/>
        <v>ES-T65NT-GY</v>
      </c>
      <c r="C244" s="7" t="str">
        <f t="shared" si="30"/>
        <v xml:space="preserve">Capacity 6 kg, Supersoak magic, water inlet,transparent LID </v>
      </c>
      <c r="D244" s="25" t="str">
        <f t="shared" si="31"/>
        <v>2019-05-01</v>
      </c>
      <c r="E244" s="7">
        <f t="shared" si="32"/>
        <v>1507380</v>
      </c>
      <c r="F244" s="6">
        <f t="shared" si="33"/>
        <v>0</v>
      </c>
      <c r="G244" s="7" t="str">
        <f t="shared" si="34"/>
        <v/>
      </c>
      <c r="I244" s="23">
        <f t="shared" si="35"/>
        <v>2019</v>
      </c>
      <c r="J244" s="23" t="str">
        <f t="shared" si="36"/>
        <v>05</v>
      </c>
      <c r="K244" s="23" t="str">
        <f t="shared" si="37"/>
        <v>2019-05-01</v>
      </c>
      <c r="M244" s="11" t="s">
        <v>269</v>
      </c>
      <c r="N244" s="11" t="s">
        <v>894</v>
      </c>
      <c r="O244" s="9">
        <v>43586</v>
      </c>
      <c r="P244" s="13">
        <v>1507380</v>
      </c>
    </row>
    <row r="245" spans="1:16" x14ac:dyDescent="0.25">
      <c r="A245" s="19" t="str">
        <f>VLOOKUP(LEFT(M245,3),Category!$G$3:$H$73,2,0)</f>
        <v>WASHING MACHINE</v>
      </c>
      <c r="B245" s="7" t="str">
        <f t="shared" si="29"/>
        <v>ES-T68MW-BK</v>
      </c>
      <c r="C245" s="7" t="str">
        <f t="shared" si="30"/>
        <v>Capacity 6.5kg, Silver Magic Protection, Easy Function</v>
      </c>
      <c r="D245" s="25" t="str">
        <f t="shared" si="31"/>
        <v>2011-06-01</v>
      </c>
      <c r="E245" s="7">
        <f t="shared" si="32"/>
        <v>1449660</v>
      </c>
      <c r="F245" s="6">
        <f t="shared" si="33"/>
        <v>0</v>
      </c>
      <c r="G245" s="7" t="str">
        <f t="shared" si="34"/>
        <v/>
      </c>
      <c r="I245" s="23">
        <f t="shared" si="35"/>
        <v>2011</v>
      </c>
      <c r="J245" s="23" t="str">
        <f t="shared" si="36"/>
        <v>06</v>
      </c>
      <c r="K245" s="23" t="str">
        <f t="shared" si="37"/>
        <v>2011-06-01</v>
      </c>
      <c r="M245" s="11" t="s">
        <v>38</v>
      </c>
      <c r="N245" s="11" t="s">
        <v>893</v>
      </c>
      <c r="O245" s="9">
        <v>40695</v>
      </c>
      <c r="P245" s="13">
        <v>1449660</v>
      </c>
    </row>
    <row r="246" spans="1:16" x14ac:dyDescent="0.25">
      <c r="A246" s="19" t="str">
        <f>VLOOKUP(LEFT(M246,3),Category!$G$3:$H$73,2,0)</f>
        <v>WASHING MACHINE</v>
      </c>
      <c r="B246" s="7" t="str">
        <f t="shared" si="29"/>
        <v>ES-T68MW-PK</v>
      </c>
      <c r="C246" s="7" t="str">
        <f t="shared" si="30"/>
        <v>Capacity 6.5kg, Silver Magic Protection, Easy Function</v>
      </c>
      <c r="D246" s="25" t="str">
        <f t="shared" si="31"/>
        <v>2011-06-01</v>
      </c>
      <c r="E246" s="7">
        <f t="shared" si="32"/>
        <v>1449660</v>
      </c>
      <c r="F246" s="6">
        <f t="shared" si="33"/>
        <v>0</v>
      </c>
      <c r="G246" s="7" t="str">
        <f t="shared" si="34"/>
        <v/>
      </c>
      <c r="I246" s="23">
        <f t="shared" si="35"/>
        <v>2011</v>
      </c>
      <c r="J246" s="23" t="str">
        <f t="shared" si="36"/>
        <v>06</v>
      </c>
      <c r="K246" s="23" t="str">
        <f t="shared" si="37"/>
        <v>2011-06-01</v>
      </c>
      <c r="M246" s="11" t="s">
        <v>39</v>
      </c>
      <c r="N246" s="11" t="s">
        <v>893</v>
      </c>
      <c r="O246" s="9">
        <v>40695</v>
      </c>
      <c r="P246" s="13">
        <v>1449660</v>
      </c>
    </row>
    <row r="247" spans="1:16" x14ac:dyDescent="0.25">
      <c r="A247" s="19" t="str">
        <f>VLOOKUP(LEFT(M247,3),Category!$G$3:$H$73,2,0)</f>
        <v>WASHING MACHINE</v>
      </c>
      <c r="B247" s="7" t="str">
        <f t="shared" si="29"/>
        <v>ES-T70MW-BL</v>
      </c>
      <c r="C247" s="7" t="str">
        <f t="shared" si="30"/>
        <v>Capacity 6.5kg, Silver Magic Protection, Easy Function</v>
      </c>
      <c r="D247" s="25" t="str">
        <f t="shared" si="31"/>
        <v>2022-03-01</v>
      </c>
      <c r="E247" s="7">
        <f t="shared" si="32"/>
        <v>1542900</v>
      </c>
      <c r="F247" s="6">
        <f t="shared" si="33"/>
        <v>0</v>
      </c>
      <c r="G247" s="7" t="str">
        <f t="shared" si="34"/>
        <v/>
      </c>
      <c r="I247" s="23">
        <f t="shared" si="35"/>
        <v>2022</v>
      </c>
      <c r="J247" s="23" t="str">
        <f t="shared" si="36"/>
        <v>03</v>
      </c>
      <c r="K247" s="23" t="str">
        <f t="shared" si="37"/>
        <v>2022-03-01</v>
      </c>
      <c r="M247" s="11" t="s">
        <v>195</v>
      </c>
      <c r="N247" s="11" t="s">
        <v>893</v>
      </c>
      <c r="O247" s="9">
        <v>44642</v>
      </c>
      <c r="P247" s="13">
        <v>1542900</v>
      </c>
    </row>
    <row r="248" spans="1:16" x14ac:dyDescent="0.25">
      <c r="A248" s="19" t="str">
        <f>VLOOKUP(LEFT(M248,3),Category!$G$3:$H$73,2,0)</f>
        <v>WASHING MACHINE</v>
      </c>
      <c r="B248" s="7" t="str">
        <f t="shared" si="29"/>
        <v>ES-T70MW-LC</v>
      </c>
      <c r="C248" s="7" t="str">
        <f t="shared" si="30"/>
        <v>Capacity 6.5kg, Silver Magic Protection, Easy Function</v>
      </c>
      <c r="D248" s="25" t="str">
        <f t="shared" si="31"/>
        <v>2022-03-01</v>
      </c>
      <c r="E248" s="7">
        <f t="shared" si="32"/>
        <v>1542900</v>
      </c>
      <c r="F248" s="6">
        <f t="shared" si="33"/>
        <v>0</v>
      </c>
      <c r="G248" s="7" t="str">
        <f t="shared" si="34"/>
        <v/>
      </c>
      <c r="I248" s="23">
        <f t="shared" si="35"/>
        <v>2022</v>
      </c>
      <c r="J248" s="23" t="str">
        <f t="shared" si="36"/>
        <v>03</v>
      </c>
      <c r="K248" s="23" t="str">
        <f t="shared" si="37"/>
        <v>2022-03-01</v>
      </c>
      <c r="M248" s="11" t="s">
        <v>196</v>
      </c>
      <c r="N248" s="11" t="s">
        <v>893</v>
      </c>
      <c r="O248" s="9">
        <v>44642</v>
      </c>
      <c r="P248" s="13">
        <v>1542900</v>
      </c>
    </row>
    <row r="249" spans="1:16" x14ac:dyDescent="0.25">
      <c r="A249" s="19" t="str">
        <f>VLOOKUP(LEFT(M249,3),Category!$G$3:$H$73,2,0)</f>
        <v>WASHING MACHINE</v>
      </c>
      <c r="B249" s="7" t="str">
        <f t="shared" si="29"/>
        <v>ES-T70MW-PK</v>
      </c>
      <c r="C249" s="7" t="str">
        <f t="shared" si="30"/>
        <v>Capacity 6.5kg, Silver Magic Protection, Easy Function</v>
      </c>
      <c r="D249" s="25" t="str">
        <f t="shared" si="31"/>
        <v>2022-03-01</v>
      </c>
      <c r="E249" s="7">
        <f t="shared" si="32"/>
        <v>1542900</v>
      </c>
      <c r="F249" s="6">
        <f t="shared" si="33"/>
        <v>0</v>
      </c>
      <c r="G249" s="7" t="str">
        <f t="shared" si="34"/>
        <v/>
      </c>
      <c r="I249" s="23">
        <f t="shared" si="35"/>
        <v>2022</v>
      </c>
      <c r="J249" s="23" t="str">
        <f t="shared" si="36"/>
        <v>03</v>
      </c>
      <c r="K249" s="23" t="str">
        <f t="shared" si="37"/>
        <v>2022-03-01</v>
      </c>
      <c r="M249" s="11" t="s">
        <v>197</v>
      </c>
      <c r="N249" s="11" t="s">
        <v>893</v>
      </c>
      <c r="O249" s="9">
        <v>44642</v>
      </c>
      <c r="P249" s="13">
        <v>1542900</v>
      </c>
    </row>
    <row r="250" spans="1:16" x14ac:dyDescent="0.25">
      <c r="A250" s="19" t="str">
        <f>VLOOKUP(LEFT(M250,3),Category!$G$3:$H$73,2,0)</f>
        <v>WASHING MACHINE</v>
      </c>
      <c r="B250" s="7" t="str">
        <f t="shared" si="29"/>
        <v>ES-T75NT-BL</v>
      </c>
      <c r="C250" s="7" t="str">
        <f t="shared" si="30"/>
        <v>Capacity 7kg, Supersoak magic, water inlet,transparent LID</v>
      </c>
      <c r="D250" s="25" t="str">
        <f t="shared" si="31"/>
        <v>2019-05-01</v>
      </c>
      <c r="E250" s="7">
        <f t="shared" si="32"/>
        <v>1652790</v>
      </c>
      <c r="F250" s="6">
        <f t="shared" si="33"/>
        <v>0</v>
      </c>
      <c r="G250" s="7" t="str">
        <f t="shared" si="34"/>
        <v/>
      </c>
      <c r="I250" s="23">
        <f t="shared" si="35"/>
        <v>2019</v>
      </c>
      <c r="J250" s="23" t="str">
        <f t="shared" si="36"/>
        <v>05</v>
      </c>
      <c r="K250" s="23" t="str">
        <f t="shared" si="37"/>
        <v>2019-05-01</v>
      </c>
      <c r="M250" s="11" t="s">
        <v>270</v>
      </c>
      <c r="N250" s="11" t="s">
        <v>895</v>
      </c>
      <c r="O250" s="9">
        <v>43586</v>
      </c>
      <c r="P250" s="13">
        <v>1652790</v>
      </c>
    </row>
    <row r="251" spans="1:16" x14ac:dyDescent="0.25">
      <c r="A251" s="19" t="str">
        <f>VLOOKUP(LEFT(M251,3),Category!$G$3:$H$73,2,0)</f>
        <v>WASHING MACHINE</v>
      </c>
      <c r="B251" s="7" t="str">
        <f t="shared" si="29"/>
        <v>ES-T75NT-PK</v>
      </c>
      <c r="C251" s="7" t="str">
        <f t="shared" si="30"/>
        <v>Capacity 7kg, Supersoak magic, water inlet,transparent LID</v>
      </c>
      <c r="D251" s="25" t="str">
        <f t="shared" si="31"/>
        <v>2019-05-01</v>
      </c>
      <c r="E251" s="7">
        <f t="shared" si="32"/>
        <v>1652790</v>
      </c>
      <c r="F251" s="6">
        <f t="shared" si="33"/>
        <v>0</v>
      </c>
      <c r="G251" s="7" t="str">
        <f t="shared" si="34"/>
        <v/>
      </c>
      <c r="I251" s="23">
        <f t="shared" si="35"/>
        <v>2019</v>
      </c>
      <c r="J251" s="23" t="str">
        <f t="shared" si="36"/>
        <v>05</v>
      </c>
      <c r="K251" s="23" t="str">
        <f t="shared" si="37"/>
        <v>2019-05-01</v>
      </c>
      <c r="M251" s="11" t="s">
        <v>271</v>
      </c>
      <c r="N251" s="11" t="s">
        <v>895</v>
      </c>
      <c r="O251" s="9">
        <v>43586</v>
      </c>
      <c r="P251" s="13">
        <v>1652790</v>
      </c>
    </row>
    <row r="252" spans="1:16" x14ac:dyDescent="0.25">
      <c r="A252" s="19" t="str">
        <f>VLOOKUP(LEFT(M252,3),Category!$G$3:$H$73,2,0)</f>
        <v>WASHING MACHINE</v>
      </c>
      <c r="B252" s="7" t="str">
        <f t="shared" si="29"/>
        <v>ES-T77DA-BK</v>
      </c>
      <c r="C252" s="7" t="str">
        <f t="shared" si="30"/>
        <v>Capacity 7kg, Dolphin Pulsator, Super Big Spin, Aerodry System, Super Aquamagic Filter, Soak Magic</v>
      </c>
      <c r="D252" s="25" t="str">
        <f t="shared" si="31"/>
        <v>2013-09-01</v>
      </c>
      <c r="E252" s="7">
        <f t="shared" si="32"/>
        <v>1923630</v>
      </c>
      <c r="F252" s="6">
        <f t="shared" si="33"/>
        <v>0</v>
      </c>
      <c r="G252" s="7" t="str">
        <f t="shared" si="34"/>
        <v/>
      </c>
      <c r="I252" s="23">
        <f t="shared" si="35"/>
        <v>2013</v>
      </c>
      <c r="J252" s="23" t="str">
        <f t="shared" si="36"/>
        <v>09</v>
      </c>
      <c r="K252" s="23" t="str">
        <f t="shared" si="37"/>
        <v>2013-09-01</v>
      </c>
      <c r="M252" s="11" t="s">
        <v>53</v>
      </c>
      <c r="N252" s="11" t="s">
        <v>896</v>
      </c>
      <c r="O252" s="9">
        <v>41532</v>
      </c>
      <c r="P252" s="13">
        <v>1923630</v>
      </c>
    </row>
    <row r="253" spans="1:16" x14ac:dyDescent="0.25">
      <c r="A253" s="19" t="str">
        <f>VLOOKUP(LEFT(M253,3),Category!$G$3:$H$73,2,0)</f>
        <v>WASHING MACHINE</v>
      </c>
      <c r="B253" s="7" t="str">
        <f t="shared" si="29"/>
        <v>ES-T77DA-RK</v>
      </c>
      <c r="C253" s="7" t="str">
        <f t="shared" si="30"/>
        <v>Capacity 7kg, Dolphin Pulsator, Super Big Spin, Aerodry System, Super Aquamagic Filter, Soak Magic</v>
      </c>
      <c r="D253" s="25" t="str">
        <f t="shared" si="31"/>
        <v>2013-09-01</v>
      </c>
      <c r="E253" s="7">
        <f t="shared" si="32"/>
        <v>1923630</v>
      </c>
      <c r="F253" s="6">
        <f t="shared" si="33"/>
        <v>0</v>
      </c>
      <c r="G253" s="7" t="str">
        <f t="shared" si="34"/>
        <v/>
      </c>
      <c r="I253" s="23">
        <f t="shared" si="35"/>
        <v>2013</v>
      </c>
      <c r="J253" s="23" t="str">
        <f t="shared" si="36"/>
        <v>09</v>
      </c>
      <c r="K253" s="23" t="str">
        <f t="shared" si="37"/>
        <v>2013-09-01</v>
      </c>
      <c r="M253" s="11" t="s">
        <v>54</v>
      </c>
      <c r="N253" s="11" t="s">
        <v>896</v>
      </c>
      <c r="O253" s="9">
        <v>41532</v>
      </c>
      <c r="P253" s="13">
        <v>1923630</v>
      </c>
    </row>
    <row r="254" spans="1:16" x14ac:dyDescent="0.25">
      <c r="A254" s="19" t="str">
        <f>VLOOKUP(LEFT(M254,3),Category!$G$3:$H$73,2,0)</f>
        <v>WASHING MACHINE</v>
      </c>
      <c r="B254" s="7" t="str">
        <f t="shared" si="29"/>
        <v>ES-T77F-PBK</v>
      </c>
      <c r="C254" s="7" t="str">
        <f t="shared" si="30"/>
        <v>Capacity 7kg, Super Big Spin, Super Aquamagic Filter, Soak Magic</v>
      </c>
      <c r="D254" s="25" t="str">
        <f t="shared" si="31"/>
        <v>2013-09-01</v>
      </c>
      <c r="E254" s="7">
        <f t="shared" si="32"/>
        <v>1859250</v>
      </c>
      <c r="F254" s="6">
        <f t="shared" si="33"/>
        <v>0</v>
      </c>
      <c r="G254" s="7" t="str">
        <f t="shared" si="34"/>
        <v/>
      </c>
      <c r="I254" s="23">
        <f t="shared" si="35"/>
        <v>2013</v>
      </c>
      <c r="J254" s="23" t="str">
        <f t="shared" si="36"/>
        <v>09</v>
      </c>
      <c r="K254" s="23" t="str">
        <f t="shared" si="37"/>
        <v>2013-09-01</v>
      </c>
      <c r="M254" s="11" t="s">
        <v>55</v>
      </c>
      <c r="N254" s="11" t="s">
        <v>897</v>
      </c>
      <c r="O254" s="9">
        <v>41532</v>
      </c>
      <c r="P254" s="13">
        <v>1859250</v>
      </c>
    </row>
    <row r="255" spans="1:16" x14ac:dyDescent="0.25">
      <c r="A255" s="19" t="str">
        <f>VLOOKUP(LEFT(M255,3),Category!$G$3:$H$73,2,0)</f>
        <v>WASHING MACHINE</v>
      </c>
      <c r="B255" s="7" t="str">
        <f t="shared" si="29"/>
        <v>ES-T77F-PPK</v>
      </c>
      <c r="C255" s="7" t="str">
        <f t="shared" si="30"/>
        <v>Capacity 7kg, Super Big Spin, Super Aquamagic Filter, Soak Magic</v>
      </c>
      <c r="D255" s="25" t="str">
        <f t="shared" si="31"/>
        <v>2013-09-01</v>
      </c>
      <c r="E255" s="7">
        <f t="shared" si="32"/>
        <v>1859250</v>
      </c>
      <c r="F255" s="6">
        <f t="shared" si="33"/>
        <v>0</v>
      </c>
      <c r="G255" s="7" t="str">
        <f t="shared" si="34"/>
        <v/>
      </c>
      <c r="I255" s="23">
        <f t="shared" si="35"/>
        <v>2013</v>
      </c>
      <c r="J255" s="23" t="str">
        <f t="shared" si="36"/>
        <v>09</v>
      </c>
      <c r="K255" s="23" t="str">
        <f t="shared" si="37"/>
        <v>2013-09-01</v>
      </c>
      <c r="M255" s="11" t="s">
        <v>56</v>
      </c>
      <c r="N255" s="11" t="s">
        <v>897</v>
      </c>
      <c r="O255" s="9">
        <v>41532</v>
      </c>
      <c r="P255" s="13">
        <v>1859250</v>
      </c>
    </row>
    <row r="256" spans="1:16" x14ac:dyDescent="0.25">
      <c r="A256" s="19" t="str">
        <f>VLOOKUP(LEFT(M256,3),Category!$G$3:$H$73,2,0)</f>
        <v>WASHING MACHINE</v>
      </c>
      <c r="B256" s="7" t="str">
        <f t="shared" si="29"/>
        <v>ES-T79SJ-BL</v>
      </c>
      <c r="C256" s="7" t="str">
        <f t="shared" si="30"/>
        <v>Capacity 7,5kg, Dualtone Color, Hijab Mode, Jilbab Pouch, Soak Magic, Silver Magic</v>
      </c>
      <c r="D256" s="25" t="str">
        <f t="shared" si="31"/>
        <v>2018-01-01</v>
      </c>
      <c r="E256" s="7">
        <f t="shared" si="32"/>
        <v>1579530</v>
      </c>
      <c r="F256" s="6">
        <f t="shared" si="33"/>
        <v>0</v>
      </c>
      <c r="G256" s="7" t="str">
        <f t="shared" si="34"/>
        <v/>
      </c>
      <c r="I256" s="23">
        <f t="shared" si="35"/>
        <v>2018</v>
      </c>
      <c r="J256" s="23" t="str">
        <f t="shared" si="36"/>
        <v>01</v>
      </c>
      <c r="K256" s="23" t="str">
        <f t="shared" si="37"/>
        <v>2018-01-01</v>
      </c>
      <c r="M256" s="11" t="s">
        <v>85</v>
      </c>
      <c r="N256" s="11" t="s">
        <v>898</v>
      </c>
      <c r="O256" s="9">
        <v>43101</v>
      </c>
      <c r="P256" s="13">
        <v>1579530</v>
      </c>
    </row>
    <row r="257" spans="1:16" x14ac:dyDescent="0.25">
      <c r="A257" s="19" t="str">
        <f>VLOOKUP(LEFT(M257,3),Category!$G$3:$H$73,2,0)</f>
        <v>WASHING MACHINE</v>
      </c>
      <c r="B257" s="7" t="str">
        <f t="shared" si="29"/>
        <v>ES-T79SJ-PK</v>
      </c>
      <c r="C257" s="7" t="str">
        <f t="shared" si="30"/>
        <v>Capacity 7,5kg, Dualtone Color, Hijab Mode, Jilbab Pouch, Soak Magic, Silver Magic</v>
      </c>
      <c r="D257" s="25" t="str">
        <f t="shared" si="31"/>
        <v>2018-01-01</v>
      </c>
      <c r="E257" s="7">
        <f t="shared" si="32"/>
        <v>1579530</v>
      </c>
      <c r="F257" s="6">
        <f t="shared" si="33"/>
        <v>0</v>
      </c>
      <c r="G257" s="7" t="str">
        <f t="shared" si="34"/>
        <v/>
      </c>
      <c r="I257" s="23">
        <f t="shared" si="35"/>
        <v>2018</v>
      </c>
      <c r="J257" s="23" t="str">
        <f t="shared" si="36"/>
        <v>01</v>
      </c>
      <c r="K257" s="23" t="str">
        <f t="shared" si="37"/>
        <v>2018-01-01</v>
      </c>
      <c r="M257" s="11" t="s">
        <v>86</v>
      </c>
      <c r="N257" s="11" t="s">
        <v>898</v>
      </c>
      <c r="O257" s="9">
        <v>43101</v>
      </c>
      <c r="P257" s="13">
        <v>1579530</v>
      </c>
    </row>
    <row r="258" spans="1:16" x14ac:dyDescent="0.25">
      <c r="A258" s="19" t="str">
        <f>VLOOKUP(LEFT(M258,3),Category!$G$3:$H$73,2,0)</f>
        <v>WASHING MACHINE</v>
      </c>
      <c r="B258" s="7" t="str">
        <f t="shared" si="29"/>
        <v>ES-T80MW-BK</v>
      </c>
      <c r="C258" s="7" t="str">
        <f t="shared" si="30"/>
        <v>Capacity 7kg, Silvermagic Protection, Easy Function</v>
      </c>
      <c r="D258" s="25" t="str">
        <f t="shared" si="31"/>
        <v>2019-01-01</v>
      </c>
      <c r="E258" s="7">
        <f t="shared" si="32"/>
        <v>1581750</v>
      </c>
      <c r="F258" s="6">
        <f t="shared" si="33"/>
        <v>0</v>
      </c>
      <c r="G258" s="7" t="str">
        <f t="shared" si="34"/>
        <v/>
      </c>
      <c r="I258" s="23">
        <f t="shared" si="35"/>
        <v>2019</v>
      </c>
      <c r="J258" s="23" t="str">
        <f t="shared" si="36"/>
        <v>01</v>
      </c>
      <c r="K258" s="23" t="str">
        <f t="shared" si="37"/>
        <v>2019-01-01</v>
      </c>
      <c r="M258" s="11" t="s">
        <v>95</v>
      </c>
      <c r="N258" s="11" t="s">
        <v>899</v>
      </c>
      <c r="O258" s="9">
        <v>43466</v>
      </c>
      <c r="P258" s="13">
        <v>1581750</v>
      </c>
    </row>
    <row r="259" spans="1:16" x14ac:dyDescent="0.25">
      <c r="A259" s="19" t="str">
        <f>VLOOKUP(LEFT(M259,3),Category!$G$3:$H$73,2,0)</f>
        <v>WASHING MACHINE</v>
      </c>
      <c r="B259" s="7" t="str">
        <f t="shared" si="29"/>
        <v>ES-T80MW-HK</v>
      </c>
      <c r="C259" s="7" t="str">
        <f t="shared" si="30"/>
        <v>Capacity 7kg, Silvermagic Protection, Easy Function</v>
      </c>
      <c r="D259" s="25" t="str">
        <f t="shared" si="31"/>
        <v>2019-01-01</v>
      </c>
      <c r="E259" s="7">
        <f t="shared" si="32"/>
        <v>1581750</v>
      </c>
      <c r="F259" s="6">
        <f t="shared" si="33"/>
        <v>0</v>
      </c>
      <c r="G259" s="7" t="str">
        <f t="shared" si="34"/>
        <v/>
      </c>
      <c r="I259" s="23">
        <f t="shared" si="35"/>
        <v>2019</v>
      </c>
      <c r="J259" s="23" t="str">
        <f t="shared" si="36"/>
        <v>01</v>
      </c>
      <c r="K259" s="23" t="str">
        <f t="shared" si="37"/>
        <v>2019-01-01</v>
      </c>
      <c r="M259" s="11" t="s">
        <v>96</v>
      </c>
      <c r="N259" s="11" t="s">
        <v>899</v>
      </c>
      <c r="O259" s="9">
        <v>43466</v>
      </c>
      <c r="P259" s="13">
        <v>1581750</v>
      </c>
    </row>
    <row r="260" spans="1:16" x14ac:dyDescent="0.25">
      <c r="A260" s="19" t="str">
        <f>VLOOKUP(LEFT(M260,3),Category!$G$3:$H$73,2,0)</f>
        <v>WASHING MACHINE</v>
      </c>
      <c r="B260" s="7" t="str">
        <f t="shared" si="29"/>
        <v>ES-T80MW-PK</v>
      </c>
      <c r="C260" s="7" t="str">
        <f t="shared" si="30"/>
        <v>Capacity 7kg, Silvermagic Protection, Easy Function</v>
      </c>
      <c r="D260" s="25" t="str">
        <f t="shared" si="31"/>
        <v>2019-01-01</v>
      </c>
      <c r="E260" s="7">
        <f t="shared" si="32"/>
        <v>1581750</v>
      </c>
      <c r="F260" s="6">
        <f t="shared" si="33"/>
        <v>0</v>
      </c>
      <c r="G260" s="7" t="str">
        <f t="shared" si="34"/>
        <v/>
      </c>
      <c r="I260" s="23">
        <f t="shared" si="35"/>
        <v>2019</v>
      </c>
      <c r="J260" s="23" t="str">
        <f t="shared" si="36"/>
        <v>01</v>
      </c>
      <c r="K260" s="23" t="str">
        <f t="shared" si="37"/>
        <v>2019-01-01</v>
      </c>
      <c r="M260" s="11" t="s">
        <v>97</v>
      </c>
      <c r="N260" s="11" t="s">
        <v>899</v>
      </c>
      <c r="O260" s="9">
        <v>43466</v>
      </c>
      <c r="P260" s="13">
        <v>1581750</v>
      </c>
    </row>
    <row r="261" spans="1:16" x14ac:dyDescent="0.25">
      <c r="A261" s="19" t="str">
        <f>VLOOKUP(LEFT(M261,3),Category!$G$3:$H$73,2,0)</f>
        <v>WASHING MACHINE</v>
      </c>
      <c r="B261" s="7" t="str">
        <f t="shared" si="29"/>
        <v>ES-T85CR-BK</v>
      </c>
      <c r="C261" s="7" t="str">
        <f t="shared" si="30"/>
        <v>Capacity 8kg, Super Aquamagic Filter, Soakmagic, Low Wattage System, Silvermagic protection</v>
      </c>
      <c r="D261" s="25" t="str">
        <f t="shared" si="31"/>
        <v>2008-11-01</v>
      </c>
      <c r="E261" s="7">
        <f t="shared" si="32"/>
        <v>2063490</v>
      </c>
      <c r="F261" s="6">
        <f t="shared" si="33"/>
        <v>0</v>
      </c>
      <c r="G261" s="7" t="str">
        <f t="shared" si="34"/>
        <v/>
      </c>
      <c r="I261" s="23">
        <f t="shared" si="35"/>
        <v>2008</v>
      </c>
      <c r="J261" s="23">
        <f t="shared" si="36"/>
        <v>11</v>
      </c>
      <c r="K261" s="23" t="str">
        <f t="shared" si="37"/>
        <v>2008-11-01</v>
      </c>
      <c r="M261" s="11" t="s">
        <v>467</v>
      </c>
      <c r="N261" s="11" t="s">
        <v>900</v>
      </c>
      <c r="O261" s="9">
        <v>39753</v>
      </c>
      <c r="P261" s="13">
        <v>2063490</v>
      </c>
    </row>
    <row r="262" spans="1:16" x14ac:dyDescent="0.25">
      <c r="A262" s="19" t="str">
        <f>VLOOKUP(LEFT(M262,3),Category!$G$3:$H$73,2,0)</f>
        <v>WASHING MACHINE</v>
      </c>
      <c r="B262" s="7" t="str">
        <f t="shared" si="29"/>
        <v>ES-T85CR-PK</v>
      </c>
      <c r="C262" s="7" t="str">
        <f t="shared" si="30"/>
        <v>Capacity 8kg, Super Aquamagic Filter, Soakmagic, Low Wattage System, Silvermagic protection</v>
      </c>
      <c r="D262" s="25" t="str">
        <f t="shared" si="31"/>
        <v>2008-11-01</v>
      </c>
      <c r="E262" s="7">
        <f t="shared" si="32"/>
        <v>2063490</v>
      </c>
      <c r="F262" s="6">
        <f t="shared" si="33"/>
        <v>0</v>
      </c>
      <c r="G262" s="7" t="str">
        <f t="shared" si="34"/>
        <v/>
      </c>
      <c r="I262" s="23">
        <f t="shared" si="35"/>
        <v>2008</v>
      </c>
      <c r="J262" s="23">
        <f t="shared" si="36"/>
        <v>11</v>
      </c>
      <c r="K262" s="23" t="str">
        <f t="shared" si="37"/>
        <v>2008-11-01</v>
      </c>
      <c r="M262" s="11" t="s">
        <v>468</v>
      </c>
      <c r="N262" s="11" t="s">
        <v>900</v>
      </c>
      <c r="O262" s="9">
        <v>39753</v>
      </c>
      <c r="P262" s="13">
        <v>2063490</v>
      </c>
    </row>
    <row r="263" spans="1:16" x14ac:dyDescent="0.25">
      <c r="A263" s="19" t="str">
        <f>VLOOKUP(LEFT(M263,3),Category!$G$3:$H$73,2,0)</f>
        <v>WASHING MACHINE</v>
      </c>
      <c r="B263" s="7" t="str">
        <f t="shared" ref="B263:B326" si="38">UPPER(M263)</f>
        <v>ES-T85CR-VK</v>
      </c>
      <c r="C263" s="7" t="str">
        <f t="shared" ref="C263:C326" si="39">IF(OR(N263="",N263=0),"",N263)</f>
        <v>Capacity 8kg, Super Aquamagic Filter, Soakmagic, Low Wattage System, Silvermagic protection</v>
      </c>
      <c r="D263" s="25" t="str">
        <f t="shared" ref="D263:D326" si="40">IFERROR(K263,"")</f>
        <v>2008-11-01</v>
      </c>
      <c r="E263" s="7">
        <f t="shared" ref="E263:E326" si="41">P263</f>
        <v>2063490</v>
      </c>
      <c r="F263" s="6">
        <f t="shared" ref="F263:F326" si="42">IF(O263="DISC",1,0)</f>
        <v>0</v>
      </c>
      <c r="G263" s="7" t="str">
        <f t="shared" ref="G263:G326" si="43">IF(R263="","",R263)</f>
        <v/>
      </c>
      <c r="I263" s="23">
        <f t="shared" ref="I263:I326" si="44">IF(YEAR(O263)=2022,2000+DAY(O263),YEAR(O263))</f>
        <v>2008</v>
      </c>
      <c r="J263" s="23">
        <f t="shared" ref="J263:J326" si="45">IF(MONTH(O263)&lt;10,"0"&amp;MONTH(O263),MONTH(O263))</f>
        <v>11</v>
      </c>
      <c r="K263" s="23" t="str">
        <f t="shared" ref="K263:K326" si="46">I263&amp;"-"&amp;J263&amp;"-01"</f>
        <v>2008-11-01</v>
      </c>
      <c r="M263" s="11" t="s">
        <v>469</v>
      </c>
      <c r="N263" s="11" t="s">
        <v>900</v>
      </c>
      <c r="O263" s="9">
        <v>39753</v>
      </c>
      <c r="P263" s="13">
        <v>2063490</v>
      </c>
    </row>
    <row r="264" spans="1:16" x14ac:dyDescent="0.25">
      <c r="A264" s="19" t="str">
        <f>VLOOKUP(LEFT(M264,3),Category!$G$3:$H$73,2,0)</f>
        <v>WASHING MACHINE</v>
      </c>
      <c r="B264" s="7" t="str">
        <f t="shared" si="38"/>
        <v>ES-T85NT-LC</v>
      </c>
      <c r="C264" s="7" t="str">
        <f t="shared" si="39"/>
        <v>Capacity 8kg, Silvermagic protection, Soakmagic</v>
      </c>
      <c r="D264" s="25" t="str">
        <f t="shared" si="40"/>
        <v>2001-07-01</v>
      </c>
      <c r="E264" s="7">
        <f t="shared" si="41"/>
        <v>2151180</v>
      </c>
      <c r="F264" s="6">
        <f t="shared" si="42"/>
        <v>0</v>
      </c>
      <c r="G264" s="7" t="str">
        <f t="shared" si="43"/>
        <v/>
      </c>
      <c r="I264" s="23">
        <f t="shared" si="44"/>
        <v>2001</v>
      </c>
      <c r="J264" s="23" t="str">
        <f t="shared" si="45"/>
        <v>07</v>
      </c>
      <c r="K264" s="23" t="str">
        <f t="shared" si="46"/>
        <v>2001-07-01</v>
      </c>
      <c r="M264" s="11" t="s">
        <v>668</v>
      </c>
      <c r="N264" s="11" t="s">
        <v>901</v>
      </c>
      <c r="O264" s="9">
        <v>44743</v>
      </c>
      <c r="P264" s="13">
        <v>2151180</v>
      </c>
    </row>
    <row r="265" spans="1:16" x14ac:dyDescent="0.25">
      <c r="A265" s="19" t="str">
        <f>VLOOKUP(LEFT(M265,3),Category!$G$3:$H$73,2,0)</f>
        <v>WASHING MACHINE</v>
      </c>
      <c r="B265" s="7" t="str">
        <f t="shared" si="38"/>
        <v>ES-T85NT-PK</v>
      </c>
      <c r="C265" s="7" t="str">
        <f t="shared" si="39"/>
        <v>Capacity 8kg, Silvermagic protection, Soakmagic</v>
      </c>
      <c r="D265" s="25" t="str">
        <f t="shared" si="40"/>
        <v>2001-07-01</v>
      </c>
      <c r="E265" s="7">
        <f t="shared" si="41"/>
        <v>2151180</v>
      </c>
      <c r="F265" s="6">
        <f t="shared" si="42"/>
        <v>0</v>
      </c>
      <c r="G265" s="7" t="str">
        <f t="shared" si="43"/>
        <v/>
      </c>
      <c r="I265" s="23">
        <f t="shared" si="44"/>
        <v>2001</v>
      </c>
      <c r="J265" s="23" t="str">
        <f t="shared" si="45"/>
        <v>07</v>
      </c>
      <c r="K265" s="23" t="str">
        <f t="shared" si="46"/>
        <v>2001-07-01</v>
      </c>
      <c r="M265" s="11" t="s">
        <v>669</v>
      </c>
      <c r="N265" s="11" t="s">
        <v>901</v>
      </c>
      <c r="O265" s="9">
        <v>44743</v>
      </c>
      <c r="P265" s="13">
        <v>2151180</v>
      </c>
    </row>
    <row r="266" spans="1:16" x14ac:dyDescent="0.25">
      <c r="A266" s="19" t="str">
        <f>VLOOKUP(LEFT(M266,3),Category!$G$3:$H$73,2,0)</f>
        <v>WASHING MACHINE</v>
      </c>
      <c r="B266" s="7" t="str">
        <f t="shared" si="38"/>
        <v>ES-T86CL-HK</v>
      </c>
      <c r="C266" s="7" t="str">
        <f t="shared" si="39"/>
        <v>Capacity 8kg, Super Aquamagic Filter, Soakmagic, Low Wattage System, Silvermagic protection</v>
      </c>
      <c r="D266" s="25" t="str">
        <f t="shared" si="40"/>
        <v>2009-08-01</v>
      </c>
      <c r="E266" s="7">
        <f t="shared" si="41"/>
        <v>2025750</v>
      </c>
      <c r="F266" s="6">
        <f t="shared" si="42"/>
        <v>0</v>
      </c>
      <c r="G266" s="7" t="str">
        <f t="shared" si="43"/>
        <v/>
      </c>
      <c r="I266" s="23">
        <f t="shared" si="44"/>
        <v>2009</v>
      </c>
      <c r="J266" s="23" t="str">
        <f t="shared" si="45"/>
        <v>08</v>
      </c>
      <c r="K266" s="23" t="str">
        <f t="shared" si="46"/>
        <v>2009-08-01</v>
      </c>
      <c r="M266" s="11" t="s">
        <v>29</v>
      </c>
      <c r="N266" s="11" t="s">
        <v>900</v>
      </c>
      <c r="O266" s="9">
        <v>40026</v>
      </c>
      <c r="P266" s="13">
        <v>2025750</v>
      </c>
    </row>
    <row r="267" spans="1:16" x14ac:dyDescent="0.25">
      <c r="A267" s="19" t="str">
        <f>VLOOKUP(LEFT(M267,3),Category!$G$3:$H$73,2,0)</f>
        <v>WASHING MACHINE</v>
      </c>
      <c r="B267" s="7" t="str">
        <f t="shared" si="38"/>
        <v>ES-T871DM-BL</v>
      </c>
      <c r="C267" s="7" t="str">
        <f t="shared" si="39"/>
        <v>Capacity 8,5kg, Dolphinwae Pulsator, Super Aquamagic Filter, Water Selector, Lint Filter</v>
      </c>
      <c r="D267" s="25" t="str">
        <f t="shared" si="40"/>
        <v>2015-12-01</v>
      </c>
      <c r="E267" s="7">
        <f t="shared" si="41"/>
        <v>2127870</v>
      </c>
      <c r="F267" s="6">
        <f t="shared" si="42"/>
        <v>0</v>
      </c>
      <c r="G267" s="7" t="str">
        <f t="shared" si="43"/>
        <v/>
      </c>
      <c r="I267" s="23">
        <f t="shared" si="44"/>
        <v>2015</v>
      </c>
      <c r="J267" s="23">
        <f t="shared" si="45"/>
        <v>12</v>
      </c>
      <c r="K267" s="23" t="str">
        <f t="shared" si="46"/>
        <v>2015-12-01</v>
      </c>
      <c r="M267" s="11" t="s">
        <v>489</v>
      </c>
      <c r="N267" s="11" t="s">
        <v>902</v>
      </c>
      <c r="O267" s="9">
        <v>42339</v>
      </c>
      <c r="P267" s="13">
        <v>2127870</v>
      </c>
    </row>
    <row r="268" spans="1:16" x14ac:dyDescent="0.25">
      <c r="A268" s="19" t="str">
        <f>VLOOKUP(LEFT(M268,3),Category!$G$3:$H$73,2,0)</f>
        <v>WASHING MACHINE</v>
      </c>
      <c r="B268" s="7" t="str">
        <f t="shared" si="38"/>
        <v>ES-T871DM-PK</v>
      </c>
      <c r="C268" s="7" t="str">
        <f t="shared" si="39"/>
        <v>Capacity 8,5kg, Dolphinwae Pulsator, Super Aquamagic Filter, Water Selector, Lint Filter</v>
      </c>
      <c r="D268" s="25" t="str">
        <f t="shared" si="40"/>
        <v>2015-12-01</v>
      </c>
      <c r="E268" s="7">
        <f t="shared" si="41"/>
        <v>2127870</v>
      </c>
      <c r="F268" s="6">
        <f t="shared" si="42"/>
        <v>0</v>
      </c>
      <c r="G268" s="7" t="str">
        <f t="shared" si="43"/>
        <v/>
      </c>
      <c r="I268" s="23">
        <f t="shared" si="44"/>
        <v>2015</v>
      </c>
      <c r="J268" s="23">
        <f t="shared" si="45"/>
        <v>12</v>
      </c>
      <c r="K268" s="23" t="str">
        <f t="shared" si="46"/>
        <v>2015-12-01</v>
      </c>
      <c r="M268" s="11" t="s">
        <v>490</v>
      </c>
      <c r="N268" s="11" t="s">
        <v>902</v>
      </c>
      <c r="O268" s="9">
        <v>42339</v>
      </c>
      <c r="P268" s="13">
        <v>2127870</v>
      </c>
    </row>
    <row r="269" spans="1:16" x14ac:dyDescent="0.25">
      <c r="A269" s="19" t="str">
        <f>VLOOKUP(LEFT(M269,3),Category!$G$3:$H$73,2,0)</f>
        <v>WASHING MACHINE</v>
      </c>
      <c r="B269" s="7" t="str">
        <f t="shared" si="38"/>
        <v>ES-T89SJ-GR</v>
      </c>
      <c r="C269" s="7" t="str">
        <f t="shared" si="39"/>
        <v>Capacity 8kg, Silvermagic Protection, Easy Function, Water Inlet</v>
      </c>
      <c r="D269" s="25" t="str">
        <f t="shared" si="40"/>
        <v>2019-01-01</v>
      </c>
      <c r="E269" s="7">
        <f t="shared" si="41"/>
        <v>1678320</v>
      </c>
      <c r="F269" s="6">
        <f t="shared" si="42"/>
        <v>0</v>
      </c>
      <c r="G269" s="7" t="str">
        <f t="shared" si="43"/>
        <v/>
      </c>
      <c r="I269" s="23">
        <f t="shared" si="44"/>
        <v>2019</v>
      </c>
      <c r="J269" s="23" t="str">
        <f t="shared" si="45"/>
        <v>01</v>
      </c>
      <c r="K269" s="23" t="str">
        <f t="shared" si="46"/>
        <v>2019-01-01</v>
      </c>
      <c r="M269" s="11" t="s">
        <v>98</v>
      </c>
      <c r="N269" s="11" t="s">
        <v>903</v>
      </c>
      <c r="O269" s="9">
        <v>43466</v>
      </c>
      <c r="P269" s="13">
        <v>1678320</v>
      </c>
    </row>
    <row r="270" spans="1:16" x14ac:dyDescent="0.25">
      <c r="A270" s="19" t="str">
        <f>VLOOKUP(LEFT(M270,3),Category!$G$3:$H$73,2,0)</f>
        <v>WASHING MACHINE</v>
      </c>
      <c r="B270" s="7" t="str">
        <f t="shared" si="38"/>
        <v>ES-T90MW-BK</v>
      </c>
      <c r="C270" s="7" t="str">
        <f t="shared" si="39"/>
        <v>Capacity 8kg, Silvermagic Protection, Easy Function, Water Inlet</v>
      </c>
      <c r="D270" s="25" t="str">
        <f t="shared" si="40"/>
        <v>2019-01-01</v>
      </c>
      <c r="E270" s="7">
        <f t="shared" si="41"/>
        <v>1889220</v>
      </c>
      <c r="F270" s="6">
        <f t="shared" si="42"/>
        <v>0</v>
      </c>
      <c r="G270" s="7" t="str">
        <f t="shared" si="43"/>
        <v/>
      </c>
      <c r="I270" s="23">
        <f t="shared" si="44"/>
        <v>2019</v>
      </c>
      <c r="J270" s="23" t="str">
        <f t="shared" si="45"/>
        <v>01</v>
      </c>
      <c r="K270" s="23" t="str">
        <f t="shared" si="46"/>
        <v>2019-01-01</v>
      </c>
      <c r="M270" s="11" t="s">
        <v>99</v>
      </c>
      <c r="N270" s="11" t="s">
        <v>903</v>
      </c>
      <c r="O270" s="9">
        <v>43466</v>
      </c>
      <c r="P270" s="13">
        <v>1889220</v>
      </c>
    </row>
    <row r="271" spans="1:16" x14ac:dyDescent="0.25">
      <c r="A271" s="19" t="str">
        <f>VLOOKUP(LEFT(M271,3),Category!$G$3:$H$73,2,0)</f>
        <v>WASHING MACHINE</v>
      </c>
      <c r="B271" s="7" t="str">
        <f t="shared" si="38"/>
        <v>ES-T90MW-HK</v>
      </c>
      <c r="C271" s="7" t="str">
        <f t="shared" si="39"/>
        <v>Capacity 8kg, Silvermagic Protection, Easy Function, Water Inlet</v>
      </c>
      <c r="D271" s="25" t="str">
        <f t="shared" si="40"/>
        <v>2019-01-01</v>
      </c>
      <c r="E271" s="7">
        <f t="shared" si="41"/>
        <v>1889220</v>
      </c>
      <c r="F271" s="6">
        <f t="shared" si="42"/>
        <v>0</v>
      </c>
      <c r="G271" s="7" t="str">
        <f t="shared" si="43"/>
        <v/>
      </c>
      <c r="I271" s="23">
        <f t="shared" si="44"/>
        <v>2019</v>
      </c>
      <c r="J271" s="23" t="str">
        <f t="shared" si="45"/>
        <v>01</v>
      </c>
      <c r="K271" s="23" t="str">
        <f t="shared" si="46"/>
        <v>2019-01-01</v>
      </c>
      <c r="M271" s="11" t="s">
        <v>100</v>
      </c>
      <c r="N271" s="11" t="s">
        <v>903</v>
      </c>
      <c r="O271" s="9">
        <v>43466</v>
      </c>
      <c r="P271" s="13">
        <v>1889220</v>
      </c>
    </row>
    <row r="272" spans="1:16" x14ac:dyDescent="0.25">
      <c r="A272" s="19" t="str">
        <f>VLOOKUP(LEFT(M272,3),Category!$G$3:$H$73,2,0)</f>
        <v>WASHING MACHINE</v>
      </c>
      <c r="B272" s="7" t="str">
        <f t="shared" si="38"/>
        <v>ES-T90MW-PK</v>
      </c>
      <c r="C272" s="7" t="str">
        <f t="shared" si="39"/>
        <v>Capacity 8kg, Silvermagic Protection, Easy Function, Water Inlet</v>
      </c>
      <c r="D272" s="25" t="str">
        <f t="shared" si="40"/>
        <v>2019-01-01</v>
      </c>
      <c r="E272" s="7">
        <f t="shared" si="41"/>
        <v>1889220</v>
      </c>
      <c r="F272" s="6">
        <f t="shared" si="42"/>
        <v>0</v>
      </c>
      <c r="G272" s="7" t="str">
        <f t="shared" si="43"/>
        <v/>
      </c>
      <c r="I272" s="23">
        <f t="shared" si="44"/>
        <v>2019</v>
      </c>
      <c r="J272" s="23" t="str">
        <f t="shared" si="45"/>
        <v>01</v>
      </c>
      <c r="K272" s="23" t="str">
        <f t="shared" si="46"/>
        <v>2019-01-01</v>
      </c>
      <c r="M272" s="11" t="s">
        <v>101</v>
      </c>
      <c r="N272" s="11" t="s">
        <v>903</v>
      </c>
      <c r="O272" s="9">
        <v>43466</v>
      </c>
      <c r="P272" s="13">
        <v>1889220</v>
      </c>
    </row>
    <row r="273" spans="1:16" x14ac:dyDescent="0.25">
      <c r="A273" s="19" t="str">
        <f>VLOOKUP(LEFT(M273,3),Category!$G$3:$H$73,2,0)</f>
        <v>WASHING MACHINE</v>
      </c>
      <c r="B273" s="7" t="str">
        <f t="shared" si="38"/>
        <v>ES-T95CR-BK</v>
      </c>
      <c r="C273" s="7" t="str">
        <f t="shared" si="39"/>
        <v>Capacity 9kg, Super Aquamagic Filter, Soakmagic, Low Wattage System, Silvermagic protection</v>
      </c>
      <c r="D273" s="25" t="str">
        <f t="shared" si="40"/>
        <v>2013-09-01</v>
      </c>
      <c r="E273" s="7">
        <f t="shared" si="41"/>
        <v>2141190</v>
      </c>
      <c r="F273" s="6">
        <f t="shared" si="42"/>
        <v>0</v>
      </c>
      <c r="G273" s="7" t="str">
        <f t="shared" si="43"/>
        <v/>
      </c>
      <c r="I273" s="23">
        <f t="shared" si="44"/>
        <v>2013</v>
      </c>
      <c r="J273" s="23" t="str">
        <f t="shared" si="45"/>
        <v>09</v>
      </c>
      <c r="K273" s="23" t="str">
        <f t="shared" si="46"/>
        <v>2013-09-01</v>
      </c>
      <c r="M273" s="11" t="s">
        <v>57</v>
      </c>
      <c r="N273" s="11" t="s">
        <v>904</v>
      </c>
      <c r="O273" s="9">
        <v>41532</v>
      </c>
      <c r="P273" s="13">
        <v>2141190</v>
      </c>
    </row>
    <row r="274" spans="1:16" x14ac:dyDescent="0.25">
      <c r="A274" s="19" t="str">
        <f>VLOOKUP(LEFT(M274,3),Category!$G$3:$H$73,2,0)</f>
        <v>WASHING MACHINE</v>
      </c>
      <c r="B274" s="7" t="str">
        <f t="shared" si="38"/>
        <v>ES-T95CR-PK</v>
      </c>
      <c r="C274" s="7" t="str">
        <f t="shared" si="39"/>
        <v>Capacity 9kg, Super Aquamagic Filter, Soakmagic, Low Wattage System, Silvermagic protection</v>
      </c>
      <c r="D274" s="25" t="str">
        <f t="shared" si="40"/>
        <v>2013-09-01</v>
      </c>
      <c r="E274" s="7">
        <f t="shared" si="41"/>
        <v>2141190</v>
      </c>
      <c r="F274" s="6">
        <f t="shared" si="42"/>
        <v>0</v>
      </c>
      <c r="G274" s="7" t="str">
        <f t="shared" si="43"/>
        <v/>
      </c>
      <c r="I274" s="23">
        <f t="shared" si="44"/>
        <v>2013</v>
      </c>
      <c r="J274" s="23" t="str">
        <f t="shared" si="45"/>
        <v>09</v>
      </c>
      <c r="K274" s="23" t="str">
        <f t="shared" si="46"/>
        <v>2013-09-01</v>
      </c>
      <c r="M274" s="11" t="s">
        <v>58</v>
      </c>
      <c r="N274" s="11" t="s">
        <v>904</v>
      </c>
      <c r="O274" s="9">
        <v>41532</v>
      </c>
      <c r="P274" s="13">
        <v>2141190</v>
      </c>
    </row>
    <row r="275" spans="1:16" x14ac:dyDescent="0.25">
      <c r="A275" s="19" t="str">
        <f>VLOOKUP(LEFT(M275,3),Category!$G$3:$H$73,2,0)</f>
        <v>WASHING MACHINE</v>
      </c>
      <c r="B275" s="7" t="str">
        <f t="shared" si="38"/>
        <v>ES-T95CR-VK</v>
      </c>
      <c r="C275" s="7" t="str">
        <f t="shared" si="39"/>
        <v>Capacity 9kg, Super Aquamagic Filter, Soakmagic, Low Wattage System, Silvermagic protection</v>
      </c>
      <c r="D275" s="25" t="str">
        <f t="shared" si="40"/>
        <v>2013-09-01</v>
      </c>
      <c r="E275" s="7">
        <f t="shared" si="41"/>
        <v>2141190</v>
      </c>
      <c r="F275" s="6">
        <f t="shared" si="42"/>
        <v>0</v>
      </c>
      <c r="G275" s="7" t="str">
        <f t="shared" si="43"/>
        <v/>
      </c>
      <c r="I275" s="23">
        <f t="shared" si="44"/>
        <v>2013</v>
      </c>
      <c r="J275" s="23" t="str">
        <f t="shared" si="45"/>
        <v>09</v>
      </c>
      <c r="K275" s="23" t="str">
        <f t="shared" si="46"/>
        <v>2013-09-01</v>
      </c>
      <c r="M275" s="11" t="s">
        <v>59</v>
      </c>
      <c r="N275" s="11" t="s">
        <v>904</v>
      </c>
      <c r="O275" s="9">
        <v>41532</v>
      </c>
      <c r="P275" s="13">
        <v>2141190</v>
      </c>
    </row>
    <row r="276" spans="1:16" x14ac:dyDescent="0.25">
      <c r="A276" s="19" t="str">
        <f>VLOOKUP(LEFT(M276,3),Category!$G$3:$H$73,2,0)</f>
        <v>WASHING MACHINE</v>
      </c>
      <c r="B276" s="7" t="str">
        <f t="shared" si="38"/>
        <v>ES-T95NT-LC</v>
      </c>
      <c r="C276" s="7" t="str">
        <f t="shared" si="39"/>
        <v>Capacity 9kg, Silvermagic protection, Soakmagic</v>
      </c>
      <c r="D276" s="25" t="str">
        <f t="shared" si="40"/>
        <v>2001-11-01</v>
      </c>
      <c r="E276" s="7">
        <f t="shared" si="41"/>
        <v>2263290</v>
      </c>
      <c r="F276" s="6">
        <f t="shared" si="42"/>
        <v>0</v>
      </c>
      <c r="G276" s="7" t="str">
        <f t="shared" si="43"/>
        <v/>
      </c>
      <c r="I276" s="23">
        <f t="shared" si="44"/>
        <v>2001</v>
      </c>
      <c r="J276" s="23">
        <f t="shared" si="45"/>
        <v>11</v>
      </c>
      <c r="K276" s="23" t="str">
        <f t="shared" si="46"/>
        <v>2001-11-01</v>
      </c>
      <c r="M276" s="11" t="s">
        <v>670</v>
      </c>
      <c r="N276" s="11" t="s">
        <v>905</v>
      </c>
      <c r="O276" s="9">
        <v>44866</v>
      </c>
      <c r="P276" s="13">
        <v>2263290</v>
      </c>
    </row>
    <row r="277" spans="1:16" x14ac:dyDescent="0.25">
      <c r="A277" s="19" t="str">
        <f>VLOOKUP(LEFT(M277,3),Category!$G$3:$H$73,2,0)</f>
        <v>WASHING MACHINE</v>
      </c>
      <c r="B277" s="7" t="str">
        <f t="shared" si="38"/>
        <v>ES-T95NT-PK</v>
      </c>
      <c r="C277" s="7" t="str">
        <f t="shared" si="39"/>
        <v>Capacity 9kg, Silvermagic protection, Soakmagic</v>
      </c>
      <c r="D277" s="25" t="str">
        <f t="shared" si="40"/>
        <v>2001-11-01</v>
      </c>
      <c r="E277" s="7">
        <f t="shared" si="41"/>
        <v>2263290</v>
      </c>
      <c r="F277" s="6">
        <f t="shared" si="42"/>
        <v>0</v>
      </c>
      <c r="G277" s="7" t="str">
        <f t="shared" si="43"/>
        <v/>
      </c>
      <c r="I277" s="23">
        <f t="shared" si="44"/>
        <v>2001</v>
      </c>
      <c r="J277" s="23">
        <f t="shared" si="45"/>
        <v>11</v>
      </c>
      <c r="K277" s="23" t="str">
        <f t="shared" si="46"/>
        <v>2001-11-01</v>
      </c>
      <c r="M277" s="11" t="s">
        <v>671</v>
      </c>
      <c r="N277" s="11" t="s">
        <v>905</v>
      </c>
      <c r="O277" s="9">
        <v>44866</v>
      </c>
      <c r="P277" s="13">
        <v>2263290</v>
      </c>
    </row>
    <row r="278" spans="1:16" x14ac:dyDescent="0.25">
      <c r="A278" s="19" t="str">
        <f>VLOOKUP(LEFT(M278,3),Category!$G$3:$H$73,2,0)</f>
        <v>WASHING MACHINE</v>
      </c>
      <c r="B278" s="7" t="str">
        <f t="shared" si="38"/>
        <v>ES-T96CL-HK</v>
      </c>
      <c r="C278" s="7" t="str">
        <f t="shared" si="39"/>
        <v>Capacity 9kg, Super Aquamagic Filter, Soakmagic, Low Wattage System, Silvermagic protection</v>
      </c>
      <c r="D278" s="25" t="str">
        <f t="shared" si="40"/>
        <v>2013-09-01</v>
      </c>
      <c r="E278" s="7">
        <f t="shared" si="41"/>
        <v>2116770</v>
      </c>
      <c r="F278" s="6">
        <f t="shared" si="42"/>
        <v>0</v>
      </c>
      <c r="G278" s="7" t="str">
        <f t="shared" si="43"/>
        <v/>
      </c>
      <c r="I278" s="23">
        <f t="shared" si="44"/>
        <v>2013</v>
      </c>
      <c r="J278" s="23" t="str">
        <f t="shared" si="45"/>
        <v>09</v>
      </c>
      <c r="K278" s="23" t="str">
        <f t="shared" si="46"/>
        <v>2013-09-01</v>
      </c>
      <c r="M278" s="11" t="s">
        <v>60</v>
      </c>
      <c r="N278" s="11" t="s">
        <v>904</v>
      </c>
      <c r="O278" s="9">
        <v>41532</v>
      </c>
      <c r="P278" s="13">
        <v>2116770</v>
      </c>
    </row>
    <row r="279" spans="1:16" x14ac:dyDescent="0.25">
      <c r="A279" s="19" t="str">
        <f>VLOOKUP(LEFT(M279,3),Category!$G$3:$H$73,2,0)</f>
        <v>WASHING MACHINE</v>
      </c>
      <c r="B279" s="7" t="str">
        <f t="shared" si="38"/>
        <v>ES-T971DM-BL</v>
      </c>
      <c r="C279" s="7" t="str">
        <f t="shared" si="39"/>
        <v>Capacity 9,5kg, Dolphinwave Pulsator, Super Aquamagic Filter, Water Selector, Lint Filter</v>
      </c>
      <c r="D279" s="25" t="str">
        <f t="shared" si="40"/>
        <v>2015-12-01</v>
      </c>
      <c r="E279" s="7">
        <f t="shared" si="41"/>
        <v>2185590</v>
      </c>
      <c r="F279" s="6">
        <f t="shared" si="42"/>
        <v>0</v>
      </c>
      <c r="G279" s="7" t="str">
        <f t="shared" si="43"/>
        <v/>
      </c>
      <c r="I279" s="23">
        <f t="shared" si="44"/>
        <v>2015</v>
      </c>
      <c r="J279" s="23">
        <f t="shared" si="45"/>
        <v>12</v>
      </c>
      <c r="K279" s="23" t="str">
        <f t="shared" si="46"/>
        <v>2015-12-01</v>
      </c>
      <c r="M279" s="11" t="s">
        <v>491</v>
      </c>
      <c r="N279" s="11" t="s">
        <v>906</v>
      </c>
      <c r="O279" s="9">
        <v>42339</v>
      </c>
      <c r="P279" s="13">
        <v>2185590</v>
      </c>
    </row>
    <row r="280" spans="1:16" x14ac:dyDescent="0.25">
      <c r="A280" s="19" t="str">
        <f>VLOOKUP(LEFT(M280,3),Category!$G$3:$H$73,2,0)</f>
        <v>WASHING MACHINE</v>
      </c>
      <c r="B280" s="7" t="str">
        <f t="shared" si="38"/>
        <v>ES-T971DM-PK</v>
      </c>
      <c r="C280" s="7" t="str">
        <f t="shared" si="39"/>
        <v>Capacity 9,5kg, Dolphinwave Pulsator, Super Aquamagic Filter, Water Selector, Lint Filter</v>
      </c>
      <c r="D280" s="25" t="str">
        <f t="shared" si="40"/>
        <v>2015-12-01</v>
      </c>
      <c r="E280" s="7">
        <f t="shared" si="41"/>
        <v>2185590</v>
      </c>
      <c r="F280" s="6">
        <f t="shared" si="42"/>
        <v>0</v>
      </c>
      <c r="G280" s="7" t="str">
        <f t="shared" si="43"/>
        <v/>
      </c>
      <c r="I280" s="23">
        <f t="shared" si="44"/>
        <v>2015</v>
      </c>
      <c r="J280" s="23">
        <f t="shared" si="45"/>
        <v>12</v>
      </c>
      <c r="K280" s="23" t="str">
        <f t="shared" si="46"/>
        <v>2015-12-01</v>
      </c>
      <c r="M280" s="11" t="s">
        <v>492</v>
      </c>
      <c r="N280" s="11" t="s">
        <v>906</v>
      </c>
      <c r="O280" s="9">
        <v>42339</v>
      </c>
      <c r="P280" s="13">
        <v>2185590</v>
      </c>
    </row>
    <row r="281" spans="1:16" x14ac:dyDescent="0.25">
      <c r="A281" s="19" t="str">
        <f>VLOOKUP(LEFT(M281,3),Category!$G$3:$H$73,2,0)</f>
        <v>WASHING MACHINE</v>
      </c>
      <c r="B281" s="7" t="str">
        <f t="shared" si="38"/>
        <v>ES-T97CM-BL</v>
      </c>
      <c r="C281" s="7" t="str">
        <f t="shared" si="39"/>
        <v>Double Pulsator, Double Antibacteria (pulsator &amp; Aqua filler), Aquamatic Filter, Low wattage</v>
      </c>
      <c r="D281" s="25" t="str">
        <f t="shared" si="40"/>
        <v>1900-01-01</v>
      </c>
      <c r="E281" s="7">
        <f t="shared" si="41"/>
        <v>2121210</v>
      </c>
      <c r="F281" s="6">
        <f t="shared" si="42"/>
        <v>0</v>
      </c>
      <c r="G281" s="7" t="str">
        <f t="shared" si="43"/>
        <v/>
      </c>
      <c r="I281" s="23">
        <f t="shared" si="44"/>
        <v>1900</v>
      </c>
      <c r="J281" s="23" t="str">
        <f t="shared" si="45"/>
        <v>01</v>
      </c>
      <c r="K281" s="23" t="str">
        <f t="shared" si="46"/>
        <v>1900-01-01</v>
      </c>
      <c r="M281" s="11" t="s">
        <v>537</v>
      </c>
      <c r="N281" s="11" t="s">
        <v>907</v>
      </c>
      <c r="P281" s="13">
        <v>2121210</v>
      </c>
    </row>
    <row r="282" spans="1:16" x14ac:dyDescent="0.25">
      <c r="A282" s="19" t="str">
        <f>VLOOKUP(LEFT(M282,3),Category!$G$3:$H$73,2,0)</f>
        <v>WASHING MACHINE</v>
      </c>
      <c r="B282" s="7" t="str">
        <f t="shared" si="38"/>
        <v>ES-T99SJ-BL</v>
      </c>
      <c r="C282" s="7" t="str">
        <f t="shared" si="39"/>
        <v>Capacity 9kg, Super Soakmagic, Wash Motor Input 255 watt, Spin Motor Input 105 watt</v>
      </c>
      <c r="D282" s="25" t="str">
        <f t="shared" si="40"/>
        <v>2018-03-01</v>
      </c>
      <c r="E282" s="7">
        <f t="shared" si="41"/>
        <v>2084580</v>
      </c>
      <c r="F282" s="6">
        <f t="shared" si="42"/>
        <v>0</v>
      </c>
      <c r="G282" s="7" t="str">
        <f t="shared" si="43"/>
        <v/>
      </c>
      <c r="I282" s="23">
        <f t="shared" si="44"/>
        <v>2018</v>
      </c>
      <c r="J282" s="23" t="str">
        <f t="shared" si="45"/>
        <v>03</v>
      </c>
      <c r="K282" s="23" t="str">
        <f t="shared" si="46"/>
        <v>2018-03-01</v>
      </c>
      <c r="M282" s="11" t="s">
        <v>160</v>
      </c>
      <c r="N282" s="11" t="s">
        <v>908</v>
      </c>
      <c r="O282" s="9">
        <v>43160</v>
      </c>
      <c r="P282" s="13">
        <v>2084580</v>
      </c>
    </row>
    <row r="283" spans="1:16" x14ac:dyDescent="0.25">
      <c r="A283" s="19" t="str">
        <f>VLOOKUP(LEFT(M283,3),Category!$G$3:$H$73,2,0)</f>
        <v>WASHING MACHINE</v>
      </c>
      <c r="B283" s="7" t="str">
        <f t="shared" si="38"/>
        <v>ES-T99SJ-PK</v>
      </c>
      <c r="C283" s="7" t="str">
        <f t="shared" si="39"/>
        <v>Capacity 9kg, Super Soakmagic, Wash Motor Input 255 watt, Spin Motor Input 105 watt</v>
      </c>
      <c r="D283" s="25" t="str">
        <f t="shared" si="40"/>
        <v>2018-03-01</v>
      </c>
      <c r="E283" s="7">
        <f t="shared" si="41"/>
        <v>2084580</v>
      </c>
      <c r="F283" s="6">
        <f t="shared" si="42"/>
        <v>0</v>
      </c>
      <c r="G283" s="7" t="str">
        <f t="shared" si="43"/>
        <v/>
      </c>
      <c r="I283" s="23">
        <f t="shared" si="44"/>
        <v>2018</v>
      </c>
      <c r="J283" s="23" t="str">
        <f t="shared" si="45"/>
        <v>03</v>
      </c>
      <c r="K283" s="23" t="str">
        <f t="shared" si="46"/>
        <v>2018-03-01</v>
      </c>
      <c r="M283" s="11" t="s">
        <v>161</v>
      </c>
      <c r="N283" s="11" t="s">
        <v>908</v>
      </c>
      <c r="O283" s="9">
        <v>43160</v>
      </c>
      <c r="P283" s="13">
        <v>2084580</v>
      </c>
    </row>
    <row r="284" spans="1:16" x14ac:dyDescent="0.25">
      <c r="A284" s="19" t="str">
        <f>VLOOKUP(LEFT(M284,3),Category!$G$3:$H$73,2,0)</f>
        <v>REFRIGERATOR</v>
      </c>
      <c r="B284" s="7" t="str">
        <f t="shared" si="38"/>
        <v>FJ-G295N-SS</v>
      </c>
      <c r="C284" s="7" t="str">
        <f t="shared" si="39"/>
        <v>MEGA Freezer (239 L), Handle Grip, 10 rack &amp; 4 door pocket, Low Voltage System, HALAL certified</v>
      </c>
      <c r="D284" s="25" t="str">
        <f t="shared" si="40"/>
        <v>2019-05-01</v>
      </c>
      <c r="E284" s="7">
        <f t="shared" si="41"/>
        <v>4332330</v>
      </c>
      <c r="F284" s="6">
        <f t="shared" si="42"/>
        <v>0</v>
      </c>
      <c r="G284" s="7" t="str">
        <f t="shared" si="43"/>
        <v/>
      </c>
      <c r="I284" s="23">
        <f t="shared" si="44"/>
        <v>2019</v>
      </c>
      <c r="J284" s="23" t="str">
        <f t="shared" si="45"/>
        <v>05</v>
      </c>
      <c r="K284" s="23" t="str">
        <f t="shared" si="46"/>
        <v>2019-05-01</v>
      </c>
      <c r="M284" s="11" t="s">
        <v>272</v>
      </c>
      <c r="N284" s="11" t="s">
        <v>909</v>
      </c>
      <c r="O284" s="9">
        <v>43586</v>
      </c>
      <c r="P284" s="13">
        <v>4332330</v>
      </c>
    </row>
    <row r="285" spans="1:16" x14ac:dyDescent="0.25">
      <c r="A285" s="19" t="str">
        <f>VLOOKUP(LEFT(M285,3),Category!$G$3:$H$73,2,0)</f>
        <v>REFRIGERATOR</v>
      </c>
      <c r="B285" s="7" t="str">
        <f t="shared" si="38"/>
        <v>FJ-M189K-SS</v>
      </c>
      <c r="C285" s="7" t="str">
        <f t="shared" si="39"/>
        <v>MEGA Freezer (158 L) with key, 6 rack &amp; 3 door pocket, Low Voltage System, HALAL certified</v>
      </c>
      <c r="D285" s="25" t="str">
        <f t="shared" si="40"/>
        <v>2015-08-01</v>
      </c>
      <c r="E285" s="7">
        <f t="shared" si="41"/>
        <v>3431010</v>
      </c>
      <c r="F285" s="6">
        <f t="shared" si="42"/>
        <v>0</v>
      </c>
      <c r="G285" s="7" t="str">
        <f t="shared" si="43"/>
        <v/>
      </c>
      <c r="I285" s="23">
        <f t="shared" si="44"/>
        <v>2015</v>
      </c>
      <c r="J285" s="23" t="str">
        <f t="shared" si="45"/>
        <v>08</v>
      </c>
      <c r="K285" s="23" t="str">
        <f t="shared" si="46"/>
        <v>2015-08-01</v>
      </c>
      <c r="M285" s="11" t="s">
        <v>374</v>
      </c>
      <c r="N285" s="11" t="s">
        <v>910</v>
      </c>
      <c r="O285" s="9">
        <v>42217</v>
      </c>
      <c r="P285" s="13">
        <v>3431010</v>
      </c>
    </row>
    <row r="286" spans="1:16" x14ac:dyDescent="0.25">
      <c r="A286" s="19" t="str">
        <f>VLOOKUP(LEFT(M286,3),Category!$G$3:$H$73,2,0)</f>
        <v>REFRIGERATOR</v>
      </c>
      <c r="B286" s="7" t="str">
        <f t="shared" si="38"/>
        <v>FJ-M189N-SS</v>
      </c>
      <c r="C286" s="7" t="str">
        <f t="shared" si="39"/>
        <v>MEGA Freezer (158 L), 6 rack &amp; 3 door pocket, Low Voltage System, HALAL certified</v>
      </c>
      <c r="D286" s="25" t="str">
        <f t="shared" si="40"/>
        <v>2015-01-01</v>
      </c>
      <c r="E286" s="7">
        <f t="shared" si="41"/>
        <v>3398820</v>
      </c>
      <c r="F286" s="6">
        <f t="shared" si="42"/>
        <v>0</v>
      </c>
      <c r="G286" s="7" t="str">
        <f t="shared" si="43"/>
        <v/>
      </c>
      <c r="I286" s="23">
        <f t="shared" si="44"/>
        <v>2015</v>
      </c>
      <c r="J286" s="23" t="str">
        <f t="shared" si="45"/>
        <v>01</v>
      </c>
      <c r="K286" s="23" t="str">
        <f t="shared" si="46"/>
        <v>2015-01-01</v>
      </c>
      <c r="M286" s="11" t="s">
        <v>69</v>
      </c>
      <c r="N286" s="11" t="s">
        <v>911</v>
      </c>
      <c r="O286" s="9">
        <v>42019</v>
      </c>
      <c r="P286" s="13">
        <v>3398820</v>
      </c>
    </row>
    <row r="287" spans="1:16" x14ac:dyDescent="0.25">
      <c r="A287" s="19" t="str">
        <f>VLOOKUP(LEFT(M287,3),Category!$G$3:$H$73,2,0)</f>
        <v>REFRIGERATOR</v>
      </c>
      <c r="B287" s="7" t="str">
        <f t="shared" si="38"/>
        <v>FJ-M195K-SS</v>
      </c>
      <c r="C287" s="7" t="str">
        <f t="shared" si="39"/>
        <v>MEGA Freezer (185 L) with key, 8 rack &amp; 3 door pocket, Low Voltage System, HALAL certified</v>
      </c>
      <c r="D287" s="25" t="str">
        <f t="shared" si="40"/>
        <v>2015-09-01</v>
      </c>
      <c r="E287" s="7">
        <f t="shared" si="41"/>
        <v>3894990</v>
      </c>
      <c r="F287" s="6">
        <f t="shared" si="42"/>
        <v>0</v>
      </c>
      <c r="G287" s="7" t="str">
        <f t="shared" si="43"/>
        <v/>
      </c>
      <c r="I287" s="23">
        <f t="shared" si="44"/>
        <v>2015</v>
      </c>
      <c r="J287" s="23" t="str">
        <f t="shared" si="45"/>
        <v>09</v>
      </c>
      <c r="K287" s="23" t="str">
        <f t="shared" si="46"/>
        <v>2015-09-01</v>
      </c>
      <c r="M287" s="11" t="s">
        <v>418</v>
      </c>
      <c r="N287" s="11" t="s">
        <v>912</v>
      </c>
      <c r="O287" s="9">
        <v>42248</v>
      </c>
      <c r="P287" s="13">
        <v>3894990</v>
      </c>
    </row>
    <row r="288" spans="1:16" x14ac:dyDescent="0.25">
      <c r="A288" s="19" t="str">
        <f>VLOOKUP(LEFT(M288,3),Category!$G$3:$H$73,2,0)</f>
        <v>REFRIGERATOR</v>
      </c>
      <c r="B288" s="7" t="str">
        <f t="shared" si="38"/>
        <v>FJ-M195N-SS</v>
      </c>
      <c r="C288" s="7" t="str">
        <f t="shared" si="39"/>
        <v>MEGA Freezer (185 L), 8 rack &amp; 3 door pocket, Low Voltage System, HALAL certified</v>
      </c>
      <c r="D288" s="25" t="str">
        <f t="shared" si="40"/>
        <v>2015-01-01</v>
      </c>
      <c r="E288" s="7">
        <f t="shared" si="41"/>
        <v>3858360</v>
      </c>
      <c r="F288" s="6">
        <f t="shared" si="42"/>
        <v>0</v>
      </c>
      <c r="G288" s="7" t="str">
        <f t="shared" si="43"/>
        <v/>
      </c>
      <c r="I288" s="23">
        <f t="shared" si="44"/>
        <v>2015</v>
      </c>
      <c r="J288" s="23" t="str">
        <f t="shared" si="45"/>
        <v>01</v>
      </c>
      <c r="K288" s="23" t="str">
        <f t="shared" si="46"/>
        <v>2015-01-01</v>
      </c>
      <c r="M288" s="11" t="s">
        <v>70</v>
      </c>
      <c r="N288" s="11" t="s">
        <v>913</v>
      </c>
      <c r="O288" s="9">
        <v>42019</v>
      </c>
      <c r="P288" s="13">
        <v>3858360</v>
      </c>
    </row>
    <row r="289" spans="1:16" x14ac:dyDescent="0.25">
      <c r="A289" s="19" t="str">
        <f>VLOOKUP(LEFT(M289,3),Category!$G$3:$H$73,2,0)</f>
        <v>AIR PURIFIER</v>
      </c>
      <c r="B289" s="7" t="str">
        <f t="shared" si="38"/>
        <v>FP-F30Y-A</v>
      </c>
      <c r="C289" s="7" t="str">
        <f t="shared" si="39"/>
        <v>Coverage Area 21 m², Pre-Filter + HEPA Filter (Lifetime up to 2 years), Dust Sensor</v>
      </c>
      <c r="D289" s="25" t="str">
        <f t="shared" si="40"/>
        <v>2015-06-01</v>
      </c>
      <c r="E289" s="7">
        <f t="shared" si="41"/>
        <v>1405260</v>
      </c>
      <c r="F289" s="6">
        <f t="shared" si="42"/>
        <v>0</v>
      </c>
      <c r="G289" s="7" t="str">
        <f t="shared" si="43"/>
        <v/>
      </c>
      <c r="I289" s="23">
        <f t="shared" si="44"/>
        <v>2015</v>
      </c>
      <c r="J289" s="23" t="str">
        <f t="shared" si="45"/>
        <v>06</v>
      </c>
      <c r="K289" s="23" t="str">
        <f t="shared" si="46"/>
        <v>2015-06-01</v>
      </c>
      <c r="M289" s="11" t="s">
        <v>308</v>
      </c>
      <c r="N289" s="11" t="s">
        <v>914</v>
      </c>
      <c r="O289" s="9">
        <v>42156</v>
      </c>
      <c r="P289" s="13">
        <v>1405260</v>
      </c>
    </row>
    <row r="290" spans="1:16" x14ac:dyDescent="0.25">
      <c r="A290" s="19" t="str">
        <f>VLOOKUP(LEFT(M290,3),Category!$G$3:$H$73,2,0)</f>
        <v>AIR PURIFIER</v>
      </c>
      <c r="B290" s="7" t="str">
        <f t="shared" si="38"/>
        <v>FP-F30Y-C</v>
      </c>
      <c r="C290" s="7" t="str">
        <f t="shared" si="39"/>
        <v>Coverage Area 21 m², Pre-Filter + HEPA Filter (Lifetime up to 2 years), Dust Sensor</v>
      </c>
      <c r="D290" s="25" t="str">
        <f t="shared" si="40"/>
        <v>2015-06-01</v>
      </c>
      <c r="E290" s="7">
        <f t="shared" si="41"/>
        <v>1405260</v>
      </c>
      <c r="F290" s="6">
        <f t="shared" si="42"/>
        <v>0</v>
      </c>
      <c r="G290" s="7" t="str">
        <f t="shared" si="43"/>
        <v/>
      </c>
      <c r="I290" s="23">
        <f t="shared" si="44"/>
        <v>2015</v>
      </c>
      <c r="J290" s="23" t="str">
        <f t="shared" si="45"/>
        <v>06</v>
      </c>
      <c r="K290" s="23" t="str">
        <f t="shared" si="46"/>
        <v>2015-06-01</v>
      </c>
      <c r="M290" s="11" t="s">
        <v>309</v>
      </c>
      <c r="N290" s="11" t="s">
        <v>914</v>
      </c>
      <c r="O290" s="9">
        <v>42156</v>
      </c>
      <c r="P290" s="13">
        <v>1405260</v>
      </c>
    </row>
    <row r="291" spans="1:16" x14ac:dyDescent="0.25">
      <c r="A291" s="19" t="str">
        <f>VLOOKUP(LEFT(M291,3),Category!$G$3:$H$73,2,0)</f>
        <v>AIR PURIFIER</v>
      </c>
      <c r="B291" s="7" t="str">
        <f t="shared" si="38"/>
        <v>FP-F30Y-H</v>
      </c>
      <c r="C291" s="7" t="str">
        <f t="shared" si="39"/>
        <v>Coverage Area 21 m², Pre-Filter + HEPA Filter (Lifetime up to 2 years), Dust Sensor</v>
      </c>
      <c r="D291" s="25" t="str">
        <f t="shared" si="40"/>
        <v>2015-06-01</v>
      </c>
      <c r="E291" s="7">
        <f t="shared" si="41"/>
        <v>1405260</v>
      </c>
      <c r="F291" s="6">
        <f t="shared" si="42"/>
        <v>0</v>
      </c>
      <c r="G291" s="7" t="str">
        <f t="shared" si="43"/>
        <v/>
      </c>
      <c r="I291" s="23">
        <f t="shared" si="44"/>
        <v>2015</v>
      </c>
      <c r="J291" s="23" t="str">
        <f t="shared" si="45"/>
        <v>06</v>
      </c>
      <c r="K291" s="23" t="str">
        <f t="shared" si="46"/>
        <v>2015-06-01</v>
      </c>
      <c r="M291" s="11" t="s">
        <v>310</v>
      </c>
      <c r="N291" s="11" t="s">
        <v>914</v>
      </c>
      <c r="O291" s="9">
        <v>42156</v>
      </c>
      <c r="P291" s="13">
        <v>1405260</v>
      </c>
    </row>
    <row r="292" spans="1:16" x14ac:dyDescent="0.25">
      <c r="A292" s="19" t="str">
        <f>VLOOKUP(LEFT(M292,3),Category!$G$3:$H$73,2,0)</f>
        <v>AIR PURIFIER</v>
      </c>
      <c r="B292" s="7" t="str">
        <f t="shared" si="38"/>
        <v>FP-F40Y-T</v>
      </c>
      <c r="C292" s="7" t="str">
        <f t="shared" si="39"/>
        <v>Coverage Area 30 m², Pre-Filter + HEPA + Deodorizing Filter (Lifetime up to 2 years), Dust Sensor</v>
      </c>
      <c r="D292" s="25" t="str">
        <f t="shared" si="40"/>
        <v>2015-06-01</v>
      </c>
      <c r="E292" s="7">
        <f t="shared" si="41"/>
        <v>2143410</v>
      </c>
      <c r="F292" s="6">
        <f t="shared" si="42"/>
        <v>0</v>
      </c>
      <c r="G292" s="7" t="str">
        <f t="shared" si="43"/>
        <v/>
      </c>
      <c r="I292" s="23">
        <f t="shared" si="44"/>
        <v>2015</v>
      </c>
      <c r="J292" s="23" t="str">
        <f t="shared" si="45"/>
        <v>06</v>
      </c>
      <c r="K292" s="23" t="str">
        <f t="shared" si="46"/>
        <v>2015-06-01</v>
      </c>
      <c r="M292" s="11" t="s">
        <v>311</v>
      </c>
      <c r="N292" s="11" t="s">
        <v>915</v>
      </c>
      <c r="O292" s="9">
        <v>42156</v>
      </c>
      <c r="P292" s="13">
        <v>2143410</v>
      </c>
    </row>
    <row r="293" spans="1:16" x14ac:dyDescent="0.25">
      <c r="A293" s="19" t="str">
        <f>VLOOKUP(LEFT(M293,3),Category!$G$3:$H$73,2,0)</f>
        <v>AIR PURIFIER</v>
      </c>
      <c r="B293" s="7" t="str">
        <f t="shared" si="38"/>
        <v>FP-F40Y-W</v>
      </c>
      <c r="C293" s="7" t="str">
        <f t="shared" si="39"/>
        <v>Coverage Area 30 m², Pre-Filter + HEPA + Deodorizing Filter (Lifetime up to 2 years), Dust Sensor</v>
      </c>
      <c r="D293" s="25" t="str">
        <f t="shared" si="40"/>
        <v>2015-06-01</v>
      </c>
      <c r="E293" s="7">
        <f t="shared" si="41"/>
        <v>2143410</v>
      </c>
      <c r="F293" s="6">
        <f t="shared" si="42"/>
        <v>0</v>
      </c>
      <c r="G293" s="7" t="str">
        <f t="shared" si="43"/>
        <v/>
      </c>
      <c r="I293" s="23">
        <f t="shared" si="44"/>
        <v>2015</v>
      </c>
      <c r="J293" s="23" t="str">
        <f t="shared" si="45"/>
        <v>06</v>
      </c>
      <c r="K293" s="23" t="str">
        <f t="shared" si="46"/>
        <v>2015-06-01</v>
      </c>
      <c r="M293" s="11" t="s">
        <v>312</v>
      </c>
      <c r="N293" s="11" t="s">
        <v>915</v>
      </c>
      <c r="O293" s="9">
        <v>42156</v>
      </c>
      <c r="P293" s="13">
        <v>2143410</v>
      </c>
    </row>
    <row r="294" spans="1:16" x14ac:dyDescent="0.25">
      <c r="A294" s="19" t="str">
        <f>VLOOKUP(LEFT(M294,3),Category!$G$3:$H$73,2,0)</f>
        <v>AIR PURIFIER</v>
      </c>
      <c r="B294" s="7" t="str">
        <f t="shared" si="38"/>
        <v>FP-FM40Y-B</v>
      </c>
      <c r="C294" s="7" t="str">
        <f t="shared" si="39"/>
        <v>Coverage Area 30 m², Pre-Filter + HEPA + Deodorizing Filter (Lifetime up to 2 years), Dust Sensor, glue sheet, UV light, Mosquito trap</v>
      </c>
      <c r="D294" s="25" t="str">
        <f t="shared" si="40"/>
        <v>2015-10-01</v>
      </c>
      <c r="E294" s="7">
        <f t="shared" si="41"/>
        <v>1358640</v>
      </c>
      <c r="F294" s="6">
        <f t="shared" si="42"/>
        <v>0</v>
      </c>
      <c r="G294" s="7" t="str">
        <f t="shared" si="43"/>
        <v/>
      </c>
      <c r="I294" s="23">
        <f t="shared" si="44"/>
        <v>2015</v>
      </c>
      <c r="J294" s="23">
        <f t="shared" si="45"/>
        <v>10</v>
      </c>
      <c r="K294" s="23" t="str">
        <f t="shared" si="46"/>
        <v>2015-10-01</v>
      </c>
      <c r="M294" s="11" t="s">
        <v>74</v>
      </c>
      <c r="N294" s="11" t="s">
        <v>916</v>
      </c>
      <c r="O294" s="9">
        <v>42278</v>
      </c>
      <c r="P294" s="13">
        <v>1358640</v>
      </c>
    </row>
    <row r="295" spans="1:16" x14ac:dyDescent="0.25">
      <c r="A295" s="19" t="str">
        <f>VLOOKUP(LEFT(M295,3),Category!$G$3:$H$73,2,0)</f>
        <v>AIR PURIFIER</v>
      </c>
      <c r="B295" s="7" t="str">
        <f t="shared" si="38"/>
        <v>FP-J30Y-A</v>
      </c>
      <c r="C295" s="7" t="str">
        <f t="shared" si="39"/>
        <v>Coverage Area 23 m², Pre-Filter + HEPA Filter (Lifetime up to 2 years), Dust Sensor,  Filter Maintenance Indicator</v>
      </c>
      <c r="D295" s="25" t="str">
        <f t="shared" si="40"/>
        <v>2018-01-01</v>
      </c>
      <c r="E295" s="7">
        <f t="shared" si="41"/>
        <v>1506270</v>
      </c>
      <c r="F295" s="6">
        <f t="shared" si="42"/>
        <v>0</v>
      </c>
      <c r="G295" s="7" t="str">
        <f t="shared" si="43"/>
        <v/>
      </c>
      <c r="I295" s="23">
        <f t="shared" si="44"/>
        <v>2018</v>
      </c>
      <c r="J295" s="23" t="str">
        <f t="shared" si="45"/>
        <v>01</v>
      </c>
      <c r="K295" s="23" t="str">
        <f t="shared" si="46"/>
        <v>2018-01-01</v>
      </c>
      <c r="M295" s="11" t="s">
        <v>87</v>
      </c>
      <c r="N295" s="11" t="s">
        <v>917</v>
      </c>
      <c r="O295" s="9">
        <v>43101</v>
      </c>
      <c r="P295" s="13">
        <v>1506270</v>
      </c>
    </row>
    <row r="296" spans="1:16" x14ac:dyDescent="0.25">
      <c r="A296" s="19" t="str">
        <f>VLOOKUP(LEFT(M296,3),Category!$G$3:$H$73,2,0)</f>
        <v>AIR PURIFIER</v>
      </c>
      <c r="B296" s="7" t="str">
        <f t="shared" si="38"/>
        <v>FP-J30Y-B</v>
      </c>
      <c r="C296" s="7" t="str">
        <f t="shared" si="39"/>
        <v>Coverage Area 23 m², Pre-Filter + HEPA Filter (Lifetime up to 2 years), Dust Sensor,  Filter Maintenance Indicator</v>
      </c>
      <c r="D296" s="25" t="str">
        <f t="shared" si="40"/>
        <v>2018-01-01</v>
      </c>
      <c r="E296" s="7">
        <f t="shared" si="41"/>
        <v>1506270</v>
      </c>
      <c r="F296" s="6">
        <f t="shared" si="42"/>
        <v>0</v>
      </c>
      <c r="G296" s="7" t="str">
        <f t="shared" si="43"/>
        <v/>
      </c>
      <c r="I296" s="23">
        <f t="shared" si="44"/>
        <v>2018</v>
      </c>
      <c r="J296" s="23" t="str">
        <f t="shared" si="45"/>
        <v>01</v>
      </c>
      <c r="K296" s="23" t="str">
        <f t="shared" si="46"/>
        <v>2018-01-01</v>
      </c>
      <c r="M296" s="11" t="s">
        <v>88</v>
      </c>
      <c r="N296" s="11" t="s">
        <v>917</v>
      </c>
      <c r="O296" s="9">
        <v>43101</v>
      </c>
      <c r="P296" s="13">
        <v>1506270</v>
      </c>
    </row>
    <row r="297" spans="1:16" x14ac:dyDescent="0.25">
      <c r="A297" s="19" t="str">
        <f>VLOOKUP(LEFT(M297,3),Category!$G$3:$H$73,2,0)</f>
        <v>AIR PURIFIER</v>
      </c>
      <c r="B297" s="7" t="str">
        <f t="shared" si="38"/>
        <v>FP-J30Y-P</v>
      </c>
      <c r="C297" s="7" t="str">
        <f t="shared" si="39"/>
        <v>Coverage Area 23 m², Pre-Filter + HEPA Filter (Lifetime up to 2 years), Dust Sensor,  Filter Maintenance Indicator</v>
      </c>
      <c r="D297" s="25" t="str">
        <f t="shared" si="40"/>
        <v>2018-01-01</v>
      </c>
      <c r="E297" s="7">
        <f t="shared" si="41"/>
        <v>1506270</v>
      </c>
      <c r="F297" s="6">
        <f t="shared" si="42"/>
        <v>0</v>
      </c>
      <c r="G297" s="7" t="str">
        <f t="shared" si="43"/>
        <v/>
      </c>
      <c r="I297" s="23">
        <f t="shared" si="44"/>
        <v>2018</v>
      </c>
      <c r="J297" s="23" t="str">
        <f t="shared" si="45"/>
        <v>01</v>
      </c>
      <c r="K297" s="23" t="str">
        <f t="shared" si="46"/>
        <v>2018-01-01</v>
      </c>
      <c r="M297" s="11" t="s">
        <v>89</v>
      </c>
      <c r="N297" s="11" t="s">
        <v>917</v>
      </c>
      <c r="O297" s="9">
        <v>43101</v>
      </c>
      <c r="P297" s="13">
        <v>1506270</v>
      </c>
    </row>
    <row r="298" spans="1:16" x14ac:dyDescent="0.25">
      <c r="A298" s="19" t="str">
        <f>VLOOKUP(LEFT(M298,3),Category!$G$3:$H$73,2,0)</f>
        <v>AIR PURIFIER</v>
      </c>
      <c r="B298" s="7" t="str">
        <f t="shared" si="38"/>
        <v>FP-J40Y-W</v>
      </c>
      <c r="C298" s="7" t="str">
        <f t="shared" si="39"/>
        <v>Coverage Area 30 m², PCI HD 7000, ANTI Dust Mode, HEPA + Deodorizing Filter (Lifetime up to 2 years), (Dust, Odor, &amp; Light Sensor).</v>
      </c>
      <c r="D298" s="25" t="str">
        <f t="shared" si="40"/>
        <v>2018-11-01</v>
      </c>
      <c r="E298" s="7">
        <f t="shared" si="41"/>
        <v>2181150</v>
      </c>
      <c r="F298" s="6">
        <f t="shared" si="42"/>
        <v>0</v>
      </c>
      <c r="G298" s="7" t="str">
        <f t="shared" si="43"/>
        <v/>
      </c>
      <c r="I298" s="23">
        <f t="shared" si="44"/>
        <v>2018</v>
      </c>
      <c r="J298" s="23">
        <f t="shared" si="45"/>
        <v>11</v>
      </c>
      <c r="K298" s="23" t="str">
        <f t="shared" si="46"/>
        <v>2018-11-01</v>
      </c>
      <c r="M298" s="11" t="s">
        <v>481</v>
      </c>
      <c r="N298" s="11" t="s">
        <v>918</v>
      </c>
      <c r="O298" s="9">
        <v>43405</v>
      </c>
      <c r="P298" s="13">
        <v>2181150</v>
      </c>
    </row>
    <row r="299" spans="1:16" x14ac:dyDescent="0.25">
      <c r="A299" s="19" t="str">
        <f>VLOOKUP(LEFT(M299,3),Category!$G$3:$H$73,2,0)</f>
        <v>AIR PURIFIER</v>
      </c>
      <c r="B299" s="7" t="str">
        <f t="shared" si="38"/>
        <v>FP-J50Y-H</v>
      </c>
      <c r="C299" s="7" t="str">
        <f t="shared" si="39"/>
        <v>Coverage Area 40 m², PCI HD 7000, Sleep Mode Function,2 Years lifetime filter,Wifi with AIOT,Anti dust mode,5 Detections</v>
      </c>
      <c r="D299" s="25" t="str">
        <f t="shared" si="40"/>
        <v>2021-04-01</v>
      </c>
      <c r="E299" s="7">
        <f t="shared" si="41"/>
        <v>3020310</v>
      </c>
      <c r="F299" s="6">
        <f t="shared" si="42"/>
        <v>0</v>
      </c>
      <c r="G299" s="7" t="str">
        <f t="shared" si="43"/>
        <v/>
      </c>
      <c r="I299" s="23">
        <f t="shared" si="44"/>
        <v>2021</v>
      </c>
      <c r="J299" s="23" t="str">
        <f t="shared" si="45"/>
        <v>04</v>
      </c>
      <c r="K299" s="23" t="str">
        <f t="shared" si="46"/>
        <v>2021-04-01</v>
      </c>
      <c r="M299" s="11" t="s">
        <v>242</v>
      </c>
      <c r="N299" s="11" t="s">
        <v>919</v>
      </c>
      <c r="O299" s="9">
        <v>44287</v>
      </c>
      <c r="P299" s="13">
        <v>3020310</v>
      </c>
    </row>
    <row r="300" spans="1:16" x14ac:dyDescent="0.25">
      <c r="A300" s="19" t="str">
        <f>VLOOKUP(LEFT(M300,3),Category!$G$3:$H$73,2,0)</f>
        <v>AIR PURIFIER</v>
      </c>
      <c r="B300" s="7" t="str">
        <f t="shared" si="38"/>
        <v>FP-J60Y-W</v>
      </c>
      <c r="C300" s="7" t="str">
        <f t="shared" si="39"/>
        <v>Coverage Area 48 m², PCI HD 25000, SPOT Mode, HEPA + Deodorizing Filter (Lifetime up to 2 years), (PM 2.5, Dust, Odor, &amp; Light Sensor)</v>
      </c>
      <c r="D300" s="25" t="str">
        <f t="shared" si="40"/>
        <v>2018-11-01</v>
      </c>
      <c r="E300" s="7">
        <f t="shared" si="41"/>
        <v>3569760</v>
      </c>
      <c r="F300" s="6">
        <f t="shared" si="42"/>
        <v>0</v>
      </c>
      <c r="G300" s="7" t="str">
        <f t="shared" si="43"/>
        <v/>
      </c>
      <c r="I300" s="23">
        <f t="shared" si="44"/>
        <v>2018</v>
      </c>
      <c r="J300" s="23">
        <f t="shared" si="45"/>
        <v>11</v>
      </c>
      <c r="K300" s="23" t="str">
        <f t="shared" si="46"/>
        <v>2018-11-01</v>
      </c>
      <c r="M300" s="11" t="s">
        <v>482</v>
      </c>
      <c r="N300" s="11" t="s">
        <v>920</v>
      </c>
      <c r="O300" s="9">
        <v>43405</v>
      </c>
      <c r="P300" s="13">
        <v>3569760</v>
      </c>
    </row>
    <row r="301" spans="1:16" x14ac:dyDescent="0.25">
      <c r="A301" s="19" t="str">
        <f>VLOOKUP(LEFT(M301,3),Category!$G$3:$H$73,2,0)</f>
        <v>AIR PURIFIER</v>
      </c>
      <c r="B301" s="7" t="str">
        <f t="shared" si="38"/>
        <v>FP-J80Y-H</v>
      </c>
      <c r="C301" s="7" t="str">
        <f t="shared" si="39"/>
        <v>Coverage Area 62 m², Smart Operation (via Wi-Fi), PCI HD 25000, SPOT Mode, HEPA + Deodorizing Filter (Lifetime up to 2 years), (PM 2.5, Dust, Odor, Light , Temperature, &amp; Humidity Sensor)</v>
      </c>
      <c r="D301" s="25" t="str">
        <f t="shared" si="40"/>
        <v>2018-11-01</v>
      </c>
      <c r="E301" s="7">
        <f t="shared" si="41"/>
        <v>4141410</v>
      </c>
      <c r="F301" s="6">
        <f t="shared" si="42"/>
        <v>0</v>
      </c>
      <c r="G301" s="7" t="str">
        <f t="shared" si="43"/>
        <v/>
      </c>
      <c r="I301" s="23">
        <f t="shared" si="44"/>
        <v>2018</v>
      </c>
      <c r="J301" s="23">
        <f t="shared" si="45"/>
        <v>11</v>
      </c>
      <c r="K301" s="23" t="str">
        <f t="shared" si="46"/>
        <v>2018-11-01</v>
      </c>
      <c r="M301" s="11" t="s">
        <v>483</v>
      </c>
      <c r="N301" s="11" t="s">
        <v>921</v>
      </c>
      <c r="O301" s="9">
        <v>43405</v>
      </c>
      <c r="P301" s="13">
        <v>4141410</v>
      </c>
    </row>
    <row r="302" spans="1:16" x14ac:dyDescent="0.25">
      <c r="A302" s="19" t="str">
        <f>VLOOKUP(LEFT(M302,3),Category!$G$3:$H$73,2,0)</f>
        <v>AIR PURIFIER</v>
      </c>
      <c r="B302" s="7" t="str">
        <f t="shared" si="38"/>
        <v>FP-JM30Y-B</v>
      </c>
      <c r="C302" s="7" t="str">
        <f t="shared" si="39"/>
        <v>plasmacluster HD 7000,Anti dust mode,Filter replacement indicator,Sharp original airflow at 20 angle</v>
      </c>
      <c r="D302" s="25" t="str">
        <f t="shared" si="40"/>
        <v>2019-07-01</v>
      </c>
      <c r="E302" s="7">
        <f t="shared" si="41"/>
        <v>2582970</v>
      </c>
      <c r="F302" s="6">
        <f t="shared" si="42"/>
        <v>0</v>
      </c>
      <c r="G302" s="7" t="str">
        <f t="shared" si="43"/>
        <v/>
      </c>
      <c r="I302" s="23">
        <f t="shared" si="44"/>
        <v>2019</v>
      </c>
      <c r="J302" s="23" t="str">
        <f t="shared" si="45"/>
        <v>07</v>
      </c>
      <c r="K302" s="23" t="str">
        <f t="shared" si="46"/>
        <v>2019-07-01</v>
      </c>
      <c r="M302" s="11" t="s">
        <v>355</v>
      </c>
      <c r="N302" s="11" t="s">
        <v>922</v>
      </c>
      <c r="O302" s="9">
        <v>43647</v>
      </c>
      <c r="P302" s="13">
        <v>2582970</v>
      </c>
    </row>
    <row r="303" spans="1:16" x14ac:dyDescent="0.25">
      <c r="A303" s="19" t="str">
        <f>VLOOKUP(LEFT(M303,3),Category!$G$3:$H$73,2,0)</f>
        <v>AIR PURIFIER</v>
      </c>
      <c r="B303" s="7" t="str">
        <f t="shared" si="38"/>
        <v>FP-JM40Y-B</v>
      </c>
      <c r="C303" s="7" t="str">
        <f t="shared" si="39"/>
        <v>plasmacluster HD 7000,Auto with 3 detection,Anti dust mode,Filter replacement indicator</v>
      </c>
      <c r="D303" s="25" t="str">
        <f t="shared" si="40"/>
        <v>2019-07-01</v>
      </c>
      <c r="E303" s="7">
        <f t="shared" si="41"/>
        <v>3337770</v>
      </c>
      <c r="F303" s="6">
        <f t="shared" si="42"/>
        <v>0</v>
      </c>
      <c r="G303" s="7" t="str">
        <f t="shared" si="43"/>
        <v/>
      </c>
      <c r="I303" s="23">
        <f t="shared" si="44"/>
        <v>2019</v>
      </c>
      <c r="J303" s="23" t="str">
        <f t="shared" si="45"/>
        <v>07</v>
      </c>
      <c r="K303" s="23" t="str">
        <f t="shared" si="46"/>
        <v>2019-07-01</v>
      </c>
      <c r="M303" s="11" t="s">
        <v>356</v>
      </c>
      <c r="N303" s="11" t="s">
        <v>923</v>
      </c>
      <c r="O303" s="9">
        <v>43647</v>
      </c>
      <c r="P303" s="13">
        <v>3337770</v>
      </c>
    </row>
    <row r="304" spans="1:16" x14ac:dyDescent="0.25">
      <c r="A304" s="19" t="str">
        <f>VLOOKUP(LEFT(M304,3),Category!$G$3:$H$73,2,0)</f>
        <v>REFRIGERATOR</v>
      </c>
      <c r="B304" s="7" t="str">
        <f t="shared" si="38"/>
        <v>FRV-127</v>
      </c>
      <c r="C304" s="7" t="str">
        <f t="shared" si="39"/>
        <v>BIG capacity (120 L), Handle Grip &amp; Door key, Roller caster, ANTI Rust Cabinet</v>
      </c>
      <c r="D304" s="25" t="str">
        <f t="shared" si="40"/>
        <v>2012-06-01</v>
      </c>
      <c r="E304" s="7">
        <f t="shared" si="41"/>
        <v>3050280</v>
      </c>
      <c r="F304" s="6">
        <f t="shared" si="42"/>
        <v>0</v>
      </c>
      <c r="G304" s="7" t="str">
        <f t="shared" si="43"/>
        <v/>
      </c>
      <c r="I304" s="23">
        <f t="shared" si="44"/>
        <v>2012</v>
      </c>
      <c r="J304" s="23" t="str">
        <f t="shared" si="45"/>
        <v>06</v>
      </c>
      <c r="K304" s="23" t="str">
        <f t="shared" si="46"/>
        <v>2012-06-01</v>
      </c>
      <c r="M304" s="11" t="s">
        <v>45</v>
      </c>
      <c r="N304" s="11" t="s">
        <v>924</v>
      </c>
      <c r="O304" s="9">
        <v>41061</v>
      </c>
      <c r="P304" s="13">
        <v>3050280</v>
      </c>
    </row>
    <row r="305" spans="1:16" x14ac:dyDescent="0.25">
      <c r="A305" s="19" t="str">
        <f>VLOOKUP(LEFT(M305,3),Category!$G$3:$H$73,2,0)</f>
        <v>REFRIGERATOR</v>
      </c>
      <c r="B305" s="7" t="str">
        <f t="shared" si="38"/>
        <v>FRV-150X</v>
      </c>
      <c r="C305" s="7" t="str">
        <f t="shared" si="39"/>
        <v>BIG capacity (152 L), FAST Freezing, LED Lamp, Handle Grip &amp; Door key, Roller caster, ANTI Rust Cabinet</v>
      </c>
      <c r="D305" s="25" t="str">
        <f t="shared" si="40"/>
        <v>2018-12-01</v>
      </c>
      <c r="E305" s="7">
        <f t="shared" si="41"/>
        <v>3106890</v>
      </c>
      <c r="F305" s="6">
        <f t="shared" si="42"/>
        <v>0</v>
      </c>
      <c r="G305" s="7" t="str">
        <f t="shared" si="43"/>
        <v/>
      </c>
      <c r="I305" s="23">
        <f t="shared" si="44"/>
        <v>2018</v>
      </c>
      <c r="J305" s="23">
        <f t="shared" si="45"/>
        <v>12</v>
      </c>
      <c r="K305" s="23" t="str">
        <f t="shared" si="46"/>
        <v>2018-12-01</v>
      </c>
      <c r="M305" s="11" t="s">
        <v>501</v>
      </c>
      <c r="N305" s="11" t="s">
        <v>925</v>
      </c>
      <c r="O305" s="9">
        <v>43435</v>
      </c>
      <c r="P305" s="13">
        <v>3106890</v>
      </c>
    </row>
    <row r="306" spans="1:16" x14ac:dyDescent="0.25">
      <c r="A306" s="19" t="str">
        <f>VLOOKUP(LEFT(M306,3),Category!$G$3:$H$73,2,0)</f>
        <v>REFRIGERATOR</v>
      </c>
      <c r="B306" s="7" t="str">
        <f t="shared" si="38"/>
        <v>FRV-200</v>
      </c>
      <c r="C306" s="7" t="str">
        <f t="shared" si="39"/>
        <v>BIG capacity (205 L), Handle Grip &amp; Door key, Roller caster, ANTI Rust Cabinet</v>
      </c>
      <c r="D306" s="25" t="str">
        <f t="shared" si="40"/>
        <v>1900-01-01</v>
      </c>
      <c r="E306" s="7">
        <f t="shared" si="41"/>
        <v>3443220</v>
      </c>
      <c r="F306" s="6">
        <f t="shared" si="42"/>
        <v>0</v>
      </c>
      <c r="G306" s="7" t="str">
        <f t="shared" si="43"/>
        <v/>
      </c>
      <c r="I306" s="23">
        <f t="shared" si="44"/>
        <v>1900</v>
      </c>
      <c r="J306" s="23" t="str">
        <f t="shared" si="45"/>
        <v>01</v>
      </c>
      <c r="K306" s="23" t="str">
        <f t="shared" si="46"/>
        <v>1900-01-01</v>
      </c>
      <c r="M306" s="11" t="s">
        <v>523</v>
      </c>
      <c r="N306" s="11" t="s">
        <v>926</v>
      </c>
      <c r="P306" s="13">
        <v>3443220</v>
      </c>
    </row>
    <row r="307" spans="1:16" x14ac:dyDescent="0.25">
      <c r="A307" s="19" t="str">
        <f>VLOOKUP(LEFT(M307,3),Category!$G$3:$H$73,2,0)</f>
        <v>REFRIGERATOR</v>
      </c>
      <c r="B307" s="7" t="str">
        <f t="shared" si="38"/>
        <v>FRV-210X</v>
      </c>
      <c r="C307" s="7" t="str">
        <f t="shared" si="39"/>
        <v>BIG capacity (212 L), FAST Freezing, LED Lamp, Handle Grip &amp; Door key, Roller caster, ANTI Rust Cabinet</v>
      </c>
      <c r="D307" s="25" t="str">
        <f t="shared" si="40"/>
        <v>2018-12-01</v>
      </c>
      <c r="E307" s="7">
        <f t="shared" si="41"/>
        <v>3498720</v>
      </c>
      <c r="F307" s="6">
        <f t="shared" si="42"/>
        <v>0</v>
      </c>
      <c r="G307" s="7" t="str">
        <f t="shared" si="43"/>
        <v/>
      </c>
      <c r="I307" s="23">
        <f t="shared" si="44"/>
        <v>2018</v>
      </c>
      <c r="J307" s="23">
        <f t="shared" si="45"/>
        <v>12</v>
      </c>
      <c r="K307" s="23" t="str">
        <f t="shared" si="46"/>
        <v>2018-12-01</v>
      </c>
      <c r="M307" s="11" t="s">
        <v>502</v>
      </c>
      <c r="N307" s="11" t="s">
        <v>927</v>
      </c>
      <c r="O307" s="9">
        <v>43435</v>
      </c>
      <c r="P307" s="13">
        <v>3498720</v>
      </c>
    </row>
    <row r="308" spans="1:16" x14ac:dyDescent="0.25">
      <c r="A308" s="19" t="str">
        <f>VLOOKUP(LEFT(M308,3),Category!$G$3:$H$73,2,0)</f>
        <v>REFRIGERATOR</v>
      </c>
      <c r="B308" s="7" t="str">
        <f t="shared" si="38"/>
        <v>FRV-300</v>
      </c>
      <c r="C308" s="7" t="str">
        <f t="shared" si="39"/>
        <v>BIG capacity (315 L), Handle Grip &amp; Door key, Roller caster, ANTI Rust Cabinet</v>
      </c>
      <c r="D308" s="25" t="str">
        <f t="shared" si="40"/>
        <v>2010-02-01</v>
      </c>
      <c r="E308" s="7">
        <f t="shared" si="41"/>
        <v>3789540</v>
      </c>
      <c r="F308" s="6">
        <f t="shared" si="42"/>
        <v>0</v>
      </c>
      <c r="G308" s="7" t="str">
        <f t="shared" si="43"/>
        <v/>
      </c>
      <c r="I308" s="23">
        <f t="shared" si="44"/>
        <v>2010</v>
      </c>
      <c r="J308" s="23" t="str">
        <f t="shared" si="45"/>
        <v>02</v>
      </c>
      <c r="K308" s="23" t="str">
        <f t="shared" si="46"/>
        <v>2010-02-01</v>
      </c>
      <c r="M308" s="11" t="s">
        <v>34</v>
      </c>
      <c r="N308" s="11" t="s">
        <v>928</v>
      </c>
      <c r="O308" s="9">
        <v>40210</v>
      </c>
      <c r="P308" s="13">
        <v>3789540</v>
      </c>
    </row>
    <row r="309" spans="1:16" x14ac:dyDescent="0.25">
      <c r="A309" s="19" t="str">
        <f>VLOOKUP(LEFT(M309,3),Category!$G$3:$H$73,2,0)</f>
        <v>REFRIGERATOR</v>
      </c>
      <c r="B309" s="7" t="str">
        <f t="shared" si="38"/>
        <v>FRV-310X</v>
      </c>
      <c r="C309" s="7" t="str">
        <f t="shared" si="39"/>
        <v>BIG capacity (302 L), FAST Freezing, LED Lamp, Handle Grip &amp; Door key, Roller caster, ANTI Rust Cabinet</v>
      </c>
      <c r="D309" s="25" t="str">
        <f t="shared" si="40"/>
        <v>2018-12-01</v>
      </c>
      <c r="E309" s="7">
        <f t="shared" si="41"/>
        <v>3856140</v>
      </c>
      <c r="F309" s="6">
        <f t="shared" si="42"/>
        <v>0</v>
      </c>
      <c r="G309" s="7" t="str">
        <f t="shared" si="43"/>
        <v/>
      </c>
      <c r="I309" s="23">
        <f t="shared" si="44"/>
        <v>2018</v>
      </c>
      <c r="J309" s="23">
        <f t="shared" si="45"/>
        <v>12</v>
      </c>
      <c r="K309" s="23" t="str">
        <f t="shared" si="46"/>
        <v>2018-12-01</v>
      </c>
      <c r="M309" s="11" t="s">
        <v>503</v>
      </c>
      <c r="N309" s="11" t="s">
        <v>929</v>
      </c>
      <c r="O309" s="9">
        <v>43435</v>
      </c>
      <c r="P309" s="13">
        <v>3856140</v>
      </c>
    </row>
    <row r="310" spans="1:16" x14ac:dyDescent="0.25">
      <c r="A310" s="19" t="str">
        <f>VLOOKUP(LEFT(M310,3),Category!$G$3:$H$73,2,0)</f>
        <v>REFRIGERATOR</v>
      </c>
      <c r="B310" s="7" t="str">
        <f t="shared" si="38"/>
        <v>FRW-210</v>
      </c>
      <c r="C310" s="7" t="str">
        <f t="shared" si="39"/>
        <v>BIG capacity (212 L), ANTI Dew Glass Door, Roller caster, ANTI Rust Cabinet</v>
      </c>
      <c r="D310" s="25" t="str">
        <f t="shared" si="40"/>
        <v>2011-04-01</v>
      </c>
      <c r="E310" s="7">
        <f t="shared" si="41"/>
        <v>3862800</v>
      </c>
      <c r="F310" s="6">
        <f t="shared" si="42"/>
        <v>0</v>
      </c>
      <c r="G310" s="7" t="str">
        <f t="shared" si="43"/>
        <v/>
      </c>
      <c r="I310" s="23">
        <f t="shared" si="44"/>
        <v>2011</v>
      </c>
      <c r="J310" s="23" t="str">
        <f t="shared" si="45"/>
        <v>04</v>
      </c>
      <c r="K310" s="23" t="str">
        <f t="shared" si="46"/>
        <v>2011-04-01</v>
      </c>
      <c r="M310" s="11" t="s">
        <v>37</v>
      </c>
      <c r="N310" s="11" t="s">
        <v>930</v>
      </c>
      <c r="O310" s="9">
        <v>40634</v>
      </c>
      <c r="P310" s="13">
        <v>3862800</v>
      </c>
    </row>
    <row r="311" spans="1:16" x14ac:dyDescent="0.25">
      <c r="A311" s="19" t="str">
        <f>VLOOKUP(LEFT(M311,3),Category!$G$3:$H$73,2,0)</f>
        <v>TELEVISION</v>
      </c>
      <c r="B311" s="7" t="str">
        <f t="shared" si="38"/>
        <v>FS2B2</v>
      </c>
      <c r="C311" s="7" t="str">
        <f t="shared" si="39"/>
        <v>Bracket with Wheels for 4T-B60CP1X ( up to 2x2 units )</v>
      </c>
      <c r="D311" s="25" t="str">
        <f t="shared" si="40"/>
        <v>2020-10-01</v>
      </c>
      <c r="E311" s="7">
        <f t="shared" si="41"/>
        <v>33300000</v>
      </c>
      <c r="F311" s="6">
        <f t="shared" si="42"/>
        <v>0</v>
      </c>
      <c r="G311" s="7" t="str">
        <f t="shared" si="43"/>
        <v/>
      </c>
      <c r="I311" s="23">
        <f t="shared" si="44"/>
        <v>2020</v>
      </c>
      <c r="J311" s="23">
        <f t="shared" si="45"/>
        <v>10</v>
      </c>
      <c r="K311" s="23" t="str">
        <f t="shared" si="46"/>
        <v>2020-10-01</v>
      </c>
      <c r="M311" s="11" t="s">
        <v>462</v>
      </c>
      <c r="N311" s="11" t="s">
        <v>931</v>
      </c>
      <c r="O311" s="9">
        <v>44105</v>
      </c>
      <c r="P311" s="13">
        <v>33300000</v>
      </c>
    </row>
    <row r="312" spans="1:16" x14ac:dyDescent="0.25">
      <c r="A312" s="19" t="str">
        <f>VLOOKUP(LEFT(M312,3),Category!$G$3:$H$73,2,0)</f>
        <v>AIR PURIFIER</v>
      </c>
      <c r="B312" s="7" t="str">
        <f t="shared" si="38"/>
        <v>FU-A80Y-AM</v>
      </c>
      <c r="C312" s="7" t="str">
        <f t="shared" si="39"/>
        <v>Coverage Area 62 m², Pre-Filter + HEPA + Deodorizing Filter (Lifetime up to 2 years), Dust Sensor</v>
      </c>
      <c r="D312" s="25" t="str">
        <f t="shared" si="40"/>
        <v>2019-08-01</v>
      </c>
      <c r="E312" s="7">
        <f t="shared" si="41"/>
        <v>3436560</v>
      </c>
      <c r="F312" s="6">
        <f t="shared" si="42"/>
        <v>0</v>
      </c>
      <c r="G312" s="7" t="str">
        <f t="shared" si="43"/>
        <v/>
      </c>
      <c r="I312" s="23">
        <f t="shared" si="44"/>
        <v>2019</v>
      </c>
      <c r="J312" s="23" t="str">
        <f t="shared" si="45"/>
        <v>08</v>
      </c>
      <c r="K312" s="23" t="str">
        <f t="shared" si="46"/>
        <v>2019-08-01</v>
      </c>
      <c r="M312" s="11" t="s">
        <v>391</v>
      </c>
      <c r="N312" s="11" t="s">
        <v>932</v>
      </c>
      <c r="O312" s="9">
        <v>43678</v>
      </c>
      <c r="P312" s="13">
        <v>3436560</v>
      </c>
    </row>
    <row r="313" spans="1:16" x14ac:dyDescent="0.25">
      <c r="A313" s="19" t="str">
        <f>VLOOKUP(LEFT(M313,3),Category!$G$3:$H$73,2,0)</f>
        <v>AIR PURIFIER</v>
      </c>
      <c r="B313" s="7" t="str">
        <f t="shared" si="38"/>
        <v>FU-A80Y-N</v>
      </c>
      <c r="C313" s="7" t="str">
        <f t="shared" si="39"/>
        <v>Coverage Area 62 m², Pre-Filter + HEPA + Deodorizing Filter (Lifetime up to 2 years), Dust Sensor</v>
      </c>
      <c r="D313" s="25" t="str">
        <f t="shared" si="40"/>
        <v>2011-08-01</v>
      </c>
      <c r="E313" s="7">
        <f t="shared" si="41"/>
        <v>2834940</v>
      </c>
      <c r="F313" s="6">
        <f t="shared" si="42"/>
        <v>0</v>
      </c>
      <c r="G313" s="7" t="str">
        <f t="shared" si="43"/>
        <v/>
      </c>
      <c r="I313" s="23">
        <f t="shared" si="44"/>
        <v>2011</v>
      </c>
      <c r="J313" s="23" t="str">
        <f t="shared" si="45"/>
        <v>08</v>
      </c>
      <c r="K313" s="23" t="str">
        <f t="shared" si="46"/>
        <v>2011-08-01</v>
      </c>
      <c r="M313" s="11" t="s">
        <v>40</v>
      </c>
      <c r="N313" s="11" t="s">
        <v>932</v>
      </c>
      <c r="O313" s="9">
        <v>40756</v>
      </c>
      <c r="P313" s="13">
        <v>2834940</v>
      </c>
    </row>
    <row r="314" spans="1:16" x14ac:dyDescent="0.25">
      <c r="A314" s="19" t="str">
        <f>VLOOKUP(LEFT(M314,3),Category!$G$3:$H$73,2,0)</f>
        <v>AIR PURIFIER</v>
      </c>
      <c r="B314" s="7" t="str">
        <f t="shared" si="38"/>
        <v>FU-A80Y-W</v>
      </c>
      <c r="C314" s="7" t="str">
        <f t="shared" si="39"/>
        <v>Coverage Area 62 m², Pre-Filter + HEPA + Deodorizing Filter (Lifetime up to 2 years), Dust Sensor</v>
      </c>
      <c r="D314" s="25" t="str">
        <f t="shared" si="40"/>
        <v>2011-08-01</v>
      </c>
      <c r="E314" s="7">
        <f t="shared" si="41"/>
        <v>2834940</v>
      </c>
      <c r="F314" s="6">
        <f t="shared" si="42"/>
        <v>0</v>
      </c>
      <c r="G314" s="7" t="str">
        <f t="shared" si="43"/>
        <v/>
      </c>
      <c r="I314" s="23">
        <f t="shared" si="44"/>
        <v>2011</v>
      </c>
      <c r="J314" s="23" t="str">
        <f t="shared" si="45"/>
        <v>08</v>
      </c>
      <c r="K314" s="23" t="str">
        <f t="shared" si="46"/>
        <v>2011-08-01</v>
      </c>
      <c r="M314" s="11" t="s">
        <v>41</v>
      </c>
      <c r="N314" s="11" t="s">
        <v>932</v>
      </c>
      <c r="O314" s="9">
        <v>40756</v>
      </c>
      <c r="P314" s="13">
        <v>2834940</v>
      </c>
    </row>
    <row r="315" spans="1:16" x14ac:dyDescent="0.25">
      <c r="A315" s="19" t="str">
        <f>VLOOKUP(LEFT(M315,3),Category!$G$3:$H$73,2,0)</f>
        <v>AIR PURIFIER</v>
      </c>
      <c r="B315" s="7" t="str">
        <f t="shared" si="38"/>
        <v>FU-NC01-W</v>
      </c>
      <c r="C315" s="7" t="str">
        <f t="shared" si="39"/>
        <v>High Density 7000, Night Lamp, Coverage Area 10m2, Easy To Clean, 360o Air Flow</v>
      </c>
      <c r="D315" s="25" t="str">
        <f t="shared" si="40"/>
        <v>2001-06-01</v>
      </c>
      <c r="E315" s="7">
        <f t="shared" si="41"/>
        <v>1563990</v>
      </c>
      <c r="F315" s="6">
        <f t="shared" si="42"/>
        <v>0</v>
      </c>
      <c r="G315" s="7" t="str">
        <f t="shared" si="43"/>
        <v/>
      </c>
      <c r="I315" s="23">
        <f t="shared" si="44"/>
        <v>2001</v>
      </c>
      <c r="J315" s="23" t="str">
        <f t="shared" si="45"/>
        <v>06</v>
      </c>
      <c r="K315" s="23" t="str">
        <f t="shared" si="46"/>
        <v>2001-06-01</v>
      </c>
      <c r="M315" s="11" t="s">
        <v>672</v>
      </c>
      <c r="N315" s="11" t="s">
        <v>933</v>
      </c>
      <c r="O315" s="9">
        <v>44713</v>
      </c>
      <c r="P315" s="13">
        <v>1563990</v>
      </c>
    </row>
    <row r="316" spans="1:16" x14ac:dyDescent="0.25">
      <c r="A316" s="19" t="str">
        <f>VLOOKUP(LEFT(M316,3),Category!$G$3:$H$73,2,0)</f>
        <v>AIR PURIFIER</v>
      </c>
      <c r="B316" s="7" t="str">
        <f t="shared" si="38"/>
        <v>FZ-40STS</v>
      </c>
      <c r="C316" s="7" t="str">
        <f t="shared" si="39"/>
        <v>Single Cartridge with 3 Sticky Glue Layer (1 Glue layer for 1 month usage)</v>
      </c>
      <c r="D316" s="25" t="str">
        <f t="shared" si="40"/>
        <v>2015-12-01</v>
      </c>
      <c r="E316" s="7">
        <f t="shared" si="41"/>
        <v>183150</v>
      </c>
      <c r="F316" s="6">
        <f t="shared" si="42"/>
        <v>0</v>
      </c>
      <c r="G316" s="7" t="str">
        <f t="shared" si="43"/>
        <v/>
      </c>
      <c r="I316" s="23">
        <f t="shared" si="44"/>
        <v>2015</v>
      </c>
      <c r="J316" s="23">
        <f t="shared" si="45"/>
        <v>12</v>
      </c>
      <c r="K316" s="23" t="str">
        <f t="shared" si="46"/>
        <v>2015-12-01</v>
      </c>
      <c r="M316" s="11" t="s">
        <v>493</v>
      </c>
      <c r="N316" s="11" t="s">
        <v>934</v>
      </c>
      <c r="O316" s="9">
        <v>42339</v>
      </c>
      <c r="P316" s="13">
        <v>183150</v>
      </c>
    </row>
    <row r="317" spans="1:16" x14ac:dyDescent="0.25">
      <c r="A317" s="19" t="str">
        <f>VLOOKUP(LEFT(M317,3),Category!$G$3:$H$73,2,0)</f>
        <v>AIR PURIFIER</v>
      </c>
      <c r="B317" s="7" t="str">
        <f t="shared" si="38"/>
        <v>FZ-A80HFU</v>
      </c>
      <c r="C317" s="7" t="str">
        <f t="shared" si="39"/>
        <v xml:space="preserve">HEPA Filter For FU-A80Y*, 2 Years Filter Lifetime </v>
      </c>
      <c r="D317" s="25" t="str">
        <f t="shared" si="40"/>
        <v>2019-09-01</v>
      </c>
      <c r="E317" s="7">
        <f t="shared" si="41"/>
        <v>723720</v>
      </c>
      <c r="F317" s="6">
        <f t="shared" si="42"/>
        <v>0</v>
      </c>
      <c r="G317" s="7" t="str">
        <f t="shared" si="43"/>
        <v/>
      </c>
      <c r="I317" s="23">
        <f t="shared" si="44"/>
        <v>2019</v>
      </c>
      <c r="J317" s="23" t="str">
        <f t="shared" si="45"/>
        <v>09</v>
      </c>
      <c r="K317" s="23" t="str">
        <f t="shared" si="46"/>
        <v>2019-09-01</v>
      </c>
      <c r="M317" s="11" t="s">
        <v>439</v>
      </c>
      <c r="N317" s="11" t="s">
        <v>935</v>
      </c>
      <c r="O317" s="9">
        <v>43709</v>
      </c>
      <c r="P317" s="13">
        <v>723720</v>
      </c>
    </row>
    <row r="318" spans="1:16" x14ac:dyDescent="0.25">
      <c r="A318" s="19" t="str">
        <f>VLOOKUP(LEFT(M318,3),Category!$G$3:$H$73,2,0)</f>
        <v>AIR PURIFIER</v>
      </c>
      <c r="B318" s="7" t="str">
        <f t="shared" si="38"/>
        <v>FZ-STS2M</v>
      </c>
      <c r="C318" s="7" t="str">
        <f t="shared" si="39"/>
        <v>Single Cartridge with 1 Sticky Glue Layer (1 Glue layer for 2 months usage)</v>
      </c>
      <c r="D318" s="25" t="str">
        <f t="shared" si="40"/>
        <v>2017-06-01</v>
      </c>
      <c r="E318" s="7">
        <f t="shared" si="41"/>
        <v>85470</v>
      </c>
      <c r="F318" s="6">
        <f t="shared" si="42"/>
        <v>0</v>
      </c>
      <c r="G318" s="7" t="str">
        <f t="shared" si="43"/>
        <v/>
      </c>
      <c r="I318" s="23">
        <f t="shared" si="44"/>
        <v>2017</v>
      </c>
      <c r="J318" s="23" t="str">
        <f t="shared" si="45"/>
        <v>06</v>
      </c>
      <c r="K318" s="23" t="str">
        <f t="shared" si="46"/>
        <v>2017-06-01</v>
      </c>
      <c r="M318" s="11" t="s">
        <v>328</v>
      </c>
      <c r="N318" s="11" t="s">
        <v>936</v>
      </c>
      <c r="O318" s="9">
        <v>42887</v>
      </c>
      <c r="P318" s="13">
        <v>85470</v>
      </c>
    </row>
    <row r="319" spans="1:16" x14ac:dyDescent="0.25">
      <c r="A319" s="19" t="str">
        <f>VLOOKUP(LEFT(M319,3),Category!$G$3:$H$73,2,0)</f>
        <v>AIR CONDITIONER</v>
      </c>
      <c r="B319" s="7" t="str">
        <f t="shared" si="38"/>
        <v>GB-A18XEY</v>
      </c>
      <c r="C319" s="7" t="str">
        <f t="shared" si="39"/>
        <v>2 PK (16,700 BTU),powerful cooling performance it can creating an even and equal cooling temperature with low noise level</v>
      </c>
      <c r="D319" s="25" t="str">
        <f t="shared" si="40"/>
        <v>2020-08-01</v>
      </c>
      <c r="E319" s="7">
        <f t="shared" si="41"/>
        <v>10527240</v>
      </c>
      <c r="F319" s="6">
        <f t="shared" si="42"/>
        <v>0</v>
      </c>
      <c r="G319" s="7" t="str">
        <f t="shared" si="43"/>
        <v/>
      </c>
      <c r="I319" s="23">
        <f t="shared" si="44"/>
        <v>2020</v>
      </c>
      <c r="J319" s="23" t="str">
        <f t="shared" si="45"/>
        <v>08</v>
      </c>
      <c r="K319" s="23" t="str">
        <f t="shared" si="46"/>
        <v>2020-08-01</v>
      </c>
      <c r="M319" s="11" t="s">
        <v>393</v>
      </c>
      <c r="N319" s="11" t="s">
        <v>937</v>
      </c>
      <c r="O319" s="9">
        <v>44044</v>
      </c>
      <c r="P319" s="13">
        <v>10527240</v>
      </c>
    </row>
    <row r="320" spans="1:16" x14ac:dyDescent="0.25">
      <c r="A320" s="19" t="str">
        <f>VLOOKUP(LEFT(M320,3),Category!$G$3:$H$73,2,0)</f>
        <v>AIR CONDITIONER</v>
      </c>
      <c r="B320" s="7" t="str">
        <f t="shared" si="38"/>
        <v>GB-A24XEY</v>
      </c>
      <c r="C320" s="7" t="str">
        <f t="shared" si="39"/>
        <v>2.5 PK (24,200 BTU),powerful cooling performance it can creating an even and equal cooling temperature with low noise level</v>
      </c>
      <c r="D320" s="25" t="str">
        <f t="shared" si="40"/>
        <v>2020-08-01</v>
      </c>
      <c r="E320" s="7">
        <f t="shared" si="41"/>
        <v>12387600</v>
      </c>
      <c r="F320" s="6">
        <f t="shared" si="42"/>
        <v>0</v>
      </c>
      <c r="G320" s="7" t="str">
        <f t="shared" si="43"/>
        <v/>
      </c>
      <c r="I320" s="23">
        <f t="shared" si="44"/>
        <v>2020</v>
      </c>
      <c r="J320" s="23" t="str">
        <f t="shared" si="45"/>
        <v>08</v>
      </c>
      <c r="K320" s="23" t="str">
        <f t="shared" si="46"/>
        <v>2020-08-01</v>
      </c>
      <c r="M320" s="11" t="s">
        <v>394</v>
      </c>
      <c r="N320" s="11" t="s">
        <v>938</v>
      </c>
      <c r="O320" s="9">
        <v>44044</v>
      </c>
      <c r="P320" s="13">
        <v>12387600</v>
      </c>
    </row>
    <row r="321" spans="1:16" x14ac:dyDescent="0.25">
      <c r="A321" s="19" t="str">
        <f>VLOOKUP(LEFT(M321,3),Category!$G$3:$H$73,2,0)</f>
        <v>AIR CONDITIONER</v>
      </c>
      <c r="B321" s="7" t="str">
        <f t="shared" si="38"/>
        <v>GB-A36XEY</v>
      </c>
      <c r="C321" s="7" t="str">
        <f t="shared" si="39"/>
        <v>4 PK (35,800 BTU),powerful cooling performance it can creating an even and equal cooling temperature with low noise level</v>
      </c>
      <c r="D321" s="25" t="str">
        <f t="shared" si="40"/>
        <v>2020-08-01</v>
      </c>
      <c r="E321" s="7">
        <f t="shared" si="41"/>
        <v>17819940</v>
      </c>
      <c r="F321" s="6">
        <f t="shared" si="42"/>
        <v>0</v>
      </c>
      <c r="G321" s="7" t="str">
        <f t="shared" si="43"/>
        <v/>
      </c>
      <c r="I321" s="23">
        <f t="shared" si="44"/>
        <v>2020</v>
      </c>
      <c r="J321" s="23" t="str">
        <f t="shared" si="45"/>
        <v>08</v>
      </c>
      <c r="K321" s="23" t="str">
        <f t="shared" si="46"/>
        <v>2020-08-01</v>
      </c>
      <c r="M321" s="11" t="s">
        <v>395</v>
      </c>
      <c r="N321" s="11" t="s">
        <v>939</v>
      </c>
      <c r="O321" s="9">
        <v>44044</v>
      </c>
      <c r="P321" s="13">
        <v>17819940</v>
      </c>
    </row>
    <row r="322" spans="1:16" x14ac:dyDescent="0.25">
      <c r="A322" s="19" t="str">
        <f>VLOOKUP(LEFT(M322,3),Category!$G$3:$H$73,2,0)</f>
        <v>AIR CONDITIONER</v>
      </c>
      <c r="B322" s="7" t="str">
        <f t="shared" si="38"/>
        <v>GB-A42XEY</v>
      </c>
      <c r="C322" s="7" t="str">
        <f t="shared" si="39"/>
        <v>4.5 PK (42,700 BTU),powerful cooling performance it can creating an even and equal cooling temperature with low noise level</v>
      </c>
      <c r="D322" s="25" t="str">
        <f t="shared" si="40"/>
        <v>2020-08-01</v>
      </c>
      <c r="E322" s="7">
        <f t="shared" si="41"/>
        <v>20873550</v>
      </c>
      <c r="F322" s="6">
        <f t="shared" si="42"/>
        <v>0</v>
      </c>
      <c r="G322" s="7" t="str">
        <f t="shared" si="43"/>
        <v/>
      </c>
      <c r="I322" s="23">
        <f t="shared" si="44"/>
        <v>2020</v>
      </c>
      <c r="J322" s="23" t="str">
        <f t="shared" si="45"/>
        <v>08</v>
      </c>
      <c r="K322" s="23" t="str">
        <f t="shared" si="46"/>
        <v>2020-08-01</v>
      </c>
      <c r="M322" s="11" t="s">
        <v>396</v>
      </c>
      <c r="N322" s="11" t="s">
        <v>940</v>
      </c>
      <c r="O322" s="9">
        <v>44044</v>
      </c>
      <c r="P322" s="13">
        <v>20873550</v>
      </c>
    </row>
    <row r="323" spans="1:16" x14ac:dyDescent="0.25">
      <c r="A323" s="19" t="str">
        <f>VLOOKUP(LEFT(M323,3),Category!$G$3:$H$73,2,0)</f>
        <v>AIR CONDITIONER</v>
      </c>
      <c r="B323" s="7" t="str">
        <f t="shared" si="38"/>
        <v>GB-A48XEY</v>
      </c>
      <c r="C323" s="7" t="str">
        <f t="shared" si="39"/>
        <v>5 PK (48,100 BTU),powerful cooling performance it can creating an even and equal cooling temperature with low noise level</v>
      </c>
      <c r="D323" s="25" t="str">
        <f t="shared" si="40"/>
        <v>2020-08-01</v>
      </c>
      <c r="E323" s="7">
        <f t="shared" si="41"/>
        <v>24911730</v>
      </c>
      <c r="F323" s="6">
        <f t="shared" si="42"/>
        <v>0</v>
      </c>
      <c r="G323" s="7" t="str">
        <f t="shared" si="43"/>
        <v/>
      </c>
      <c r="I323" s="23">
        <f t="shared" si="44"/>
        <v>2020</v>
      </c>
      <c r="J323" s="23" t="str">
        <f t="shared" si="45"/>
        <v>08</v>
      </c>
      <c r="K323" s="23" t="str">
        <f t="shared" si="46"/>
        <v>2020-08-01</v>
      </c>
      <c r="M323" s="11" t="s">
        <v>397</v>
      </c>
      <c r="N323" s="11" t="s">
        <v>941</v>
      </c>
      <c r="O323" s="9">
        <v>44044</v>
      </c>
      <c r="P323" s="13">
        <v>24911730</v>
      </c>
    </row>
    <row r="324" spans="1:16" x14ac:dyDescent="0.25">
      <c r="A324" s="19" t="str">
        <f>VLOOKUP(LEFT(M324,3),Category!$G$3:$H$73,2,0)</f>
        <v>AIR CONDITIONER</v>
      </c>
      <c r="B324" s="7" t="str">
        <f t="shared" si="38"/>
        <v>GS-A18SCY</v>
      </c>
      <c r="C324" s="7" t="str">
        <f t="shared" si="39"/>
        <v>2 PK(1,800 W), Single phase, Turbo Cooling, Auto Swing Louver, Self-Cleaning function</v>
      </c>
      <c r="D324" s="25" t="str">
        <f t="shared" si="40"/>
        <v>2017-04-01</v>
      </c>
      <c r="E324" s="7">
        <f t="shared" si="41"/>
        <v>10863570</v>
      </c>
      <c r="F324" s="6">
        <f t="shared" si="42"/>
        <v>0</v>
      </c>
      <c r="G324" s="7" t="str">
        <f t="shared" si="43"/>
        <v/>
      </c>
      <c r="I324" s="23">
        <f t="shared" si="44"/>
        <v>2017</v>
      </c>
      <c r="J324" s="23" t="str">
        <f t="shared" si="45"/>
        <v>04</v>
      </c>
      <c r="K324" s="23" t="str">
        <f t="shared" si="46"/>
        <v>2017-04-01</v>
      </c>
      <c r="M324" s="11" t="s">
        <v>207</v>
      </c>
      <c r="N324" s="11" t="s">
        <v>942</v>
      </c>
      <c r="O324" s="9">
        <v>42826</v>
      </c>
      <c r="P324" s="13">
        <v>10863570</v>
      </c>
    </row>
    <row r="325" spans="1:16" x14ac:dyDescent="0.25">
      <c r="A325" s="19" t="str">
        <f>VLOOKUP(LEFT(M325,3),Category!$G$3:$H$73,2,0)</f>
        <v>AIR CONDITIONER</v>
      </c>
      <c r="B325" s="7" t="str">
        <f t="shared" si="38"/>
        <v>GS-A24SCY</v>
      </c>
      <c r="C325" s="7" t="str">
        <f t="shared" si="39"/>
        <v>2.5 PK(2.600 W), Single phase, Turbo Cooling, Auto Swing Louver, Self-Cleaning function</v>
      </c>
      <c r="D325" s="25" t="str">
        <f t="shared" si="40"/>
        <v>2015-09-01</v>
      </c>
      <c r="E325" s="7">
        <f t="shared" si="41"/>
        <v>16274820</v>
      </c>
      <c r="F325" s="6">
        <f t="shared" si="42"/>
        <v>0</v>
      </c>
      <c r="G325" s="7" t="str">
        <f t="shared" si="43"/>
        <v/>
      </c>
      <c r="I325" s="23">
        <f t="shared" si="44"/>
        <v>2015</v>
      </c>
      <c r="J325" s="23" t="str">
        <f t="shared" si="45"/>
        <v>09</v>
      </c>
      <c r="K325" s="23" t="str">
        <f t="shared" si="46"/>
        <v>2015-09-01</v>
      </c>
      <c r="M325" s="11" t="s">
        <v>419</v>
      </c>
      <c r="N325" s="11" t="s">
        <v>943</v>
      </c>
      <c r="O325" s="9">
        <v>42248</v>
      </c>
      <c r="P325" s="13">
        <v>16274820</v>
      </c>
    </row>
    <row r="326" spans="1:16" x14ac:dyDescent="0.25">
      <c r="A326" s="19" t="str">
        <f>VLOOKUP(LEFT(M326,3),Category!$G$3:$H$73,2,0)</f>
        <v>AIR CONDITIONER</v>
      </c>
      <c r="B326" s="7" t="str">
        <f t="shared" si="38"/>
        <v>GS-A48SCY</v>
      </c>
      <c r="C326" s="7" t="str">
        <f t="shared" si="39"/>
        <v>5 PK (4.380 W), Three phase, Turbo Cooling, Auto Swing Louver, Self-Cleaning function</v>
      </c>
      <c r="D326" s="25" t="str">
        <f t="shared" si="40"/>
        <v>2015-09-01</v>
      </c>
      <c r="E326" s="7">
        <f t="shared" si="41"/>
        <v>28029720</v>
      </c>
      <c r="F326" s="6">
        <f t="shared" si="42"/>
        <v>0</v>
      </c>
      <c r="G326" s="7" t="str">
        <f t="shared" si="43"/>
        <v/>
      </c>
      <c r="I326" s="23">
        <f t="shared" si="44"/>
        <v>2015</v>
      </c>
      <c r="J326" s="23" t="str">
        <f t="shared" si="45"/>
        <v>09</v>
      </c>
      <c r="K326" s="23" t="str">
        <f t="shared" si="46"/>
        <v>2015-09-01</v>
      </c>
      <c r="M326" s="11" t="s">
        <v>420</v>
      </c>
      <c r="N326" s="11" t="s">
        <v>944</v>
      </c>
      <c r="O326" s="9">
        <v>42248</v>
      </c>
      <c r="P326" s="13">
        <v>28029720</v>
      </c>
    </row>
    <row r="327" spans="1:16" x14ac:dyDescent="0.25">
      <c r="A327" s="19" t="str">
        <f>VLOOKUP(LEFT(M327,3),Category!$G$3:$H$73,2,0)</f>
        <v>AIR CONDITIONER</v>
      </c>
      <c r="B327" s="7" t="str">
        <f t="shared" ref="B327:B390" si="47">UPPER(M327)</f>
        <v>GX-A18XEY</v>
      </c>
      <c r="C327" s="7" t="str">
        <f t="shared" ref="C327:C390" si="48">IF(OR(N327="",N327=0),"",N327)</f>
        <v>2 PK (16,700 BTU),Best cooling perfomance fast &amp; powerful,equally cooling the area with auto swing function,sleep mode to automatically adjust cooling temperature for 8 hours and reduce energy consumption</v>
      </c>
      <c r="D327" s="25" t="str">
        <f t="shared" ref="D327:D390" si="49">IFERROR(K327,"")</f>
        <v>2020-08-01</v>
      </c>
      <c r="E327" s="7">
        <f t="shared" ref="E327:E390" si="50">P327</f>
        <v>12224430</v>
      </c>
      <c r="F327" s="6">
        <f t="shared" ref="F327:F390" si="51">IF(O327="DISC",1,0)</f>
        <v>0</v>
      </c>
      <c r="G327" s="7" t="str">
        <f t="shared" ref="G327:G390" si="52">IF(R327="","",R327)</f>
        <v/>
      </c>
      <c r="I327" s="23">
        <f t="shared" ref="I327:I390" si="53">IF(YEAR(O327)=2022,2000+DAY(O327),YEAR(O327))</f>
        <v>2020</v>
      </c>
      <c r="J327" s="23" t="str">
        <f t="shared" ref="J327:J390" si="54">IF(MONTH(O327)&lt;10,"0"&amp;MONTH(O327),MONTH(O327))</f>
        <v>08</v>
      </c>
      <c r="K327" s="23" t="str">
        <f t="shared" ref="K327:K390" si="55">I327&amp;"-"&amp;J327&amp;"-01"</f>
        <v>2020-08-01</v>
      </c>
      <c r="M327" s="11" t="s">
        <v>398</v>
      </c>
      <c r="N327" s="11" t="s">
        <v>945</v>
      </c>
      <c r="O327" s="9">
        <v>44044</v>
      </c>
      <c r="P327" s="13">
        <v>12224430</v>
      </c>
    </row>
    <row r="328" spans="1:16" x14ac:dyDescent="0.25">
      <c r="A328" s="19" t="str">
        <f>VLOOKUP(LEFT(M328,3),Category!$G$3:$H$73,2,0)</f>
        <v>AIR CONDITIONER</v>
      </c>
      <c r="B328" s="7" t="str">
        <f t="shared" si="47"/>
        <v>GX-A24XEY</v>
      </c>
      <c r="C328" s="7" t="str">
        <f t="shared" si="48"/>
        <v>2.5 PK (24,200 BTU),Best cooling perfomance fast &amp; powerful,equally cooling the area with auto swing function,sleep mode to automatically adjust cooling temperature for 8 hours and reduce energy consumption</v>
      </c>
      <c r="D328" s="25" t="str">
        <f t="shared" si="49"/>
        <v>2020-08-01</v>
      </c>
      <c r="E328" s="7">
        <f t="shared" si="50"/>
        <v>14148060</v>
      </c>
      <c r="F328" s="6">
        <f t="shared" si="51"/>
        <v>0</v>
      </c>
      <c r="G328" s="7" t="str">
        <f t="shared" si="52"/>
        <v/>
      </c>
      <c r="I328" s="23">
        <f t="shared" si="53"/>
        <v>2020</v>
      </c>
      <c r="J328" s="23" t="str">
        <f t="shared" si="54"/>
        <v>08</v>
      </c>
      <c r="K328" s="23" t="str">
        <f t="shared" si="55"/>
        <v>2020-08-01</v>
      </c>
      <c r="M328" s="11" t="s">
        <v>399</v>
      </c>
      <c r="N328" s="11" t="s">
        <v>946</v>
      </c>
      <c r="O328" s="9">
        <v>44044</v>
      </c>
      <c r="P328" s="13">
        <v>14148060</v>
      </c>
    </row>
    <row r="329" spans="1:16" x14ac:dyDescent="0.25">
      <c r="A329" s="19" t="str">
        <f>VLOOKUP(LEFT(M329,3),Category!$G$3:$H$73,2,0)</f>
        <v>AIR CONDITIONER</v>
      </c>
      <c r="B329" s="7" t="str">
        <f t="shared" si="47"/>
        <v>GX-A36XEY</v>
      </c>
      <c r="C329" s="7" t="str">
        <f t="shared" si="48"/>
        <v>4 PK (35,100 BTU),Best cooling perfomance fast &amp; powerful,equally cooling the area with auto swing function,sleep mode to automatically adjust cooling temperature for 8 hours and reduce energy consumption</v>
      </c>
      <c r="D329" s="25" t="str">
        <f t="shared" si="49"/>
        <v>2020-08-01</v>
      </c>
      <c r="E329" s="7">
        <f t="shared" si="50"/>
        <v>19743570</v>
      </c>
      <c r="F329" s="6">
        <f t="shared" si="51"/>
        <v>0</v>
      </c>
      <c r="G329" s="7" t="str">
        <f t="shared" si="52"/>
        <v/>
      </c>
      <c r="I329" s="23">
        <f t="shared" si="53"/>
        <v>2020</v>
      </c>
      <c r="J329" s="23" t="str">
        <f t="shared" si="54"/>
        <v>08</v>
      </c>
      <c r="K329" s="23" t="str">
        <f t="shared" si="55"/>
        <v>2020-08-01</v>
      </c>
      <c r="M329" s="11" t="s">
        <v>400</v>
      </c>
      <c r="N329" s="11" t="s">
        <v>947</v>
      </c>
      <c r="O329" s="9">
        <v>44044</v>
      </c>
      <c r="P329" s="13">
        <v>19743570</v>
      </c>
    </row>
    <row r="330" spans="1:16" x14ac:dyDescent="0.25">
      <c r="A330" s="19" t="str">
        <f>VLOOKUP(LEFT(M330,3),Category!$G$3:$H$73,2,0)</f>
        <v>AIR CONDITIONER</v>
      </c>
      <c r="B330" s="7" t="str">
        <f t="shared" si="47"/>
        <v>GX-A42XEY</v>
      </c>
      <c r="C330" s="7" t="str">
        <f t="shared" si="48"/>
        <v>4.5 PK (40,900 BTU),Best cooling perfomance fast &amp; powerful,equally cooling the area with auto swing function,sleep mode to automatically adjust cooling temperature for 8 hours and reduce energy consumption</v>
      </c>
      <c r="D330" s="25" t="str">
        <f t="shared" si="49"/>
        <v>2020-08-01</v>
      </c>
      <c r="E330" s="7">
        <f t="shared" si="50"/>
        <v>22885980</v>
      </c>
      <c r="F330" s="6">
        <f t="shared" si="51"/>
        <v>0</v>
      </c>
      <c r="G330" s="7" t="str">
        <f t="shared" si="52"/>
        <v/>
      </c>
      <c r="I330" s="23">
        <f t="shared" si="53"/>
        <v>2020</v>
      </c>
      <c r="J330" s="23" t="str">
        <f t="shared" si="54"/>
        <v>08</v>
      </c>
      <c r="K330" s="23" t="str">
        <f t="shared" si="55"/>
        <v>2020-08-01</v>
      </c>
      <c r="M330" s="11" t="s">
        <v>401</v>
      </c>
      <c r="N330" s="11" t="s">
        <v>948</v>
      </c>
      <c r="O330" s="9">
        <v>44044</v>
      </c>
      <c r="P330" s="13">
        <v>22885980</v>
      </c>
    </row>
    <row r="331" spans="1:16" x14ac:dyDescent="0.25">
      <c r="A331" s="19" t="str">
        <f>VLOOKUP(LEFT(M331,3),Category!$G$3:$H$73,2,0)</f>
        <v>AIR CONDITIONER</v>
      </c>
      <c r="B331" s="7" t="str">
        <f t="shared" si="47"/>
        <v>GX-A48XEY</v>
      </c>
      <c r="C331" s="7" t="str">
        <f t="shared" si="48"/>
        <v>5 PK (48,100 BTU),Best cooling perfomance fast &amp; powerful,equally cooling the area with auto swing function,sleep mode to automatically adjust cooling temperature for 8 hours and reduce energy consumption</v>
      </c>
      <c r="D331" s="25" t="str">
        <f t="shared" si="49"/>
        <v>2020-08-01</v>
      </c>
      <c r="E331" s="7">
        <f t="shared" si="50"/>
        <v>27049590</v>
      </c>
      <c r="F331" s="6">
        <f t="shared" si="51"/>
        <v>0</v>
      </c>
      <c r="G331" s="7" t="str">
        <f t="shared" si="52"/>
        <v/>
      </c>
      <c r="I331" s="23">
        <f t="shared" si="53"/>
        <v>2020</v>
      </c>
      <c r="J331" s="23" t="str">
        <f t="shared" si="54"/>
        <v>08</v>
      </c>
      <c r="K331" s="23" t="str">
        <f t="shared" si="55"/>
        <v>2020-08-01</v>
      </c>
      <c r="M331" s="11" t="s">
        <v>402</v>
      </c>
      <c r="N331" s="11" t="s">
        <v>949</v>
      </c>
      <c r="O331" s="9">
        <v>44044</v>
      </c>
      <c r="P331" s="13">
        <v>27049590</v>
      </c>
    </row>
    <row r="332" spans="1:16" x14ac:dyDescent="0.25">
      <c r="A332" s="19" t="str">
        <f>VLOOKUP(LEFT(M332,3),Category!$G$3:$H$73,2,0)</f>
        <v>SMALL HOME APPLIANCES</v>
      </c>
      <c r="B332" s="7" t="str">
        <f t="shared" si="47"/>
        <v>HM-80L(W)</v>
      </c>
      <c r="C332" s="7" t="str">
        <f t="shared" si="48"/>
        <v>Capacity 10-12 Cup</v>
      </c>
      <c r="D332" s="25" t="str">
        <f t="shared" si="49"/>
        <v>2011-09-01</v>
      </c>
      <c r="E332" s="7">
        <f t="shared" si="50"/>
        <v>326340</v>
      </c>
      <c r="F332" s="6">
        <f t="shared" si="51"/>
        <v>0</v>
      </c>
      <c r="G332" s="7" t="str">
        <f t="shared" si="52"/>
        <v/>
      </c>
      <c r="I332" s="23">
        <f t="shared" si="53"/>
        <v>2011</v>
      </c>
      <c r="J332" s="23" t="str">
        <f t="shared" si="54"/>
        <v>09</v>
      </c>
      <c r="K332" s="23" t="str">
        <f t="shared" si="55"/>
        <v>2011-09-01</v>
      </c>
      <c r="M332" s="11" t="s">
        <v>44</v>
      </c>
      <c r="N332" s="11" t="s">
        <v>950</v>
      </c>
      <c r="O332" s="9">
        <v>40801</v>
      </c>
      <c r="P332" s="13">
        <v>326340</v>
      </c>
    </row>
    <row r="333" spans="1:16" x14ac:dyDescent="0.25">
      <c r="A333" s="19" t="str">
        <f>VLOOKUP(LEFT(M333,3),Category!$G$3:$H$73,2,0)</f>
        <v>AUDIO</v>
      </c>
      <c r="B333" s="7" t="str">
        <f t="shared" si="47"/>
        <v>HP-BC50(BK)</v>
      </c>
      <c r="C333" s="7" t="str">
        <f t="shared" si="48"/>
        <v>Audio Bone Conduction, Bluetooth 5.0, Waterproof IP66, Ear Free Listening with Privacy</v>
      </c>
      <c r="D333" s="25" t="str">
        <f t="shared" si="49"/>
        <v>2001-02-01</v>
      </c>
      <c r="E333" s="7">
        <f t="shared" si="50"/>
        <v>829170</v>
      </c>
      <c r="F333" s="6">
        <f t="shared" si="51"/>
        <v>0</v>
      </c>
      <c r="G333" s="7" t="str">
        <f t="shared" si="52"/>
        <v/>
      </c>
      <c r="I333" s="23">
        <f t="shared" si="53"/>
        <v>2001</v>
      </c>
      <c r="J333" s="23" t="str">
        <f t="shared" si="54"/>
        <v>02</v>
      </c>
      <c r="K333" s="23" t="str">
        <f t="shared" si="55"/>
        <v>2001-02-01</v>
      </c>
      <c r="M333" s="11" t="s">
        <v>146</v>
      </c>
      <c r="N333" s="11" t="s">
        <v>951</v>
      </c>
      <c r="O333" s="9">
        <v>44593</v>
      </c>
      <c r="P333" s="13">
        <v>829170</v>
      </c>
    </row>
    <row r="334" spans="1:16" x14ac:dyDescent="0.25">
      <c r="A334" s="19" t="str">
        <f>VLOOKUP(LEFT(M334,3),Category!$G$3:$H$73,2,0)</f>
        <v>AUDIO</v>
      </c>
      <c r="B334" s="7" t="str">
        <f t="shared" si="47"/>
        <v>HP-TW10</v>
      </c>
      <c r="C334" s="7" t="str">
        <f t="shared" si="48"/>
        <v>Audio Earbuds With TWS Function &amp; Bluetooth Connections</v>
      </c>
      <c r="D334" s="25" t="str">
        <f t="shared" si="49"/>
        <v>2021-09-01</v>
      </c>
      <c r="E334" s="7">
        <f t="shared" si="50"/>
        <v>470640</v>
      </c>
      <c r="F334" s="6">
        <f t="shared" si="51"/>
        <v>0</v>
      </c>
      <c r="G334" s="7" t="str">
        <f t="shared" si="52"/>
        <v/>
      </c>
      <c r="I334" s="23">
        <f t="shared" si="53"/>
        <v>2021</v>
      </c>
      <c r="J334" s="23" t="str">
        <f t="shared" si="54"/>
        <v>09</v>
      </c>
      <c r="K334" s="23" t="str">
        <f t="shared" si="55"/>
        <v>2021-09-01</v>
      </c>
      <c r="M334" s="11" t="s">
        <v>441</v>
      </c>
      <c r="N334" s="11" t="s">
        <v>952</v>
      </c>
      <c r="O334" s="9">
        <v>44440</v>
      </c>
      <c r="P334" s="13">
        <v>470640</v>
      </c>
    </row>
    <row r="335" spans="1:16" x14ac:dyDescent="0.25">
      <c r="A335" s="19" t="str">
        <f>VLOOKUP(LEFT(M335,3),Category!$G$3:$H$73,2,0)</f>
        <v>HAIR DRYER &amp; STRAIGHTENER</v>
      </c>
      <c r="B335" s="7" t="str">
        <f t="shared" si="47"/>
        <v>IB-SB38Y-N</v>
      </c>
      <c r="C335" s="7" t="str">
        <f t="shared" si="48"/>
        <v>Hair Styler . 4 in 1 Beauty Styler . Hanging Loop . 3 Level Speed</v>
      </c>
      <c r="D335" s="25" t="str">
        <f t="shared" si="49"/>
        <v>2019-03-01</v>
      </c>
      <c r="E335" s="7">
        <f t="shared" si="50"/>
        <v>358530</v>
      </c>
      <c r="F335" s="6">
        <f t="shared" si="51"/>
        <v>0</v>
      </c>
      <c r="G335" s="7" t="str">
        <f t="shared" si="52"/>
        <v/>
      </c>
      <c r="I335" s="23">
        <f t="shared" si="53"/>
        <v>2019</v>
      </c>
      <c r="J335" s="23" t="str">
        <f t="shared" si="54"/>
        <v>03</v>
      </c>
      <c r="K335" s="23" t="str">
        <f t="shared" si="55"/>
        <v>2019-03-01</v>
      </c>
      <c r="M335" s="11" t="s">
        <v>164</v>
      </c>
      <c r="N335" s="11" t="s">
        <v>953</v>
      </c>
      <c r="O335" s="9">
        <v>43525</v>
      </c>
      <c r="P335" s="13">
        <v>358530</v>
      </c>
    </row>
    <row r="336" spans="1:16" x14ac:dyDescent="0.25">
      <c r="A336" s="19" t="str">
        <f>VLOOKUP(LEFT(M336,3),Category!$G$3:$H$73,2,0)</f>
        <v>HAIR DRYER &amp; STRAIGHTENER</v>
      </c>
      <c r="B336" s="7" t="str">
        <f t="shared" si="47"/>
        <v>IB-SD18Y-N</v>
      </c>
      <c r="C336" s="7" t="str">
        <f t="shared" si="48"/>
        <v>Hair Dryer . Portable Design . Hanging Loop . 400 Watt</v>
      </c>
      <c r="D336" s="25" t="str">
        <f t="shared" si="49"/>
        <v>2019-03-01</v>
      </c>
      <c r="E336" s="7">
        <f t="shared" si="50"/>
        <v>222000</v>
      </c>
      <c r="F336" s="6">
        <f t="shared" si="51"/>
        <v>0</v>
      </c>
      <c r="G336" s="7" t="str">
        <f t="shared" si="52"/>
        <v/>
      </c>
      <c r="I336" s="23">
        <f t="shared" si="53"/>
        <v>2019</v>
      </c>
      <c r="J336" s="23" t="str">
        <f t="shared" si="54"/>
        <v>03</v>
      </c>
      <c r="K336" s="23" t="str">
        <f t="shared" si="55"/>
        <v>2019-03-01</v>
      </c>
      <c r="M336" s="11" t="s">
        <v>165</v>
      </c>
      <c r="N336" s="11" t="s">
        <v>954</v>
      </c>
      <c r="O336" s="9">
        <v>43525</v>
      </c>
      <c r="P336" s="13">
        <v>222000</v>
      </c>
    </row>
    <row r="337" spans="1:16" x14ac:dyDescent="0.25">
      <c r="A337" s="19" t="str">
        <f>VLOOKUP(LEFT(M337,3),Category!$G$3:$H$73,2,0)</f>
        <v>HAIR DRYER &amp; STRAIGHTENER</v>
      </c>
      <c r="B337" s="7" t="str">
        <f t="shared" si="47"/>
        <v>IB-SD23Y-N</v>
      </c>
      <c r="C337" s="7" t="str">
        <f t="shared" si="48"/>
        <v/>
      </c>
      <c r="D337" s="25" t="str">
        <f t="shared" si="49"/>
        <v>2013-09-01</v>
      </c>
      <c r="E337" s="7">
        <f t="shared" si="50"/>
        <v>263070</v>
      </c>
      <c r="F337" s="6">
        <f t="shared" si="51"/>
        <v>0</v>
      </c>
      <c r="G337" s="7" t="str">
        <f t="shared" si="52"/>
        <v/>
      </c>
      <c r="I337" s="23">
        <f t="shared" si="53"/>
        <v>2013</v>
      </c>
      <c r="J337" s="23" t="str">
        <f t="shared" si="54"/>
        <v>09</v>
      </c>
      <c r="K337" s="23" t="str">
        <f t="shared" si="55"/>
        <v>2013-09-01</v>
      </c>
      <c r="M337" s="11" t="s">
        <v>61</v>
      </c>
      <c r="N337" s="11">
        <v>0</v>
      </c>
      <c r="O337" s="9">
        <v>41532</v>
      </c>
      <c r="P337" s="13">
        <v>263070</v>
      </c>
    </row>
    <row r="338" spans="1:16" x14ac:dyDescent="0.25">
      <c r="A338" s="19" t="str">
        <f>VLOOKUP(LEFT(M338,3),Category!$G$3:$H$73,2,0)</f>
        <v>HAIR DRYER &amp; STRAIGHTENER</v>
      </c>
      <c r="B338" s="7" t="str">
        <f t="shared" si="47"/>
        <v>IB-SD23Y-P</v>
      </c>
      <c r="C338" s="7" t="str">
        <f t="shared" si="48"/>
        <v/>
      </c>
      <c r="D338" s="25" t="str">
        <f t="shared" si="49"/>
        <v>2013-09-01</v>
      </c>
      <c r="E338" s="7">
        <f t="shared" si="50"/>
        <v>263070</v>
      </c>
      <c r="F338" s="6">
        <f t="shared" si="51"/>
        <v>0</v>
      </c>
      <c r="G338" s="7" t="str">
        <f t="shared" si="52"/>
        <v/>
      </c>
      <c r="I338" s="23">
        <f t="shared" si="53"/>
        <v>2013</v>
      </c>
      <c r="J338" s="23" t="str">
        <f t="shared" si="54"/>
        <v>09</v>
      </c>
      <c r="K338" s="23" t="str">
        <f t="shared" si="55"/>
        <v>2013-09-01</v>
      </c>
      <c r="M338" s="11" t="s">
        <v>62</v>
      </c>
      <c r="N338" s="11">
        <v>0</v>
      </c>
      <c r="O338" s="9">
        <v>41532</v>
      </c>
      <c r="P338" s="13">
        <v>263070</v>
      </c>
    </row>
    <row r="339" spans="1:16" x14ac:dyDescent="0.25">
      <c r="A339" s="19" t="str">
        <f>VLOOKUP(LEFT(M339,3),Category!$G$3:$H$73,2,0)</f>
        <v>HAIR DRYER &amp; STRAIGHTENER</v>
      </c>
      <c r="B339" s="7" t="str">
        <f t="shared" si="47"/>
        <v>IB-SD38Y-N</v>
      </c>
      <c r="C339" s="7" t="str">
        <f t="shared" si="48"/>
        <v>Hair Dryer . Nozzle Concentrator . Diffuser . 1200 Watt</v>
      </c>
      <c r="D339" s="25" t="str">
        <f t="shared" si="49"/>
        <v>2019-03-01</v>
      </c>
      <c r="E339" s="7">
        <f t="shared" si="50"/>
        <v>327450</v>
      </c>
      <c r="F339" s="6">
        <f t="shared" si="51"/>
        <v>0</v>
      </c>
      <c r="G339" s="7" t="str">
        <f t="shared" si="52"/>
        <v/>
      </c>
      <c r="I339" s="23">
        <f t="shared" si="53"/>
        <v>2019</v>
      </c>
      <c r="J339" s="23" t="str">
        <f t="shared" si="54"/>
        <v>03</v>
      </c>
      <c r="K339" s="23" t="str">
        <f t="shared" si="55"/>
        <v>2019-03-01</v>
      </c>
      <c r="M339" s="11" t="s">
        <v>166</v>
      </c>
      <c r="N339" s="11" t="s">
        <v>955</v>
      </c>
      <c r="O339" s="9">
        <v>43525</v>
      </c>
      <c r="P339" s="13">
        <v>327450</v>
      </c>
    </row>
    <row r="340" spans="1:16" x14ac:dyDescent="0.25">
      <c r="A340" s="19" t="str">
        <f>VLOOKUP(LEFT(M340,3),Category!$G$3:$H$73,2,0)</f>
        <v>HAIR DRYER &amp; STRAIGHTENER</v>
      </c>
      <c r="B340" s="7" t="str">
        <f t="shared" si="47"/>
        <v>IB-SS38Y-N</v>
      </c>
      <c r="C340" s="7" t="str">
        <f t="shared" si="48"/>
        <v>Hair Straightener . LED Display . Handle Lock . 32 Watt</v>
      </c>
      <c r="D340" s="25" t="str">
        <f t="shared" si="49"/>
        <v>2019-03-01</v>
      </c>
      <c r="E340" s="7">
        <f t="shared" si="50"/>
        <v>364080</v>
      </c>
      <c r="F340" s="6">
        <f t="shared" si="51"/>
        <v>0</v>
      </c>
      <c r="G340" s="7" t="str">
        <f t="shared" si="52"/>
        <v/>
      </c>
      <c r="I340" s="23">
        <f t="shared" si="53"/>
        <v>2019</v>
      </c>
      <c r="J340" s="23" t="str">
        <f t="shared" si="54"/>
        <v>03</v>
      </c>
      <c r="K340" s="23" t="str">
        <f t="shared" si="55"/>
        <v>2019-03-01</v>
      </c>
      <c r="M340" s="11" t="s">
        <v>167</v>
      </c>
      <c r="N340" s="11" t="s">
        <v>956</v>
      </c>
      <c r="O340" s="9">
        <v>43525</v>
      </c>
      <c r="P340" s="13">
        <v>364080</v>
      </c>
    </row>
    <row r="341" spans="1:16" x14ac:dyDescent="0.25">
      <c r="A341" s="19" t="str">
        <f>VLOOKUP(LEFT(M341,3),Category!$G$3:$H$73,2,0)</f>
        <v>HAIR DRYER &amp; STRAIGHTENER</v>
      </c>
      <c r="B341" s="7" t="str">
        <f t="shared" si="47"/>
        <v>IB-SS53Y-P</v>
      </c>
      <c r="C341" s="7" t="str">
        <f t="shared" si="48"/>
        <v/>
      </c>
      <c r="D341" s="25" t="str">
        <f t="shared" si="49"/>
        <v>2013-09-01</v>
      </c>
      <c r="E341" s="7">
        <f t="shared" si="50"/>
        <v>335220</v>
      </c>
      <c r="F341" s="6">
        <f t="shared" si="51"/>
        <v>0</v>
      </c>
      <c r="G341" s="7" t="str">
        <f t="shared" si="52"/>
        <v/>
      </c>
      <c r="I341" s="23">
        <f t="shared" si="53"/>
        <v>2013</v>
      </c>
      <c r="J341" s="23" t="str">
        <f t="shared" si="54"/>
        <v>09</v>
      </c>
      <c r="K341" s="23" t="str">
        <f t="shared" si="55"/>
        <v>2013-09-01</v>
      </c>
      <c r="M341" s="11" t="s">
        <v>63</v>
      </c>
      <c r="N341" s="11">
        <v>0</v>
      </c>
      <c r="O341" s="9">
        <v>41532</v>
      </c>
      <c r="P341" s="13">
        <v>335220</v>
      </c>
    </row>
    <row r="342" spans="1:16" x14ac:dyDescent="0.25">
      <c r="A342" s="19" t="str">
        <f>VLOOKUP(LEFT(M342,3),Category!$G$3:$H$73,2,0)</f>
        <v>HAIR DRYER &amp; STRAIGHTENER</v>
      </c>
      <c r="B342" s="7" t="str">
        <f t="shared" si="47"/>
        <v>IB-SS58Y-N</v>
      </c>
      <c r="C342" s="7" t="str">
        <f t="shared" si="48"/>
        <v>Hair Straightener . LCD Display . Handle Lock . 40 - 44 Watt</v>
      </c>
      <c r="D342" s="25" t="str">
        <f t="shared" si="49"/>
        <v>2019-03-01</v>
      </c>
      <c r="E342" s="7">
        <f t="shared" si="50"/>
        <v>421800</v>
      </c>
      <c r="F342" s="6">
        <f t="shared" si="51"/>
        <v>0</v>
      </c>
      <c r="G342" s="7" t="str">
        <f t="shared" si="52"/>
        <v/>
      </c>
      <c r="I342" s="23">
        <f t="shared" si="53"/>
        <v>2019</v>
      </c>
      <c r="J342" s="23" t="str">
        <f t="shared" si="54"/>
        <v>03</v>
      </c>
      <c r="K342" s="23" t="str">
        <f t="shared" si="55"/>
        <v>2019-03-01</v>
      </c>
      <c r="M342" s="11" t="s">
        <v>168</v>
      </c>
      <c r="N342" s="11" t="s">
        <v>957</v>
      </c>
      <c r="O342" s="9">
        <v>43525</v>
      </c>
      <c r="P342" s="13">
        <v>421800</v>
      </c>
    </row>
    <row r="343" spans="1:16" x14ac:dyDescent="0.25">
      <c r="A343" s="19" t="str">
        <f>VLOOKUP(LEFT(M343,3),Category!$G$3:$H$73,2,0)</f>
        <v>AIR PURIFIER</v>
      </c>
      <c r="B343" s="7" t="str">
        <f t="shared" si="47"/>
        <v>IG-GC2Y-B</v>
      </c>
      <c r="C343" s="7" t="str">
        <f t="shared" si="48"/>
        <v>Coverage Area 3.6 m?, PCI HD 25,000, Dual USB Port, Dual Usage (car or office/home usage), Micro Particle Pre-Filter, Turbo Function (30% faster Odor elimination).</v>
      </c>
      <c r="D343" s="25" t="str">
        <f t="shared" si="49"/>
        <v>2015-07-01</v>
      </c>
      <c r="E343" s="7">
        <f t="shared" si="50"/>
        <v>1438560</v>
      </c>
      <c r="F343" s="6">
        <f t="shared" si="51"/>
        <v>0</v>
      </c>
      <c r="G343" s="7" t="str">
        <f t="shared" si="52"/>
        <v/>
      </c>
      <c r="I343" s="23">
        <f t="shared" si="53"/>
        <v>2015</v>
      </c>
      <c r="J343" s="23" t="str">
        <f t="shared" si="54"/>
        <v>07</v>
      </c>
      <c r="K343" s="23" t="str">
        <f t="shared" si="55"/>
        <v>2015-07-01</v>
      </c>
      <c r="M343" s="11" t="s">
        <v>71</v>
      </c>
      <c r="N343" s="11" t="s">
        <v>958</v>
      </c>
      <c r="O343" s="9">
        <v>42200</v>
      </c>
      <c r="P343" s="13">
        <v>1438560</v>
      </c>
    </row>
    <row r="344" spans="1:16" x14ac:dyDescent="0.25">
      <c r="A344" s="19" t="str">
        <f>VLOOKUP(LEFT(M344,3),Category!$G$3:$H$73,2,0)</f>
        <v>AIR PURIFIER</v>
      </c>
      <c r="B344" s="7" t="str">
        <f t="shared" si="47"/>
        <v>IG-GC2Y-N</v>
      </c>
      <c r="C344" s="7" t="str">
        <f t="shared" si="48"/>
        <v>Coverage Area 3.6 m?, PCI HD 25,000, Dual USB Port, Dual Usage (car or office/home usage), Micro Particle Pre-Filter, Turbo Function (30% faster Odor elimination).</v>
      </c>
      <c r="D344" s="25" t="str">
        <f t="shared" si="49"/>
        <v>2015-07-01</v>
      </c>
      <c r="E344" s="7">
        <f t="shared" si="50"/>
        <v>1438560</v>
      </c>
      <c r="F344" s="6">
        <f t="shared" si="51"/>
        <v>0</v>
      </c>
      <c r="G344" s="7" t="str">
        <f t="shared" si="52"/>
        <v/>
      </c>
      <c r="I344" s="23">
        <f t="shared" si="53"/>
        <v>2015</v>
      </c>
      <c r="J344" s="23" t="str">
        <f t="shared" si="54"/>
        <v>07</v>
      </c>
      <c r="K344" s="23" t="str">
        <f t="shared" si="55"/>
        <v>2015-07-01</v>
      </c>
      <c r="M344" s="11" t="s">
        <v>72</v>
      </c>
      <c r="N344" s="11" t="s">
        <v>958</v>
      </c>
      <c r="O344" s="9">
        <v>42200</v>
      </c>
      <c r="P344" s="13">
        <v>1438560</v>
      </c>
    </row>
    <row r="345" spans="1:16" x14ac:dyDescent="0.25">
      <c r="A345" s="19" t="str">
        <f>VLOOKUP(LEFT(M345,3),Category!$G$3:$H$73,2,0)</f>
        <v>AIR PURIFIER</v>
      </c>
      <c r="B345" s="7" t="str">
        <f t="shared" si="47"/>
        <v>IG-GC2Y-P</v>
      </c>
      <c r="C345" s="7" t="str">
        <f t="shared" si="48"/>
        <v>Coverage Area 3.6 m?, PCI HD 25,000, Dual USB Port, Dual Usage (car or office/home usage), Micro Particle Pre-Filter, Turbo Function (30% faster Odor elimination).</v>
      </c>
      <c r="D345" s="25" t="str">
        <f t="shared" si="49"/>
        <v>2015-07-01</v>
      </c>
      <c r="E345" s="7">
        <f t="shared" si="50"/>
        <v>1438560</v>
      </c>
      <c r="F345" s="6">
        <f t="shared" si="51"/>
        <v>0</v>
      </c>
      <c r="G345" s="7" t="str">
        <f t="shared" si="52"/>
        <v/>
      </c>
      <c r="I345" s="23">
        <f t="shared" si="53"/>
        <v>2015</v>
      </c>
      <c r="J345" s="23" t="str">
        <f t="shared" si="54"/>
        <v>07</v>
      </c>
      <c r="K345" s="23" t="str">
        <f t="shared" si="55"/>
        <v>2015-07-01</v>
      </c>
      <c r="M345" s="11" t="s">
        <v>73</v>
      </c>
      <c r="N345" s="11" t="s">
        <v>958</v>
      </c>
      <c r="O345" s="9">
        <v>42200</v>
      </c>
      <c r="P345" s="13">
        <v>1438560</v>
      </c>
    </row>
    <row r="346" spans="1:16" x14ac:dyDescent="0.25">
      <c r="A346" s="19" t="str">
        <f>VLOOKUP(LEFT(M346,3),Category!$G$3:$H$73,2,0)</f>
        <v>AIR PURIFIER</v>
      </c>
      <c r="B346" s="7" t="str">
        <f t="shared" si="47"/>
        <v>IG-NX2Y-A</v>
      </c>
      <c r="C346" s="7" t="str">
        <f t="shared" si="48"/>
        <v>Coverage Area 3.6 m, PCI HD NEXT 90,000 ,Dual USB Port, Dual Usage (Car or Office/Home Usage), Micro Particle Pre-Filter, Turbo Function - Quick Clean (30% faster Odor elimination)</v>
      </c>
      <c r="D346" s="25" t="str">
        <f t="shared" si="49"/>
        <v>2021-08-01</v>
      </c>
      <c r="E346" s="7">
        <f t="shared" si="50"/>
        <v>1538460</v>
      </c>
      <c r="F346" s="6">
        <f t="shared" si="51"/>
        <v>0</v>
      </c>
      <c r="G346" s="7" t="str">
        <f t="shared" si="52"/>
        <v/>
      </c>
      <c r="I346" s="23">
        <f t="shared" si="53"/>
        <v>2021</v>
      </c>
      <c r="J346" s="23" t="str">
        <f t="shared" si="54"/>
        <v>08</v>
      </c>
      <c r="K346" s="23" t="str">
        <f t="shared" si="55"/>
        <v>2021-08-01</v>
      </c>
      <c r="M346" s="11" t="s">
        <v>415</v>
      </c>
      <c r="N346" s="11" t="s">
        <v>959</v>
      </c>
      <c r="O346" s="9">
        <v>44409</v>
      </c>
      <c r="P346" s="13">
        <v>1538460</v>
      </c>
    </row>
    <row r="347" spans="1:16" x14ac:dyDescent="0.25">
      <c r="A347" s="19" t="str">
        <f>VLOOKUP(LEFT(M347,3),Category!$G$3:$H$73,2,0)</f>
        <v>AIR PURIFIER</v>
      </c>
      <c r="B347" s="7" t="str">
        <f t="shared" si="47"/>
        <v>IG-NX2Y-B</v>
      </c>
      <c r="C347" s="7" t="str">
        <f t="shared" si="48"/>
        <v>Coverage Area 3.6 m, PCI HD NEXT 90,000 ,Dual USB Port, Dual Usage (Car or Office/Home Usage), Micro Particle Pre-Filter, Turbo Function - Quick Clean (30% faster Odor elimination)</v>
      </c>
      <c r="D347" s="25" t="str">
        <f t="shared" si="49"/>
        <v>2021-08-01</v>
      </c>
      <c r="E347" s="7">
        <f t="shared" si="50"/>
        <v>1538460</v>
      </c>
      <c r="F347" s="6">
        <f t="shared" si="51"/>
        <v>0</v>
      </c>
      <c r="G347" s="7" t="str">
        <f t="shared" si="52"/>
        <v/>
      </c>
      <c r="I347" s="23">
        <f t="shared" si="53"/>
        <v>2021</v>
      </c>
      <c r="J347" s="23" t="str">
        <f t="shared" si="54"/>
        <v>08</v>
      </c>
      <c r="K347" s="23" t="str">
        <f t="shared" si="55"/>
        <v>2021-08-01</v>
      </c>
      <c r="M347" s="11" t="s">
        <v>416</v>
      </c>
      <c r="N347" s="11" t="s">
        <v>959</v>
      </c>
      <c r="O347" s="9">
        <v>44409</v>
      </c>
      <c r="P347" s="13">
        <v>1538460</v>
      </c>
    </row>
    <row r="348" spans="1:16" x14ac:dyDescent="0.25">
      <c r="A348" s="19" t="str">
        <f>VLOOKUP(LEFT(M348,3),Category!$G$3:$H$73,2,0)</f>
        <v>AIR PURIFIER</v>
      </c>
      <c r="B348" s="7" t="str">
        <f t="shared" si="47"/>
        <v>IG-NX2Y-W</v>
      </c>
      <c r="C348" s="7" t="str">
        <f t="shared" si="48"/>
        <v>Coverage Area 3.6 m, PCI HD NEXT 90,000 ,Dual USB Port, Dual Usage (Car or Office/Home Usage), Micro Particle Pre-Filter, Turbo Function - Quick Clean (30% faster Odor elimination)</v>
      </c>
      <c r="D348" s="25" t="str">
        <f t="shared" si="49"/>
        <v>2021-08-01</v>
      </c>
      <c r="E348" s="7">
        <f t="shared" si="50"/>
        <v>1538460</v>
      </c>
      <c r="F348" s="6">
        <f t="shared" si="51"/>
        <v>0</v>
      </c>
      <c r="G348" s="7" t="str">
        <f t="shared" si="52"/>
        <v/>
      </c>
      <c r="I348" s="23">
        <f t="shared" si="53"/>
        <v>2021</v>
      </c>
      <c r="J348" s="23" t="str">
        <f t="shared" si="54"/>
        <v>08</v>
      </c>
      <c r="K348" s="23" t="str">
        <f t="shared" si="55"/>
        <v>2021-08-01</v>
      </c>
      <c r="M348" s="11" t="s">
        <v>417</v>
      </c>
      <c r="N348" s="11" t="s">
        <v>959</v>
      </c>
      <c r="O348" s="9">
        <v>44409</v>
      </c>
      <c r="P348" s="13">
        <v>1538460</v>
      </c>
    </row>
    <row r="349" spans="1:16" x14ac:dyDescent="0.25">
      <c r="A349" s="19" t="str">
        <f>VLOOKUP(LEFT(M349,3),Category!$G$3:$H$73,2,0)</f>
        <v>AIR PURIFIER</v>
      </c>
      <c r="B349" s="7" t="str">
        <f t="shared" si="47"/>
        <v>KC-F30Y-W</v>
      </c>
      <c r="C349" s="7" t="str">
        <f t="shared" si="48"/>
        <v>PCI HD 7000, TEMP/HUMIDIFY &amp; DUST SENSOR, EASY WATER TANK IN WATER SUPPLY (1.5 L CAPACITY),PREFILTER,DUST,DEODORIZING,HUMIDIFY  FILTER,INDIKATOR LIGHT DUST SENSOR,AUTO RESTART,SPECIAL MODE HAZE,PCI &amp; ANTIDUST,SLEEP MODE, COVERAGE AREA 21m2</v>
      </c>
      <c r="D349" s="25" t="str">
        <f t="shared" si="49"/>
        <v>2016-05-01</v>
      </c>
      <c r="E349" s="7">
        <f t="shared" si="50"/>
        <v>2507490</v>
      </c>
      <c r="F349" s="6">
        <f t="shared" si="51"/>
        <v>0</v>
      </c>
      <c r="G349" s="7" t="str">
        <f t="shared" si="52"/>
        <v/>
      </c>
      <c r="I349" s="23">
        <f t="shared" si="53"/>
        <v>2016</v>
      </c>
      <c r="J349" s="23" t="str">
        <f t="shared" si="54"/>
        <v>05</v>
      </c>
      <c r="K349" s="23" t="str">
        <f t="shared" si="55"/>
        <v>2016-05-01</v>
      </c>
      <c r="M349" s="11" t="s">
        <v>249</v>
      </c>
      <c r="N349" s="11" t="s">
        <v>960</v>
      </c>
      <c r="O349" s="9">
        <v>42491</v>
      </c>
      <c r="P349" s="13">
        <v>2507490</v>
      </c>
    </row>
    <row r="350" spans="1:16" x14ac:dyDescent="0.25">
      <c r="A350" s="19" t="str">
        <f>VLOOKUP(LEFT(M350,3),Category!$G$3:$H$73,2,0)</f>
        <v>AIR PURIFIER</v>
      </c>
      <c r="B350" s="7" t="str">
        <f t="shared" si="47"/>
        <v>KC-G40Y-H</v>
      </c>
      <c r="C350" s="7" t="str">
        <f t="shared" si="48"/>
        <v>Coverage Area 28 m², PCI HD 7000,sleep mode function,10 years lifetime filter,timer function,PCI Spot mode,Humidifier function</v>
      </c>
      <c r="D350" s="25" t="str">
        <f t="shared" si="49"/>
        <v>2020-12-01</v>
      </c>
      <c r="E350" s="7">
        <f t="shared" si="50"/>
        <v>4743030</v>
      </c>
      <c r="F350" s="6">
        <f t="shared" si="51"/>
        <v>0</v>
      </c>
      <c r="G350" s="7" t="str">
        <f t="shared" si="52"/>
        <v/>
      </c>
      <c r="I350" s="23">
        <f t="shared" si="53"/>
        <v>2020</v>
      </c>
      <c r="J350" s="23">
        <f t="shared" si="54"/>
        <v>12</v>
      </c>
      <c r="K350" s="23" t="str">
        <f t="shared" si="55"/>
        <v>2020-12-01</v>
      </c>
      <c r="M350" s="11" t="s">
        <v>508</v>
      </c>
      <c r="N350" s="11" t="s">
        <v>961</v>
      </c>
      <c r="O350" s="9">
        <v>44166</v>
      </c>
      <c r="P350" s="13">
        <v>4743030</v>
      </c>
    </row>
    <row r="351" spans="1:16" x14ac:dyDescent="0.25">
      <c r="A351" s="19" t="str">
        <f>VLOOKUP(LEFT(M351,3),Category!$G$3:$H$73,2,0)</f>
        <v>AIR PURIFIER</v>
      </c>
      <c r="B351" s="7" t="str">
        <f t="shared" si="47"/>
        <v>KC-G40Y-W</v>
      </c>
      <c r="C351" s="7" t="str">
        <f t="shared" si="48"/>
        <v>Coverage Area 28 m², PCI HD 7000,sleep mode function,10 years lifetime filter,timer function,PCI Spot mode,Humidifier function</v>
      </c>
      <c r="D351" s="25" t="str">
        <f t="shared" si="49"/>
        <v>2020-12-01</v>
      </c>
      <c r="E351" s="7">
        <f t="shared" si="50"/>
        <v>4743030</v>
      </c>
      <c r="F351" s="6">
        <f t="shared" si="51"/>
        <v>0</v>
      </c>
      <c r="G351" s="7" t="str">
        <f t="shared" si="52"/>
        <v/>
      </c>
      <c r="I351" s="23">
        <f t="shared" si="53"/>
        <v>2020</v>
      </c>
      <c r="J351" s="23">
        <f t="shared" si="54"/>
        <v>12</v>
      </c>
      <c r="K351" s="23" t="str">
        <f t="shared" si="55"/>
        <v>2020-12-01</v>
      </c>
      <c r="M351" s="11" t="s">
        <v>509</v>
      </c>
      <c r="N351" s="11" t="s">
        <v>961</v>
      </c>
      <c r="O351" s="9">
        <v>44166</v>
      </c>
      <c r="P351" s="13">
        <v>4743030</v>
      </c>
    </row>
    <row r="352" spans="1:16" x14ac:dyDescent="0.25">
      <c r="A352" s="19" t="str">
        <f>VLOOKUP(LEFT(M352,3),Category!$G$3:$H$73,2,0)</f>
        <v>AIR PURIFIER</v>
      </c>
      <c r="B352" s="7" t="str">
        <f t="shared" si="47"/>
        <v>KC-G50Y-W</v>
      </c>
      <c r="C352" s="7" t="str">
        <f t="shared" si="48"/>
        <v>Coverage area 38m2, pre-filter + HEPA+ Deodorizing +Humadity Filter (Lifetime up to 10 years),7 detection, spot mode</v>
      </c>
      <c r="D352" s="25" t="str">
        <f t="shared" si="49"/>
        <v>2017-08-01</v>
      </c>
      <c r="E352" s="7">
        <f t="shared" si="50"/>
        <v>5905200</v>
      </c>
      <c r="F352" s="6">
        <f t="shared" si="51"/>
        <v>0</v>
      </c>
      <c r="G352" s="7" t="str">
        <f t="shared" si="52"/>
        <v/>
      </c>
      <c r="I352" s="23">
        <f t="shared" si="53"/>
        <v>2017</v>
      </c>
      <c r="J352" s="23" t="str">
        <f t="shared" si="54"/>
        <v>08</v>
      </c>
      <c r="K352" s="23" t="str">
        <f t="shared" si="55"/>
        <v>2017-08-01</v>
      </c>
      <c r="M352" s="11" t="s">
        <v>382</v>
      </c>
      <c r="N352" s="11" t="s">
        <v>962</v>
      </c>
      <c r="O352" s="9">
        <v>42948</v>
      </c>
      <c r="P352" s="13">
        <v>5905200</v>
      </c>
    </row>
    <row r="353" spans="1:16" x14ac:dyDescent="0.25">
      <c r="A353" s="19" t="str">
        <f>VLOOKUP(LEFT(M353,3),Category!$G$3:$H$73,2,0)</f>
        <v>WASHING MACHINE</v>
      </c>
      <c r="B353" s="7" t="str">
        <f t="shared" si="47"/>
        <v>KD-HP901B</v>
      </c>
      <c r="C353" s="7" t="str">
        <f t="shared" si="48"/>
        <v>Capacity 9 Kg, LED Touch Display, 15 Dry Program, Child Lock, Wave Cabinet, Bubble Drum</v>
      </c>
      <c r="D353" s="25" t="str">
        <f t="shared" si="49"/>
        <v>2020-11-01</v>
      </c>
      <c r="E353" s="7">
        <f t="shared" si="50"/>
        <v>9700290</v>
      </c>
      <c r="F353" s="6">
        <f t="shared" si="51"/>
        <v>0</v>
      </c>
      <c r="G353" s="7" t="str">
        <f t="shared" si="52"/>
        <v/>
      </c>
      <c r="I353" s="23">
        <f t="shared" si="53"/>
        <v>2020</v>
      </c>
      <c r="J353" s="23">
        <f t="shared" si="54"/>
        <v>11</v>
      </c>
      <c r="K353" s="23" t="str">
        <f t="shared" si="55"/>
        <v>2020-11-01</v>
      </c>
      <c r="M353" s="11" t="s">
        <v>488</v>
      </c>
      <c r="N353" s="11" t="s">
        <v>963</v>
      </c>
      <c r="O353" s="9">
        <v>44136</v>
      </c>
      <c r="P353" s="13">
        <v>9700290</v>
      </c>
    </row>
    <row r="354" spans="1:16" x14ac:dyDescent="0.25">
      <c r="A354" s="19" t="str">
        <f>VLOOKUP(LEFT(M354,3),Category!$G$3:$H$73,2,0)</f>
        <v>AIR FRIER</v>
      </c>
      <c r="B354" s="7" t="str">
        <f t="shared" si="47"/>
        <v>KF-DP52BK</v>
      </c>
      <c r="C354" s="7" t="str">
        <f t="shared" si="48"/>
        <v>Air Fryer Digital 5.2L, Temperature Up To 200OC, 1525W</v>
      </c>
      <c r="D354" s="25" t="str">
        <f t="shared" si="49"/>
        <v>2001-11-01</v>
      </c>
      <c r="E354" s="7">
        <f t="shared" si="50"/>
        <v>1206570</v>
      </c>
      <c r="F354" s="6">
        <f t="shared" si="51"/>
        <v>0</v>
      </c>
      <c r="G354" s="7" t="str">
        <f t="shared" si="52"/>
        <v/>
      </c>
      <c r="I354" s="23">
        <f t="shared" si="53"/>
        <v>2001</v>
      </c>
      <c r="J354" s="23">
        <f t="shared" si="54"/>
        <v>11</v>
      </c>
      <c r="K354" s="23" t="str">
        <f t="shared" si="55"/>
        <v>2001-11-01</v>
      </c>
      <c r="M354" s="11" t="s">
        <v>673</v>
      </c>
      <c r="N354" s="11" t="s">
        <v>964</v>
      </c>
      <c r="O354" s="9">
        <v>44866</v>
      </c>
      <c r="P354" s="13">
        <v>1206570</v>
      </c>
    </row>
    <row r="355" spans="1:16" x14ac:dyDescent="0.25">
      <c r="A355" s="19" t="str">
        <f>VLOOKUP(LEFT(M355,3),Category!$G$3:$H$73,2,0)</f>
        <v>AIR FRIER</v>
      </c>
      <c r="B355" s="7" t="str">
        <f t="shared" si="47"/>
        <v>KF-DP55BK</v>
      </c>
      <c r="C355" s="7" t="str">
        <f t="shared" si="48"/>
        <v>Air Fryer Digital 5.5L, Temperature Up To 200OC, 1550W</v>
      </c>
      <c r="D355" s="25" t="str">
        <f t="shared" si="49"/>
        <v>2001-11-01</v>
      </c>
      <c r="E355" s="7">
        <f t="shared" si="50"/>
        <v>1143300</v>
      </c>
      <c r="F355" s="6">
        <f t="shared" si="51"/>
        <v>0</v>
      </c>
      <c r="G355" s="7" t="str">
        <f t="shared" si="52"/>
        <v/>
      </c>
      <c r="I355" s="23">
        <f t="shared" si="53"/>
        <v>2001</v>
      </c>
      <c r="J355" s="23">
        <f t="shared" si="54"/>
        <v>11</v>
      </c>
      <c r="K355" s="23" t="str">
        <f t="shared" si="55"/>
        <v>2001-11-01</v>
      </c>
      <c r="M355" s="11" t="s">
        <v>674</v>
      </c>
      <c r="N355" s="11" t="s">
        <v>965</v>
      </c>
      <c r="O355" s="9">
        <v>44866</v>
      </c>
      <c r="P355" s="13">
        <v>1143300</v>
      </c>
    </row>
    <row r="356" spans="1:16" x14ac:dyDescent="0.25">
      <c r="A356" s="19" t="str">
        <f>VLOOKUP(LEFT(M356,3),Category!$G$3:$H$73,2,0)</f>
        <v>AIR FRIER</v>
      </c>
      <c r="B356" s="7" t="str">
        <f t="shared" si="47"/>
        <v>KF-DP55BL</v>
      </c>
      <c r="C356" s="7" t="str">
        <f t="shared" si="48"/>
        <v>Air Fryer Digital 5.5L, Temperature Up To 200OC, 1550W</v>
      </c>
      <c r="D356" s="25" t="str">
        <f t="shared" si="49"/>
        <v>2001-11-01</v>
      </c>
      <c r="E356" s="7">
        <f t="shared" si="50"/>
        <v>1143300</v>
      </c>
      <c r="F356" s="6">
        <f t="shared" si="51"/>
        <v>0</v>
      </c>
      <c r="G356" s="7" t="str">
        <f t="shared" si="52"/>
        <v/>
      </c>
      <c r="I356" s="23">
        <f t="shared" si="53"/>
        <v>2001</v>
      </c>
      <c r="J356" s="23">
        <f t="shared" si="54"/>
        <v>11</v>
      </c>
      <c r="K356" s="23" t="str">
        <f t="shared" si="55"/>
        <v>2001-11-01</v>
      </c>
      <c r="M356" s="11" t="s">
        <v>675</v>
      </c>
      <c r="N356" s="11" t="s">
        <v>965</v>
      </c>
      <c r="O356" s="9">
        <v>44866</v>
      </c>
      <c r="P356" s="13">
        <v>1143300</v>
      </c>
    </row>
    <row r="357" spans="1:16" x14ac:dyDescent="0.25">
      <c r="A357" s="19" t="str">
        <f>VLOOKUP(LEFT(M357,3),Category!$G$3:$H$73,2,0)</f>
        <v>AIR FRIER</v>
      </c>
      <c r="B357" s="7" t="str">
        <f t="shared" si="47"/>
        <v>KF-ML42BK</v>
      </c>
      <c r="C357" s="7" t="str">
        <f t="shared" si="48"/>
        <v>Air Fryer Mechanical 4.2L, Temperature Up To 200OC, 1225W</v>
      </c>
      <c r="D357" s="25" t="str">
        <f t="shared" si="49"/>
        <v>2001-11-01</v>
      </c>
      <c r="E357" s="7">
        <f t="shared" si="50"/>
        <v>825840</v>
      </c>
      <c r="F357" s="6">
        <f t="shared" si="51"/>
        <v>0</v>
      </c>
      <c r="G357" s="7" t="str">
        <f t="shared" si="52"/>
        <v/>
      </c>
      <c r="I357" s="23">
        <f t="shared" si="53"/>
        <v>2001</v>
      </c>
      <c r="J357" s="23">
        <f t="shared" si="54"/>
        <v>11</v>
      </c>
      <c r="K357" s="23" t="str">
        <f t="shared" si="55"/>
        <v>2001-11-01</v>
      </c>
      <c r="M357" s="11" t="s">
        <v>676</v>
      </c>
      <c r="N357" s="11" t="s">
        <v>966</v>
      </c>
      <c r="O357" s="9">
        <v>44866</v>
      </c>
      <c r="P357" s="13">
        <v>825840</v>
      </c>
    </row>
    <row r="358" spans="1:16" x14ac:dyDescent="0.25">
      <c r="A358" s="19" t="str">
        <f>VLOOKUP(LEFT(M358,3),Category!$G$3:$H$73,2,0)</f>
        <v>AIR FRIER</v>
      </c>
      <c r="B358" s="7" t="str">
        <f t="shared" si="47"/>
        <v>KF-MP42WH</v>
      </c>
      <c r="C358" s="7" t="str">
        <f t="shared" si="48"/>
        <v>Air Fryer Mechanical 4.2L, Temperature Up To 200OC, 1225W</v>
      </c>
      <c r="D358" s="25" t="str">
        <f t="shared" si="49"/>
        <v>2001-11-01</v>
      </c>
      <c r="E358" s="7">
        <f t="shared" si="50"/>
        <v>825840</v>
      </c>
      <c r="F358" s="6">
        <f t="shared" si="51"/>
        <v>0</v>
      </c>
      <c r="G358" s="7" t="str">
        <f t="shared" si="52"/>
        <v/>
      </c>
      <c r="I358" s="23">
        <f t="shared" si="53"/>
        <v>2001</v>
      </c>
      <c r="J358" s="23">
        <f t="shared" si="54"/>
        <v>11</v>
      </c>
      <c r="K358" s="23" t="str">
        <f t="shared" si="55"/>
        <v>2001-11-01</v>
      </c>
      <c r="M358" s="11" t="s">
        <v>677</v>
      </c>
      <c r="N358" s="11" t="s">
        <v>966</v>
      </c>
      <c r="O358" s="9">
        <v>44866</v>
      </c>
      <c r="P358" s="13">
        <v>825840</v>
      </c>
    </row>
    <row r="359" spans="1:16" x14ac:dyDescent="0.25">
      <c r="A359" s="19" t="str">
        <f>VLOOKUP(LEFT(M359,3),Category!$G$3:$H$73,2,0)</f>
        <v>AIR PURIFIER</v>
      </c>
      <c r="B359" s="7" t="str">
        <f t="shared" si="47"/>
        <v>KI-L60Y-W</v>
      </c>
      <c r="C359" s="7" t="str">
        <f t="shared" si="48"/>
        <v>Coverage Area 50 m², PCI HD 25,000, sleep mode function,wifi with AIOT,PCI Spot mode,Humidifier function</v>
      </c>
      <c r="D359" s="25" t="str">
        <f t="shared" si="49"/>
        <v>2021-04-01</v>
      </c>
      <c r="E359" s="7">
        <f t="shared" si="50"/>
        <v>7703400</v>
      </c>
      <c r="F359" s="6">
        <f t="shared" si="51"/>
        <v>0</v>
      </c>
      <c r="G359" s="7" t="str">
        <f t="shared" si="52"/>
        <v/>
      </c>
      <c r="I359" s="23">
        <f t="shared" si="53"/>
        <v>2021</v>
      </c>
      <c r="J359" s="23" t="str">
        <f t="shared" si="54"/>
        <v>04</v>
      </c>
      <c r="K359" s="23" t="str">
        <f t="shared" si="55"/>
        <v>2021-04-01</v>
      </c>
      <c r="M359" s="11" t="s">
        <v>243</v>
      </c>
      <c r="N359" s="11" t="s">
        <v>967</v>
      </c>
      <c r="O359" s="9">
        <v>44287</v>
      </c>
      <c r="P359" s="13">
        <v>7703400</v>
      </c>
    </row>
    <row r="360" spans="1:16" x14ac:dyDescent="0.25">
      <c r="A360" s="19" t="str">
        <f>VLOOKUP(LEFT(M360,3),Category!$G$3:$H$73,2,0)</f>
        <v>AIR PURIFIER</v>
      </c>
      <c r="B360" s="7" t="str">
        <f t="shared" si="47"/>
        <v>KI-L80Y-T</v>
      </c>
      <c r="C360" s="7" t="str">
        <f t="shared" si="48"/>
        <v>Coverage Area 62 m², PCI HD 25,000, Automatic pre-filter cleaning,wifi with AIOT,PCI spot mode,Humidifier function</v>
      </c>
      <c r="D360" s="25" t="str">
        <f t="shared" si="49"/>
        <v>2021-04-01</v>
      </c>
      <c r="E360" s="7">
        <f t="shared" si="50"/>
        <v>9170820</v>
      </c>
      <c r="F360" s="6">
        <f t="shared" si="51"/>
        <v>0</v>
      </c>
      <c r="G360" s="7" t="str">
        <f t="shared" si="52"/>
        <v/>
      </c>
      <c r="I360" s="23">
        <f t="shared" si="53"/>
        <v>2021</v>
      </c>
      <c r="J360" s="23" t="str">
        <f t="shared" si="54"/>
        <v>04</v>
      </c>
      <c r="K360" s="23" t="str">
        <f t="shared" si="55"/>
        <v>2021-04-01</v>
      </c>
      <c r="M360" s="11" t="s">
        <v>244</v>
      </c>
      <c r="N360" s="11" t="s">
        <v>968</v>
      </c>
      <c r="O360" s="9">
        <v>44287</v>
      </c>
      <c r="P360" s="13">
        <v>9170820</v>
      </c>
    </row>
    <row r="361" spans="1:16" x14ac:dyDescent="0.25">
      <c r="A361" s="19" t="str">
        <f>VLOOKUP(LEFT(M361,3),Category!$G$3:$H$73,2,0)</f>
        <v>HEALSIO COOKWARE</v>
      </c>
      <c r="B361" s="7" t="str">
        <f t="shared" si="47"/>
        <v>KN-H24INA</v>
      </c>
      <c r="C361" s="7" t="str">
        <f t="shared" si="48"/>
        <v>Capacity 2.4 L, Power consumption 800 W</v>
      </c>
      <c r="D361" s="25" t="str">
        <f t="shared" si="49"/>
        <v>2017-07-01</v>
      </c>
      <c r="E361" s="7">
        <f t="shared" si="50"/>
        <v>6046170</v>
      </c>
      <c r="F361" s="6">
        <f t="shared" si="51"/>
        <v>0</v>
      </c>
      <c r="G361" s="7" t="str">
        <f t="shared" si="52"/>
        <v/>
      </c>
      <c r="I361" s="23">
        <f t="shared" si="53"/>
        <v>2017</v>
      </c>
      <c r="J361" s="23" t="str">
        <f t="shared" si="54"/>
        <v>07</v>
      </c>
      <c r="K361" s="23" t="str">
        <f t="shared" si="55"/>
        <v>2017-07-01</v>
      </c>
      <c r="M361" s="11" t="s">
        <v>344</v>
      </c>
      <c r="N361" s="11" t="s">
        <v>969</v>
      </c>
      <c r="O361" s="9">
        <v>42917</v>
      </c>
      <c r="P361" s="13">
        <v>6046170</v>
      </c>
    </row>
    <row r="362" spans="1:16" x14ac:dyDescent="0.25">
      <c r="A362" s="19" t="str">
        <f>VLOOKUP(LEFT(M362,3),Category!$G$3:$H$73,2,0)</f>
        <v>RICE COOKER</v>
      </c>
      <c r="B362" s="7" t="str">
        <f t="shared" si="47"/>
        <v>KS-A18TTR</v>
      </c>
      <c r="C362" s="7" t="str">
        <f t="shared" si="48"/>
        <v>Rice Cooker 1.8lt</v>
      </c>
      <c r="D362" s="25" t="str">
        <f t="shared" si="49"/>
        <v>1900-01-01</v>
      </c>
      <c r="E362" s="7">
        <f t="shared" si="50"/>
        <v>607170</v>
      </c>
      <c r="F362" s="6">
        <f t="shared" si="51"/>
        <v>0</v>
      </c>
      <c r="G362" s="7" t="str">
        <f t="shared" si="52"/>
        <v/>
      </c>
      <c r="I362" s="23">
        <f t="shared" si="53"/>
        <v>1900</v>
      </c>
      <c r="J362" s="23" t="str">
        <f t="shared" si="54"/>
        <v>01</v>
      </c>
      <c r="K362" s="23" t="str">
        <f t="shared" si="55"/>
        <v>1900-01-01</v>
      </c>
      <c r="M362" s="11" t="s">
        <v>524</v>
      </c>
      <c r="N362" s="11" t="s">
        <v>970</v>
      </c>
      <c r="P362" s="13">
        <v>607170</v>
      </c>
    </row>
    <row r="363" spans="1:16" x14ac:dyDescent="0.25">
      <c r="A363" s="19" t="str">
        <f>VLOOKUP(LEFT(M363,3),Category!$G$3:$H$73,2,0)</f>
        <v>RICE COOKER</v>
      </c>
      <c r="B363" s="7" t="str">
        <f t="shared" si="47"/>
        <v>KS-FR18ND-BR</v>
      </c>
      <c r="C363" s="7" t="str">
        <f t="shared" si="48"/>
        <v>Mechanical Rice Cooker - 1.8 Liter - Cook, Keep Warm &amp; Steam</v>
      </c>
      <c r="D363" s="25" t="str">
        <f t="shared" si="49"/>
        <v>2020-10-01</v>
      </c>
      <c r="E363" s="7">
        <f t="shared" si="50"/>
        <v>368520</v>
      </c>
      <c r="F363" s="6">
        <f t="shared" si="51"/>
        <v>0</v>
      </c>
      <c r="G363" s="7" t="str">
        <f t="shared" si="52"/>
        <v/>
      </c>
      <c r="I363" s="23">
        <f t="shared" si="53"/>
        <v>2020</v>
      </c>
      <c r="J363" s="23">
        <f t="shared" si="54"/>
        <v>10</v>
      </c>
      <c r="K363" s="23" t="str">
        <f t="shared" si="55"/>
        <v>2020-10-01</v>
      </c>
      <c r="M363" s="11" t="s">
        <v>463</v>
      </c>
      <c r="N363" s="11" t="s">
        <v>971</v>
      </c>
      <c r="O363" s="9">
        <v>44105</v>
      </c>
      <c r="P363" s="13">
        <v>368520</v>
      </c>
    </row>
    <row r="364" spans="1:16" x14ac:dyDescent="0.25">
      <c r="A364" s="19" t="str">
        <f>VLOOKUP(LEFT(M364,3),Category!$G$3:$H$73,2,0)</f>
        <v>RICE COOKER</v>
      </c>
      <c r="B364" s="7" t="str">
        <f t="shared" si="47"/>
        <v>KS-FR18ND-PK</v>
      </c>
      <c r="C364" s="7" t="str">
        <f t="shared" si="48"/>
        <v>Mechanical Rice Cooker - 1.8 Liter - Cook, Keep Warm &amp; Steam</v>
      </c>
      <c r="D364" s="25" t="str">
        <f t="shared" si="49"/>
        <v>2020-10-01</v>
      </c>
      <c r="E364" s="7">
        <f t="shared" si="50"/>
        <v>368520</v>
      </c>
      <c r="F364" s="6">
        <f t="shared" si="51"/>
        <v>0</v>
      </c>
      <c r="G364" s="7" t="str">
        <f t="shared" si="52"/>
        <v/>
      </c>
      <c r="I364" s="23">
        <f t="shared" si="53"/>
        <v>2020</v>
      </c>
      <c r="J364" s="23">
        <f t="shared" si="54"/>
        <v>10</v>
      </c>
      <c r="K364" s="23" t="str">
        <f t="shared" si="55"/>
        <v>2020-10-01</v>
      </c>
      <c r="M364" s="11" t="s">
        <v>464</v>
      </c>
      <c r="N364" s="11" t="s">
        <v>971</v>
      </c>
      <c r="O364" s="9">
        <v>44105</v>
      </c>
      <c r="P364" s="13">
        <v>368520</v>
      </c>
    </row>
    <row r="365" spans="1:16" x14ac:dyDescent="0.25">
      <c r="A365" s="19" t="str">
        <f>VLOOKUP(LEFT(M365,3),Category!$G$3:$H$73,2,0)</f>
        <v>RICE COOKER</v>
      </c>
      <c r="B365" s="7" t="str">
        <f t="shared" si="47"/>
        <v>KS-FR18ND-SL</v>
      </c>
      <c r="C365" s="7" t="str">
        <f t="shared" si="48"/>
        <v>Mechanical Rice Cooker - 1.8 Liter - Cook, Keep Warm &amp; Steam</v>
      </c>
      <c r="D365" s="25" t="str">
        <f t="shared" si="49"/>
        <v>2020-10-01</v>
      </c>
      <c r="E365" s="7">
        <f t="shared" si="50"/>
        <v>368520</v>
      </c>
      <c r="F365" s="6">
        <f t="shared" si="51"/>
        <v>0</v>
      </c>
      <c r="G365" s="7" t="str">
        <f t="shared" si="52"/>
        <v/>
      </c>
      <c r="I365" s="23">
        <f t="shared" si="53"/>
        <v>2020</v>
      </c>
      <c r="J365" s="23">
        <f t="shared" si="54"/>
        <v>10</v>
      </c>
      <c r="K365" s="23" t="str">
        <f t="shared" si="55"/>
        <v>2020-10-01</v>
      </c>
      <c r="M365" s="11" t="s">
        <v>465</v>
      </c>
      <c r="N365" s="11" t="s">
        <v>971</v>
      </c>
      <c r="O365" s="9">
        <v>44105</v>
      </c>
      <c r="P365" s="13">
        <v>368520</v>
      </c>
    </row>
    <row r="366" spans="1:16" x14ac:dyDescent="0.25">
      <c r="A366" s="19" t="str">
        <f>VLOOKUP(LEFT(M366,3),Category!$G$3:$H$73,2,0)</f>
        <v>RICE COOKER</v>
      </c>
      <c r="B366" s="7" t="str">
        <f t="shared" si="47"/>
        <v>KS-G18MH-BL</v>
      </c>
      <c r="C366" s="7" t="str">
        <f t="shared" si="48"/>
        <v>Rice Cooker Mechanical 1.8L, 400W</v>
      </c>
      <c r="D366" s="25" t="str">
        <f t="shared" si="49"/>
        <v>2001-10-01</v>
      </c>
      <c r="E366" s="7">
        <f t="shared" si="50"/>
        <v>392940</v>
      </c>
      <c r="F366" s="6">
        <f t="shared" si="51"/>
        <v>0</v>
      </c>
      <c r="G366" s="7" t="str">
        <f t="shared" si="52"/>
        <v/>
      </c>
      <c r="I366" s="23">
        <f t="shared" si="53"/>
        <v>2001</v>
      </c>
      <c r="J366" s="23">
        <f t="shared" si="54"/>
        <v>10</v>
      </c>
      <c r="K366" s="23" t="str">
        <f t="shared" si="55"/>
        <v>2001-10-01</v>
      </c>
      <c r="M366" s="11" t="s">
        <v>678</v>
      </c>
      <c r="N366" s="11" t="s">
        <v>972</v>
      </c>
      <c r="O366" s="9">
        <v>44835</v>
      </c>
      <c r="P366" s="13">
        <v>392940</v>
      </c>
    </row>
    <row r="367" spans="1:16" x14ac:dyDescent="0.25">
      <c r="A367" s="19" t="str">
        <f>VLOOKUP(LEFT(M367,3),Category!$G$3:$H$73,2,0)</f>
        <v>RICE COOKER</v>
      </c>
      <c r="B367" s="7" t="str">
        <f t="shared" si="47"/>
        <v>KS-G18MH-BZ</v>
      </c>
      <c r="C367" s="7" t="str">
        <f t="shared" si="48"/>
        <v>Rice Cooker Mechanical 1.8L, 400W</v>
      </c>
      <c r="D367" s="25" t="str">
        <f t="shared" si="49"/>
        <v>2001-10-01</v>
      </c>
      <c r="E367" s="7">
        <f t="shared" si="50"/>
        <v>392940</v>
      </c>
      <c r="F367" s="6">
        <f t="shared" si="51"/>
        <v>0</v>
      </c>
      <c r="G367" s="7" t="str">
        <f t="shared" si="52"/>
        <v/>
      </c>
      <c r="I367" s="23">
        <f t="shared" si="53"/>
        <v>2001</v>
      </c>
      <c r="J367" s="23">
        <f t="shared" si="54"/>
        <v>10</v>
      </c>
      <c r="K367" s="23" t="str">
        <f t="shared" si="55"/>
        <v>2001-10-01</v>
      </c>
      <c r="M367" s="11" t="s">
        <v>679</v>
      </c>
      <c r="N367" s="11" t="s">
        <v>972</v>
      </c>
      <c r="O367" s="9">
        <v>44835</v>
      </c>
      <c r="P367" s="13">
        <v>392940</v>
      </c>
    </row>
    <row r="368" spans="1:16" x14ac:dyDescent="0.25">
      <c r="A368" s="19" t="str">
        <f>VLOOKUP(LEFT(M368,3),Category!$G$3:$H$73,2,0)</f>
        <v>RICE COOKER</v>
      </c>
      <c r="B368" s="7" t="str">
        <f t="shared" si="47"/>
        <v>KS-G18MP-BL</v>
      </c>
      <c r="C368" s="7" t="str">
        <f t="shared" si="48"/>
        <v>Rice Cooker Mechanical 1.8L, 400W</v>
      </c>
      <c r="D368" s="25" t="str">
        <f t="shared" si="49"/>
        <v>2001-10-01</v>
      </c>
      <c r="E368" s="7">
        <f t="shared" si="50"/>
        <v>392940</v>
      </c>
      <c r="F368" s="6">
        <f t="shared" si="51"/>
        <v>0</v>
      </c>
      <c r="G368" s="7" t="str">
        <f t="shared" si="52"/>
        <v/>
      </c>
      <c r="I368" s="23">
        <f t="shared" si="53"/>
        <v>2001</v>
      </c>
      <c r="J368" s="23">
        <f t="shared" si="54"/>
        <v>10</v>
      </c>
      <c r="K368" s="23" t="str">
        <f t="shared" si="55"/>
        <v>2001-10-01</v>
      </c>
      <c r="M368" s="11" t="s">
        <v>680</v>
      </c>
      <c r="N368" s="11" t="s">
        <v>972</v>
      </c>
      <c r="O368" s="9">
        <v>44835</v>
      </c>
      <c r="P368" s="13">
        <v>392940</v>
      </c>
    </row>
    <row r="369" spans="1:16" x14ac:dyDescent="0.25">
      <c r="A369" s="19" t="str">
        <f>VLOOKUP(LEFT(M369,3),Category!$G$3:$H$73,2,0)</f>
        <v>RICE COOKER</v>
      </c>
      <c r="B369" s="7" t="str">
        <f t="shared" si="47"/>
        <v>KS-G18MP-GR</v>
      </c>
      <c r="C369" s="7" t="str">
        <f t="shared" si="48"/>
        <v>Rice Cooker Mechanical 1.8L, 400W</v>
      </c>
      <c r="D369" s="25" t="str">
        <f t="shared" si="49"/>
        <v>2001-10-01</v>
      </c>
      <c r="E369" s="7">
        <f t="shared" si="50"/>
        <v>392940</v>
      </c>
      <c r="F369" s="6">
        <f t="shared" si="51"/>
        <v>0</v>
      </c>
      <c r="G369" s="7" t="str">
        <f t="shared" si="52"/>
        <v/>
      </c>
      <c r="I369" s="23">
        <f t="shared" si="53"/>
        <v>2001</v>
      </c>
      <c r="J369" s="23">
        <f t="shared" si="54"/>
        <v>10</v>
      </c>
      <c r="K369" s="23" t="str">
        <f t="shared" si="55"/>
        <v>2001-10-01</v>
      </c>
      <c r="M369" s="11" t="s">
        <v>681</v>
      </c>
      <c r="N369" s="11" t="s">
        <v>972</v>
      </c>
      <c r="O369" s="9">
        <v>44835</v>
      </c>
      <c r="P369" s="13">
        <v>392940</v>
      </c>
    </row>
    <row r="370" spans="1:16" x14ac:dyDescent="0.25">
      <c r="A370" s="19" t="str">
        <f>VLOOKUP(LEFT(M370,3),Category!$G$3:$H$73,2,0)</f>
        <v>RICE COOKER</v>
      </c>
      <c r="B370" s="7" t="str">
        <f t="shared" si="47"/>
        <v>KS-G18MP-WT</v>
      </c>
      <c r="C370" s="7" t="str">
        <f t="shared" si="48"/>
        <v>Rice Cooker Mechanical 1.8L, 400W</v>
      </c>
      <c r="D370" s="25" t="str">
        <f t="shared" si="49"/>
        <v>2001-10-01</v>
      </c>
      <c r="E370" s="7">
        <f t="shared" si="50"/>
        <v>392940</v>
      </c>
      <c r="F370" s="6">
        <f t="shared" si="51"/>
        <v>0</v>
      </c>
      <c r="G370" s="7" t="str">
        <f t="shared" si="52"/>
        <v/>
      </c>
      <c r="I370" s="23">
        <f t="shared" si="53"/>
        <v>2001</v>
      </c>
      <c r="J370" s="23">
        <f t="shared" si="54"/>
        <v>10</v>
      </c>
      <c r="K370" s="23" t="str">
        <f t="shared" si="55"/>
        <v>2001-10-01</v>
      </c>
      <c r="M370" s="11" t="s">
        <v>682</v>
      </c>
      <c r="N370" s="11" t="s">
        <v>972</v>
      </c>
      <c r="O370" s="9">
        <v>44835</v>
      </c>
      <c r="P370" s="13">
        <v>392940</v>
      </c>
    </row>
    <row r="371" spans="1:16" x14ac:dyDescent="0.25">
      <c r="A371" s="19" t="str">
        <f>VLOOKUP(LEFT(M371,3),Category!$G$3:$H$73,2,0)</f>
        <v>RICE COOKER</v>
      </c>
      <c r="B371" s="7" t="str">
        <f t="shared" si="47"/>
        <v>KSH-777</v>
      </c>
      <c r="C371" s="7" t="str">
        <f t="shared" si="48"/>
        <v>Capacity 7 liter, Cook and Warm, Power 2,000 Watt (Cook)</v>
      </c>
      <c r="D371" s="25" t="str">
        <f t="shared" si="49"/>
        <v>1900-01-01</v>
      </c>
      <c r="E371" s="7">
        <f t="shared" si="50"/>
        <v>1378620</v>
      </c>
      <c r="F371" s="6">
        <f t="shared" si="51"/>
        <v>0</v>
      </c>
      <c r="G371" s="7" t="str">
        <f t="shared" si="52"/>
        <v/>
      </c>
      <c r="I371" s="23">
        <f t="shared" si="53"/>
        <v>1900</v>
      </c>
      <c r="J371" s="23" t="str">
        <f t="shared" si="54"/>
        <v>01</v>
      </c>
      <c r="K371" s="23" t="str">
        <f t="shared" si="55"/>
        <v>1900-01-01</v>
      </c>
      <c r="M371" s="11" t="s">
        <v>525</v>
      </c>
      <c r="N371" s="11" t="s">
        <v>973</v>
      </c>
      <c r="P371" s="13">
        <v>1378620</v>
      </c>
    </row>
    <row r="372" spans="1:16" x14ac:dyDescent="0.25">
      <c r="A372" s="19" t="str">
        <f>VLOOKUP(LEFT(M372,3),Category!$G$3:$H$73,2,0)</f>
        <v>RICE COOKER</v>
      </c>
      <c r="B372" s="7" t="str">
        <f t="shared" si="47"/>
        <v>KS-N18ME-C</v>
      </c>
      <c r="C372" s="7" t="str">
        <f t="shared" si="48"/>
        <v>3IN1 rice cooker, capacity 8L, NON-STICK coating</v>
      </c>
      <c r="D372" s="25" t="str">
        <f t="shared" si="49"/>
        <v>2015-10-01</v>
      </c>
      <c r="E372" s="7">
        <f t="shared" si="50"/>
        <v>362970</v>
      </c>
      <c r="F372" s="6">
        <f t="shared" si="51"/>
        <v>0</v>
      </c>
      <c r="G372" s="7" t="str">
        <f t="shared" si="52"/>
        <v/>
      </c>
      <c r="I372" s="23">
        <f t="shared" si="53"/>
        <v>2015</v>
      </c>
      <c r="J372" s="23">
        <f t="shared" si="54"/>
        <v>10</v>
      </c>
      <c r="K372" s="23" t="str">
        <f t="shared" si="55"/>
        <v>2015-10-01</v>
      </c>
      <c r="M372" s="11" t="s">
        <v>442</v>
      </c>
      <c r="N372" s="11" t="s">
        <v>974</v>
      </c>
      <c r="O372" s="9">
        <v>42278</v>
      </c>
      <c r="P372" s="13">
        <v>362970</v>
      </c>
    </row>
    <row r="373" spans="1:16" x14ac:dyDescent="0.25">
      <c r="A373" s="19" t="str">
        <f>VLOOKUP(LEFT(M373,3),Category!$G$3:$H$73,2,0)</f>
        <v>RICE COOKER</v>
      </c>
      <c r="B373" s="7" t="str">
        <f t="shared" si="47"/>
        <v>KS-N18ME-L</v>
      </c>
      <c r="C373" s="7" t="str">
        <f t="shared" si="48"/>
        <v>3IN1 rice cooker, capacity 8L, NON-STICK coating</v>
      </c>
      <c r="D373" s="25" t="str">
        <f t="shared" si="49"/>
        <v>2015-10-01</v>
      </c>
      <c r="E373" s="7">
        <f t="shared" si="50"/>
        <v>362970</v>
      </c>
      <c r="F373" s="6">
        <f t="shared" si="51"/>
        <v>0</v>
      </c>
      <c r="G373" s="7" t="str">
        <f t="shared" si="52"/>
        <v/>
      </c>
      <c r="I373" s="23">
        <f t="shared" si="53"/>
        <v>2015</v>
      </c>
      <c r="J373" s="23">
        <f t="shared" si="54"/>
        <v>10</v>
      </c>
      <c r="K373" s="23" t="str">
        <f t="shared" si="55"/>
        <v>2015-10-01</v>
      </c>
      <c r="M373" s="11" t="s">
        <v>443</v>
      </c>
      <c r="N373" s="11" t="s">
        <v>974</v>
      </c>
      <c r="O373" s="9">
        <v>42278</v>
      </c>
      <c r="P373" s="13">
        <v>362970</v>
      </c>
    </row>
    <row r="374" spans="1:16" x14ac:dyDescent="0.25">
      <c r="A374" s="19" t="str">
        <f>VLOOKUP(LEFT(M374,3),Category!$G$3:$H$73,2,0)</f>
        <v>RICE COOKER</v>
      </c>
      <c r="B374" s="7" t="str">
        <f t="shared" si="47"/>
        <v>KS-N18MG-BL</v>
      </c>
      <c r="C374" s="7" t="str">
        <f t="shared" si="48"/>
        <v>Rice cooker, Power 400W, Capacity 1.8L, 3 IN 1 (cook,warm,steam)</v>
      </c>
      <c r="D374" s="25" t="str">
        <f t="shared" si="49"/>
        <v>2017-09-01</v>
      </c>
      <c r="E374" s="7">
        <f t="shared" si="50"/>
        <v>360750</v>
      </c>
      <c r="F374" s="6">
        <f t="shared" si="51"/>
        <v>0</v>
      </c>
      <c r="G374" s="7" t="str">
        <f t="shared" si="52"/>
        <v/>
      </c>
      <c r="I374" s="23">
        <f t="shared" si="53"/>
        <v>2017</v>
      </c>
      <c r="J374" s="23" t="str">
        <f t="shared" si="54"/>
        <v>09</v>
      </c>
      <c r="K374" s="23" t="str">
        <f t="shared" si="55"/>
        <v>2017-09-01</v>
      </c>
      <c r="M374" s="11" t="s">
        <v>429</v>
      </c>
      <c r="N374" s="11" t="s">
        <v>975</v>
      </c>
      <c r="O374" s="9">
        <v>42979</v>
      </c>
      <c r="P374" s="13">
        <v>360750</v>
      </c>
    </row>
    <row r="375" spans="1:16" x14ac:dyDescent="0.25">
      <c r="A375" s="19" t="str">
        <f>VLOOKUP(LEFT(M375,3),Category!$G$3:$H$73,2,0)</f>
        <v>RICE COOKER</v>
      </c>
      <c r="B375" s="7" t="str">
        <f t="shared" si="47"/>
        <v>KS-N18MG-PK</v>
      </c>
      <c r="C375" s="7" t="str">
        <f t="shared" si="48"/>
        <v>Rice cooker, Power 400W, Capacity 1.8L, 3 IN 1 (cook,warm,steam)</v>
      </c>
      <c r="D375" s="25" t="str">
        <f t="shared" si="49"/>
        <v>2017-09-01</v>
      </c>
      <c r="E375" s="7">
        <f t="shared" si="50"/>
        <v>360750</v>
      </c>
      <c r="F375" s="6">
        <f t="shared" si="51"/>
        <v>0</v>
      </c>
      <c r="G375" s="7" t="str">
        <f t="shared" si="52"/>
        <v/>
      </c>
      <c r="I375" s="23">
        <f t="shared" si="53"/>
        <v>2017</v>
      </c>
      <c r="J375" s="23" t="str">
        <f t="shared" si="54"/>
        <v>09</v>
      </c>
      <c r="K375" s="23" t="str">
        <f t="shared" si="55"/>
        <v>2017-09-01</v>
      </c>
      <c r="M375" s="11" t="s">
        <v>430</v>
      </c>
      <c r="N375" s="11" t="s">
        <v>975</v>
      </c>
      <c r="O375" s="9">
        <v>42979</v>
      </c>
      <c r="P375" s="13">
        <v>360750</v>
      </c>
    </row>
    <row r="376" spans="1:16" x14ac:dyDescent="0.25">
      <c r="A376" s="19" t="str">
        <f>VLOOKUP(LEFT(M376,3),Category!$G$3:$H$73,2,0)</f>
        <v>RICE COOKER</v>
      </c>
      <c r="B376" s="7" t="str">
        <f t="shared" si="47"/>
        <v>KS-N18MG-RD</v>
      </c>
      <c r="C376" s="7" t="str">
        <f t="shared" si="48"/>
        <v>Rice cooker, Power 400W, Capacity 1.8L, 3 IN 1 (cook,warm,steam)</v>
      </c>
      <c r="D376" s="25" t="str">
        <f t="shared" si="49"/>
        <v>2017-09-01</v>
      </c>
      <c r="E376" s="7">
        <f t="shared" si="50"/>
        <v>360750</v>
      </c>
      <c r="F376" s="6">
        <f t="shared" si="51"/>
        <v>0</v>
      </c>
      <c r="G376" s="7" t="str">
        <f t="shared" si="52"/>
        <v/>
      </c>
      <c r="I376" s="23">
        <f t="shared" si="53"/>
        <v>2017</v>
      </c>
      <c r="J376" s="23" t="str">
        <f t="shared" si="54"/>
        <v>09</v>
      </c>
      <c r="K376" s="23" t="str">
        <f t="shared" si="55"/>
        <v>2017-09-01</v>
      </c>
      <c r="M376" s="11" t="s">
        <v>431</v>
      </c>
      <c r="N376" s="11" t="s">
        <v>975</v>
      </c>
      <c r="O376" s="9">
        <v>42979</v>
      </c>
      <c r="P376" s="13">
        <v>360750</v>
      </c>
    </row>
    <row r="377" spans="1:16" x14ac:dyDescent="0.25">
      <c r="A377" s="19" t="str">
        <f>VLOOKUP(LEFT(M377,3),Category!$G$3:$H$73,2,0)</f>
        <v>RICE COOKER</v>
      </c>
      <c r="B377" s="7" t="str">
        <f t="shared" si="47"/>
        <v>KS-N18MG-SL</v>
      </c>
      <c r="C377" s="7" t="str">
        <f t="shared" si="48"/>
        <v>Rice cooker, Power 400W, Capacity 1.8L, 3 IN 1 (cook,warm,steam)</v>
      </c>
      <c r="D377" s="25" t="str">
        <f t="shared" si="49"/>
        <v>2017-09-01</v>
      </c>
      <c r="E377" s="7">
        <f t="shared" si="50"/>
        <v>360750</v>
      </c>
      <c r="F377" s="6">
        <f t="shared" si="51"/>
        <v>0</v>
      </c>
      <c r="G377" s="7" t="str">
        <f t="shared" si="52"/>
        <v/>
      </c>
      <c r="I377" s="23">
        <f t="shared" si="53"/>
        <v>2017</v>
      </c>
      <c r="J377" s="23" t="str">
        <f t="shared" si="54"/>
        <v>09</v>
      </c>
      <c r="K377" s="23" t="str">
        <f t="shared" si="55"/>
        <v>2017-09-01</v>
      </c>
      <c r="M377" s="11" t="s">
        <v>432</v>
      </c>
      <c r="N377" s="11" t="s">
        <v>975</v>
      </c>
      <c r="O377" s="9">
        <v>42979</v>
      </c>
      <c r="P377" s="13">
        <v>360750</v>
      </c>
    </row>
    <row r="378" spans="1:16" x14ac:dyDescent="0.25">
      <c r="A378" s="19" t="str">
        <f>VLOOKUP(LEFT(M378,3),Category!$G$3:$H$73,2,0)</f>
        <v>RICE COOKER</v>
      </c>
      <c r="B378" s="7" t="str">
        <f t="shared" si="47"/>
        <v>KS-R18MS-BR</v>
      </c>
      <c r="C378" s="7" t="str">
        <f t="shared" si="48"/>
        <v>Rice Cooker 1.8lt</v>
      </c>
      <c r="D378" s="25" t="str">
        <f t="shared" si="49"/>
        <v>2013-01-01</v>
      </c>
      <c r="E378" s="7">
        <f t="shared" si="50"/>
        <v>380730</v>
      </c>
      <c r="F378" s="6">
        <f t="shared" si="51"/>
        <v>0</v>
      </c>
      <c r="G378" s="7" t="str">
        <f t="shared" si="52"/>
        <v/>
      </c>
      <c r="I378" s="23">
        <f t="shared" si="53"/>
        <v>2013</v>
      </c>
      <c r="J378" s="23" t="str">
        <f t="shared" si="54"/>
        <v>01</v>
      </c>
      <c r="K378" s="23" t="str">
        <f t="shared" si="55"/>
        <v>2013-01-01</v>
      </c>
      <c r="M378" s="11" t="s">
        <v>47</v>
      </c>
      <c r="N378" s="11" t="s">
        <v>970</v>
      </c>
      <c r="O378" s="9">
        <v>41275</v>
      </c>
      <c r="P378" s="13">
        <v>380730</v>
      </c>
    </row>
    <row r="379" spans="1:16" x14ac:dyDescent="0.25">
      <c r="A379" s="19" t="str">
        <f>VLOOKUP(LEFT(M379,3),Category!$G$3:$H$73,2,0)</f>
        <v>RICE COOKER</v>
      </c>
      <c r="B379" s="7" t="str">
        <f t="shared" si="47"/>
        <v>KS-R18MS-PK</v>
      </c>
      <c r="C379" s="7" t="str">
        <f t="shared" si="48"/>
        <v>Rice Cooker 1.8lt</v>
      </c>
      <c r="D379" s="25" t="str">
        <f t="shared" si="49"/>
        <v>2013-01-01</v>
      </c>
      <c r="E379" s="7">
        <f t="shared" si="50"/>
        <v>380730</v>
      </c>
      <c r="F379" s="6">
        <f t="shared" si="51"/>
        <v>0</v>
      </c>
      <c r="G379" s="7" t="str">
        <f t="shared" si="52"/>
        <v/>
      </c>
      <c r="I379" s="23">
        <f t="shared" si="53"/>
        <v>2013</v>
      </c>
      <c r="J379" s="23" t="str">
        <f t="shared" si="54"/>
        <v>01</v>
      </c>
      <c r="K379" s="23" t="str">
        <f t="shared" si="55"/>
        <v>2013-01-01</v>
      </c>
      <c r="M379" s="11" t="s">
        <v>48</v>
      </c>
      <c r="N379" s="11" t="s">
        <v>970</v>
      </c>
      <c r="O379" s="9">
        <v>41275</v>
      </c>
      <c r="P379" s="13">
        <v>380730</v>
      </c>
    </row>
    <row r="380" spans="1:16" x14ac:dyDescent="0.25">
      <c r="A380" s="19" t="str">
        <f>VLOOKUP(LEFT(M380,3),Category!$G$3:$H$73,2,0)</f>
        <v>RICE COOKER</v>
      </c>
      <c r="B380" s="7" t="str">
        <f t="shared" si="47"/>
        <v>KS-T18TL-GR</v>
      </c>
      <c r="C380" s="7" t="str">
        <f t="shared" si="48"/>
        <v>Rice Cooker 1.8lt</v>
      </c>
      <c r="D380" s="25" t="str">
        <f t="shared" si="49"/>
        <v>2013-01-01</v>
      </c>
      <c r="E380" s="7">
        <f t="shared" si="50"/>
        <v>483960</v>
      </c>
      <c r="F380" s="6">
        <f t="shared" si="51"/>
        <v>0</v>
      </c>
      <c r="G380" s="7" t="str">
        <f t="shared" si="52"/>
        <v/>
      </c>
      <c r="I380" s="23">
        <f t="shared" si="53"/>
        <v>2013</v>
      </c>
      <c r="J380" s="23" t="str">
        <f t="shared" si="54"/>
        <v>01</v>
      </c>
      <c r="K380" s="23" t="str">
        <f t="shared" si="55"/>
        <v>2013-01-01</v>
      </c>
      <c r="M380" s="11" t="s">
        <v>49</v>
      </c>
      <c r="N380" s="11" t="s">
        <v>970</v>
      </c>
      <c r="O380" s="9">
        <v>41275</v>
      </c>
      <c r="P380" s="13">
        <v>483960</v>
      </c>
    </row>
    <row r="381" spans="1:16" x14ac:dyDescent="0.25">
      <c r="A381" s="19" t="str">
        <f>VLOOKUP(LEFT(M381,3),Category!$G$3:$H$73,2,0)</f>
        <v>RICE COOKER</v>
      </c>
      <c r="B381" s="7" t="str">
        <f t="shared" si="47"/>
        <v>KS-T18TL-RD</v>
      </c>
      <c r="C381" s="7" t="str">
        <f t="shared" si="48"/>
        <v>Rice Cooker 1.8lt</v>
      </c>
      <c r="D381" s="25" t="str">
        <f t="shared" si="49"/>
        <v>2013-01-01</v>
      </c>
      <c r="E381" s="7">
        <f t="shared" si="50"/>
        <v>483960</v>
      </c>
      <c r="F381" s="6">
        <f t="shared" si="51"/>
        <v>0</v>
      </c>
      <c r="G381" s="7" t="str">
        <f t="shared" si="52"/>
        <v/>
      </c>
      <c r="I381" s="23">
        <f t="shared" si="53"/>
        <v>2013</v>
      </c>
      <c r="J381" s="23" t="str">
        <f t="shared" si="54"/>
        <v>01</v>
      </c>
      <c r="K381" s="23" t="str">
        <f t="shared" si="55"/>
        <v>2013-01-01</v>
      </c>
      <c r="M381" s="11" t="s">
        <v>50</v>
      </c>
      <c r="N381" s="11" t="s">
        <v>970</v>
      </c>
      <c r="O381" s="9">
        <v>41275</v>
      </c>
      <c r="P381" s="13">
        <v>483960</v>
      </c>
    </row>
    <row r="382" spans="1:16" x14ac:dyDescent="0.25">
      <c r="A382" s="19" t="str">
        <f>VLOOKUP(LEFT(M382,3),Category!$G$3:$H$73,2,0)</f>
        <v>RICE COOKER</v>
      </c>
      <c r="B382" s="7" t="str">
        <f t="shared" si="47"/>
        <v>KS-T18TL-ST</v>
      </c>
      <c r="C382" s="7" t="str">
        <f t="shared" si="48"/>
        <v>Rice Cooker 1.8lt</v>
      </c>
      <c r="D382" s="25" t="str">
        <f t="shared" si="49"/>
        <v>2013-01-01</v>
      </c>
      <c r="E382" s="7">
        <f t="shared" si="50"/>
        <v>483960</v>
      </c>
      <c r="F382" s="6">
        <f t="shared" si="51"/>
        <v>0</v>
      </c>
      <c r="G382" s="7" t="str">
        <f t="shared" si="52"/>
        <v/>
      </c>
      <c r="I382" s="23">
        <f t="shared" si="53"/>
        <v>2013</v>
      </c>
      <c r="J382" s="23" t="str">
        <f t="shared" si="54"/>
        <v>01</v>
      </c>
      <c r="K382" s="23" t="str">
        <f t="shared" si="55"/>
        <v>2013-01-01</v>
      </c>
      <c r="M382" s="11" t="s">
        <v>51</v>
      </c>
      <c r="N382" s="11" t="s">
        <v>970</v>
      </c>
      <c r="O382" s="9">
        <v>41275</v>
      </c>
      <c r="P382" s="13">
        <v>483960</v>
      </c>
    </row>
    <row r="383" spans="1:16" x14ac:dyDescent="0.25">
      <c r="A383" s="19" t="str">
        <f>VLOOKUP(LEFT(M383,3),Category!$G$3:$H$73,2,0)</f>
        <v>RICE COOKER</v>
      </c>
      <c r="B383" s="7" t="str">
        <f t="shared" si="47"/>
        <v>KS-TH18-RD</v>
      </c>
      <c r="C383" s="7" t="str">
        <f t="shared" si="48"/>
        <v>Rice Cooker 1.8lt</v>
      </c>
      <c r="D383" s="25" t="str">
        <f t="shared" si="49"/>
        <v>2013-01-01</v>
      </c>
      <c r="E383" s="7">
        <f t="shared" si="50"/>
        <v>1207680</v>
      </c>
      <c r="F383" s="6">
        <f t="shared" si="51"/>
        <v>0</v>
      </c>
      <c r="G383" s="7" t="str">
        <f t="shared" si="52"/>
        <v/>
      </c>
      <c r="I383" s="23">
        <f t="shared" si="53"/>
        <v>2013</v>
      </c>
      <c r="J383" s="23" t="str">
        <f t="shared" si="54"/>
        <v>01</v>
      </c>
      <c r="K383" s="23" t="str">
        <f t="shared" si="55"/>
        <v>2013-01-01</v>
      </c>
      <c r="M383" s="11" t="s">
        <v>52</v>
      </c>
      <c r="N383" s="11" t="s">
        <v>970</v>
      </c>
      <c r="O383" s="9">
        <v>41275</v>
      </c>
      <c r="P383" s="13">
        <v>1207680</v>
      </c>
    </row>
    <row r="384" spans="1:16" x14ac:dyDescent="0.25">
      <c r="A384" s="19" t="str">
        <f>VLOOKUP(LEFT(M384,3),Category!$G$3:$H$73,2,0)</f>
        <v>SMALL HOME APPLIANCES</v>
      </c>
      <c r="B384" s="7" t="str">
        <f t="shared" si="47"/>
        <v>KZ-2S02-BK</v>
      </c>
      <c r="C384" s="7" t="str">
        <f t="shared" si="48"/>
        <v>Adjustable browning control,self centering setting,removable crumb tray for easy cleaning,function:defrost, reheat, and cancel setting</v>
      </c>
      <c r="D384" s="25" t="str">
        <f t="shared" si="49"/>
        <v>2018-05-01</v>
      </c>
      <c r="E384" s="7">
        <f t="shared" si="50"/>
        <v>335220</v>
      </c>
      <c r="F384" s="6">
        <f t="shared" si="51"/>
        <v>0</v>
      </c>
      <c r="G384" s="7" t="str">
        <f t="shared" si="52"/>
        <v/>
      </c>
      <c r="I384" s="23">
        <f t="shared" si="53"/>
        <v>2018</v>
      </c>
      <c r="J384" s="23" t="str">
        <f t="shared" si="54"/>
        <v>05</v>
      </c>
      <c r="K384" s="23" t="str">
        <f t="shared" si="55"/>
        <v>2018-05-01</v>
      </c>
      <c r="M384" s="11" t="s">
        <v>262</v>
      </c>
      <c r="N384" s="11" t="s">
        <v>976</v>
      </c>
      <c r="O384" s="9">
        <v>43221</v>
      </c>
      <c r="P384" s="13">
        <v>335220</v>
      </c>
    </row>
    <row r="385" spans="1:16" x14ac:dyDescent="0.25">
      <c r="A385" s="19" t="str">
        <f>VLOOKUP(LEFT(M385,3),Category!$G$3:$H$73,2,0)</f>
        <v>SMALL HOME APPLIANCES</v>
      </c>
      <c r="B385" s="7" t="str">
        <f t="shared" si="47"/>
        <v>KZS-70L(W)</v>
      </c>
      <c r="C385" s="7" t="str">
        <f t="shared" si="48"/>
        <v>Sandwich Toaster</v>
      </c>
      <c r="D385" s="25" t="str">
        <f t="shared" si="49"/>
        <v>2011-08-01</v>
      </c>
      <c r="E385" s="7">
        <f t="shared" si="50"/>
        <v>212010</v>
      </c>
      <c r="F385" s="6">
        <f t="shared" si="51"/>
        <v>0</v>
      </c>
      <c r="G385" s="7" t="str">
        <f t="shared" si="52"/>
        <v/>
      </c>
      <c r="I385" s="23">
        <f t="shared" si="53"/>
        <v>2011</v>
      </c>
      <c r="J385" s="23" t="str">
        <f t="shared" si="54"/>
        <v>08</v>
      </c>
      <c r="K385" s="23" t="str">
        <f t="shared" si="55"/>
        <v>2011-08-01</v>
      </c>
      <c r="M385" s="11" t="s">
        <v>42</v>
      </c>
      <c r="N385" s="11" t="s">
        <v>977</v>
      </c>
      <c r="O385" s="9">
        <v>40756</v>
      </c>
      <c r="P385" s="13">
        <v>212010</v>
      </c>
    </row>
    <row r="386" spans="1:16" x14ac:dyDescent="0.25">
      <c r="A386" s="19" t="str">
        <f>VLOOKUP(LEFT(M386,3),Category!$G$3:$H$73,2,0)</f>
        <v>SMALL HOME APPLIANCES</v>
      </c>
      <c r="B386" s="7" t="str">
        <f t="shared" si="47"/>
        <v>KZS-71-BK</v>
      </c>
      <c r="C386" s="7" t="str">
        <f t="shared" si="48"/>
        <v>Sandwich cooking plates,grill plates,waffle plates, Non-stick heating plate for easy cleaning, removable &amp; replacement heating plate, with two lamps "power on &amp; ready"</v>
      </c>
      <c r="D386" s="25" t="str">
        <f t="shared" si="49"/>
        <v>2018-05-01</v>
      </c>
      <c r="E386" s="7">
        <f t="shared" si="50"/>
        <v>510600</v>
      </c>
      <c r="F386" s="6">
        <f t="shared" si="51"/>
        <v>0</v>
      </c>
      <c r="G386" s="7" t="str">
        <f t="shared" si="52"/>
        <v/>
      </c>
      <c r="I386" s="23">
        <f t="shared" si="53"/>
        <v>2018</v>
      </c>
      <c r="J386" s="23" t="str">
        <f t="shared" si="54"/>
        <v>05</v>
      </c>
      <c r="K386" s="23" t="str">
        <f t="shared" si="55"/>
        <v>2018-05-01</v>
      </c>
      <c r="M386" s="11" t="s">
        <v>263</v>
      </c>
      <c r="N386" s="11" t="s">
        <v>978</v>
      </c>
      <c r="O386" s="9">
        <v>43221</v>
      </c>
      <c r="P386" s="13">
        <v>510600</v>
      </c>
    </row>
    <row r="387" spans="1:16" x14ac:dyDescent="0.25">
      <c r="A387" s="19" t="str">
        <f>VLOOKUP(LEFT(M387,3),Category!$G$3:$H$73,2,0)</f>
        <v>TELEVISION</v>
      </c>
      <c r="B387" s="7" t="str">
        <f t="shared" si="47"/>
        <v>LC-32SA4200I</v>
      </c>
      <c r="C387" s="7" t="str">
        <f t="shared" si="48"/>
        <v>HD-Ready, HDMI, USB, DVB-T2, Comfort mode, Child Timer, Super eco mode</v>
      </c>
      <c r="D387" s="25" t="str">
        <f t="shared" si="49"/>
        <v>2018-03-01</v>
      </c>
      <c r="E387" s="7">
        <f t="shared" si="50"/>
        <v>2080140</v>
      </c>
      <c r="F387" s="6">
        <f t="shared" si="51"/>
        <v>0</v>
      </c>
      <c r="G387" s="7" t="str">
        <f t="shared" si="52"/>
        <v/>
      </c>
      <c r="I387" s="23">
        <f t="shared" si="53"/>
        <v>2018</v>
      </c>
      <c r="J387" s="23" t="str">
        <f t="shared" si="54"/>
        <v>03</v>
      </c>
      <c r="K387" s="23" t="str">
        <f t="shared" si="55"/>
        <v>2018-03-01</v>
      </c>
      <c r="M387" s="11" t="s">
        <v>162</v>
      </c>
      <c r="N387" s="11" t="s">
        <v>979</v>
      </c>
      <c r="O387" s="9">
        <v>43160</v>
      </c>
      <c r="P387" s="13">
        <v>2080140</v>
      </c>
    </row>
    <row r="388" spans="1:16" x14ac:dyDescent="0.25">
      <c r="A388" s="19" t="str">
        <f>VLOOKUP(LEFT(M388,3),Category!$G$3:$H$73,2,0)</f>
        <v>TELEVISION</v>
      </c>
      <c r="B388" s="7" t="str">
        <f t="shared" si="47"/>
        <v>LC-32SA4200IWH</v>
      </c>
      <c r="C388" s="7" t="str">
        <f t="shared" si="48"/>
        <v>HD-Ready . DVB-T2 Ready,USB Movie</v>
      </c>
      <c r="D388" s="25" t="str">
        <f t="shared" si="49"/>
        <v>2021-04-01</v>
      </c>
      <c r="E388" s="7">
        <f t="shared" si="50"/>
        <v>2080140</v>
      </c>
      <c r="F388" s="6">
        <f t="shared" si="51"/>
        <v>0</v>
      </c>
      <c r="G388" s="7" t="str">
        <f t="shared" si="52"/>
        <v/>
      </c>
      <c r="I388" s="23">
        <f t="shared" si="53"/>
        <v>2021</v>
      </c>
      <c r="J388" s="23" t="str">
        <f t="shared" si="54"/>
        <v>04</v>
      </c>
      <c r="K388" s="23" t="str">
        <f t="shared" si="55"/>
        <v>2021-04-01</v>
      </c>
      <c r="M388" s="11" t="s">
        <v>245</v>
      </c>
      <c r="N388" s="11" t="s">
        <v>698</v>
      </c>
      <c r="O388" s="9">
        <v>44287</v>
      </c>
      <c r="P388" s="13">
        <v>2080140</v>
      </c>
    </row>
    <row r="389" spans="1:16" x14ac:dyDescent="0.25">
      <c r="A389" s="19" t="str">
        <f>VLOOKUP(LEFT(M389,3),Category!$G$3:$H$73,2,0)</f>
        <v>TELEVISION</v>
      </c>
      <c r="B389" s="7" t="str">
        <f t="shared" si="47"/>
        <v>LC-32SA4500I</v>
      </c>
      <c r="C389" s="7" t="str">
        <f t="shared" si="48"/>
        <v>Full-HD . Easy Smart . Wireless Mirroring . Wallpaper Mode, Standby clock, Website bookmark, HDD support, USB Autoplay, DVB-T2</v>
      </c>
      <c r="D389" s="25" t="str">
        <f t="shared" si="49"/>
        <v>2018-03-01</v>
      </c>
      <c r="E389" s="7">
        <f t="shared" si="50"/>
        <v>3325560</v>
      </c>
      <c r="F389" s="6">
        <f t="shared" si="51"/>
        <v>0</v>
      </c>
      <c r="G389" s="7" t="str">
        <f t="shared" si="52"/>
        <v/>
      </c>
      <c r="I389" s="23">
        <f t="shared" si="53"/>
        <v>2018</v>
      </c>
      <c r="J389" s="23" t="str">
        <f t="shared" si="54"/>
        <v>03</v>
      </c>
      <c r="K389" s="23" t="str">
        <f t="shared" si="55"/>
        <v>2018-03-01</v>
      </c>
      <c r="M389" s="11" t="s">
        <v>163</v>
      </c>
      <c r="N389" s="11" t="s">
        <v>980</v>
      </c>
      <c r="O389" s="9">
        <v>43160</v>
      </c>
      <c r="P389" s="13">
        <v>3325560</v>
      </c>
    </row>
    <row r="390" spans="1:16" x14ac:dyDescent="0.25">
      <c r="A390" s="19" t="str">
        <f>VLOOKUP(LEFT(M390,3),Category!$G$3:$H$73,2,0)</f>
        <v>FACE MASK</v>
      </c>
      <c r="B390" s="7" t="str">
        <f t="shared" si="47"/>
        <v>MA-950I-ID</v>
      </c>
      <c r="C390" s="7" t="str">
        <f t="shared" si="48"/>
        <v>50 pcs Box Packagin Medical Face Mask</v>
      </c>
      <c r="D390" s="25" t="str">
        <f t="shared" si="49"/>
        <v>1900-01-01</v>
      </c>
      <c r="E390" s="7">
        <f t="shared" si="50"/>
        <v>44400</v>
      </c>
      <c r="F390" s="6">
        <f t="shared" si="51"/>
        <v>0</v>
      </c>
      <c r="G390" s="7" t="str">
        <f t="shared" si="52"/>
        <v/>
      </c>
      <c r="I390" s="23">
        <f t="shared" si="53"/>
        <v>1900</v>
      </c>
      <c r="J390" s="23" t="str">
        <f t="shared" si="54"/>
        <v>01</v>
      </c>
      <c r="K390" s="23" t="str">
        <f t="shared" si="55"/>
        <v>1900-01-01</v>
      </c>
      <c r="M390" s="11" t="s">
        <v>513</v>
      </c>
      <c r="N390" s="11" t="s">
        <v>981</v>
      </c>
      <c r="P390" s="13">
        <v>44400</v>
      </c>
    </row>
    <row r="391" spans="1:16" x14ac:dyDescent="0.25">
      <c r="A391" s="19" t="str">
        <f>VLOOKUP(LEFT(M391,3),Category!$G$3:$H$73,2,0)</f>
        <v>FACE MASK</v>
      </c>
      <c r="B391" s="7" t="str">
        <f t="shared" ref="B391:B454" si="56">UPPER(M391)</f>
        <v>MA-950I-IDR</v>
      </c>
      <c r="C391" s="7" t="str">
        <f t="shared" ref="C391:C454" si="57">IF(OR(N391="",N391=0),"",N391)</f>
        <v>5 pcs Retail Packaging Medical Face Mask</v>
      </c>
      <c r="D391" s="25" t="str">
        <f t="shared" ref="D391:D454" si="58">IFERROR(K391,"")</f>
        <v>1900-01-01</v>
      </c>
      <c r="E391" s="7">
        <f t="shared" ref="E391:E454" si="59">P391</f>
        <v>6660</v>
      </c>
      <c r="F391" s="6">
        <f t="shared" ref="F391:F454" si="60">IF(O391="DISC",1,0)</f>
        <v>0</v>
      </c>
      <c r="G391" s="7" t="str">
        <f t="shared" ref="G391:G454" si="61">IF(R391="","",R391)</f>
        <v/>
      </c>
      <c r="I391" s="23">
        <f t="shared" ref="I391:I454" si="62">IF(YEAR(O391)=2022,2000+DAY(O391),YEAR(O391))</f>
        <v>1900</v>
      </c>
      <c r="J391" s="23" t="str">
        <f t="shared" ref="J391:J454" si="63">IF(MONTH(O391)&lt;10,"0"&amp;MONTH(O391),MONTH(O391))</f>
        <v>01</v>
      </c>
      <c r="K391" s="23" t="str">
        <f t="shared" ref="K391:K454" si="64">I391&amp;"-"&amp;J391&amp;"-01"</f>
        <v>1900-01-01</v>
      </c>
      <c r="M391" s="11" t="s">
        <v>526</v>
      </c>
      <c r="N391" s="11" t="s">
        <v>982</v>
      </c>
      <c r="P391" s="13">
        <v>6660</v>
      </c>
    </row>
    <row r="392" spans="1:16" x14ac:dyDescent="0.25">
      <c r="A392" s="19" t="str">
        <f>VLOOKUP(LEFT(M392,3),Category!$G$3:$H$73,2,0)</f>
        <v>SOLAR PANEL</v>
      </c>
      <c r="B392" s="7" t="str">
        <f t="shared" si="56"/>
        <v>ND-130T1J</v>
      </c>
      <c r="C392" s="7" t="str">
        <f t="shared" si="57"/>
        <v>Max Power 130 watt, DC 12 Volt Polycrystaline</v>
      </c>
      <c r="D392" s="25" t="str">
        <f t="shared" si="58"/>
        <v>2008-12-01</v>
      </c>
      <c r="E392" s="7">
        <f t="shared" si="59"/>
        <v>2902206</v>
      </c>
      <c r="F392" s="6">
        <f t="shared" si="60"/>
        <v>0</v>
      </c>
      <c r="G392" s="7" t="str">
        <f t="shared" si="61"/>
        <v/>
      </c>
      <c r="I392" s="23">
        <f t="shared" si="62"/>
        <v>2008</v>
      </c>
      <c r="J392" s="23">
        <f t="shared" si="63"/>
        <v>12</v>
      </c>
      <c r="K392" s="23" t="str">
        <f t="shared" si="64"/>
        <v>2008-12-01</v>
      </c>
      <c r="M392" s="11" t="s">
        <v>27</v>
      </c>
      <c r="N392" s="11" t="s">
        <v>983</v>
      </c>
      <c r="O392" s="9">
        <v>39783</v>
      </c>
      <c r="P392" s="13">
        <v>2902206</v>
      </c>
    </row>
    <row r="393" spans="1:16" x14ac:dyDescent="0.25">
      <c r="A393" s="19" t="str">
        <f>VLOOKUP(LEFT(M393,3),Category!$G$3:$H$73,2,0)</f>
        <v>SOLAR PANEL</v>
      </c>
      <c r="B393" s="7" t="str">
        <f t="shared" si="56"/>
        <v>ND-R245A5</v>
      </c>
      <c r="C393" s="7" t="str">
        <f t="shared" si="57"/>
        <v/>
      </c>
      <c r="D393" s="25" t="str">
        <f t="shared" si="58"/>
        <v>1900-01-01</v>
      </c>
      <c r="E393" s="7">
        <f t="shared" si="59"/>
        <v>4667439</v>
      </c>
      <c r="F393" s="6">
        <f t="shared" si="60"/>
        <v>0</v>
      </c>
      <c r="G393" s="7" t="str">
        <f t="shared" si="61"/>
        <v/>
      </c>
      <c r="I393" s="23">
        <f t="shared" si="62"/>
        <v>1900</v>
      </c>
      <c r="J393" s="23" t="str">
        <f t="shared" si="63"/>
        <v>01</v>
      </c>
      <c r="K393" s="23" t="str">
        <f t="shared" si="64"/>
        <v>1900-01-01</v>
      </c>
      <c r="M393" s="11" t="s">
        <v>527</v>
      </c>
      <c r="N393" s="11">
        <v>0</v>
      </c>
      <c r="P393" s="13">
        <v>4667439</v>
      </c>
    </row>
    <row r="394" spans="1:16" x14ac:dyDescent="0.25">
      <c r="A394" s="19" t="str">
        <f>VLOOKUP(LEFT(M394,3),Category!$G$3:$H$73,2,0)</f>
        <v>SOLAR PANEL</v>
      </c>
      <c r="B394" s="7" t="str">
        <f t="shared" si="56"/>
        <v>ND-T060M1</v>
      </c>
      <c r="C394" s="7" t="str">
        <f t="shared" si="57"/>
        <v>Max Power 60 watt, DC 17.4 Volt Polycrystaline</v>
      </c>
      <c r="D394" s="25" t="str">
        <f t="shared" si="58"/>
        <v>2009-12-01</v>
      </c>
      <c r="E394" s="7">
        <f t="shared" si="59"/>
        <v>1347207</v>
      </c>
      <c r="F394" s="6">
        <f t="shared" si="60"/>
        <v>0</v>
      </c>
      <c r="G394" s="7" t="str">
        <f t="shared" si="61"/>
        <v/>
      </c>
      <c r="I394" s="23">
        <f t="shared" si="62"/>
        <v>2009</v>
      </c>
      <c r="J394" s="23">
        <f t="shared" si="63"/>
        <v>12</v>
      </c>
      <c r="K394" s="23" t="str">
        <f t="shared" si="64"/>
        <v>2009-12-01</v>
      </c>
      <c r="M394" s="11" t="s">
        <v>30</v>
      </c>
      <c r="N394" s="11" t="s">
        <v>984</v>
      </c>
      <c r="O394" s="9">
        <v>40148</v>
      </c>
      <c r="P394" s="13">
        <v>1347207</v>
      </c>
    </row>
    <row r="395" spans="1:16" x14ac:dyDescent="0.25">
      <c r="A395" s="19" t="str">
        <f>VLOOKUP(LEFT(M395,3),Category!$G$3:$H$73,2,0)</f>
        <v>SOLAR PANEL</v>
      </c>
      <c r="B395" s="7" t="str">
        <f t="shared" si="56"/>
        <v>ND-T060P1</v>
      </c>
      <c r="C395" s="7" t="str">
        <f t="shared" si="57"/>
        <v>Max Power 60 watt, DC 17.4 Volt Polycrystaline</v>
      </c>
      <c r="D395" s="25" t="str">
        <f t="shared" si="58"/>
        <v>1900-01-01</v>
      </c>
      <c r="E395" s="7">
        <f t="shared" si="59"/>
        <v>1243200</v>
      </c>
      <c r="F395" s="6">
        <f t="shared" si="60"/>
        <v>0</v>
      </c>
      <c r="G395" s="7" t="str">
        <f t="shared" si="61"/>
        <v/>
      </c>
      <c r="I395" s="23">
        <f t="shared" si="62"/>
        <v>1900</v>
      </c>
      <c r="J395" s="23" t="str">
        <f t="shared" si="63"/>
        <v>01</v>
      </c>
      <c r="K395" s="23" t="str">
        <f t="shared" si="64"/>
        <v>1900-01-01</v>
      </c>
      <c r="M395" s="11" t="s">
        <v>528</v>
      </c>
      <c r="N395" s="11" t="s">
        <v>984</v>
      </c>
      <c r="P395" s="13">
        <v>1243200</v>
      </c>
    </row>
    <row r="396" spans="1:16" x14ac:dyDescent="0.25">
      <c r="A396" s="19" t="str">
        <f>VLOOKUP(LEFT(M396,3),Category!$G$3:$H$73,2,0)</f>
        <v>SOLAR PANEL</v>
      </c>
      <c r="B396" s="7" t="str">
        <f t="shared" si="56"/>
        <v>ND-T065M1</v>
      </c>
      <c r="C396" s="7" t="str">
        <f t="shared" si="57"/>
        <v>Max Power 60 watt, DC 17.4 Volt Polycrystaline</v>
      </c>
      <c r="D396" s="25" t="str">
        <f t="shared" si="58"/>
        <v>2010-12-01</v>
      </c>
      <c r="E396" s="7">
        <f t="shared" si="59"/>
        <v>1449993</v>
      </c>
      <c r="F396" s="6">
        <f t="shared" si="60"/>
        <v>0</v>
      </c>
      <c r="G396" s="7" t="str">
        <f t="shared" si="61"/>
        <v/>
      </c>
      <c r="I396" s="23">
        <f t="shared" si="62"/>
        <v>2010</v>
      </c>
      <c r="J396" s="23">
        <f t="shared" si="63"/>
        <v>12</v>
      </c>
      <c r="K396" s="23" t="str">
        <f t="shared" si="64"/>
        <v>2010-12-01</v>
      </c>
      <c r="M396" s="11" t="s">
        <v>36</v>
      </c>
      <c r="N396" s="11" t="s">
        <v>984</v>
      </c>
      <c r="O396" s="9">
        <v>40513</v>
      </c>
      <c r="P396" s="13">
        <v>1449993</v>
      </c>
    </row>
    <row r="397" spans="1:16" x14ac:dyDescent="0.25">
      <c r="A397" s="19" t="str">
        <f>VLOOKUP(LEFT(M397,3),Category!$G$3:$H$73,2,0)</f>
        <v>SOLAR PANEL</v>
      </c>
      <c r="B397" s="7" t="str">
        <f t="shared" si="56"/>
        <v>ND-T065P1</v>
      </c>
      <c r="C397" s="7" t="str">
        <f t="shared" si="57"/>
        <v>Max Power 60 watt, DC 17.4 Volt Polycrystaline</v>
      </c>
      <c r="D397" s="25" t="str">
        <f t="shared" si="58"/>
        <v>1900-01-01</v>
      </c>
      <c r="E397" s="7">
        <f t="shared" si="59"/>
        <v>1845819</v>
      </c>
      <c r="F397" s="6">
        <f t="shared" si="60"/>
        <v>0</v>
      </c>
      <c r="G397" s="7" t="str">
        <f t="shared" si="61"/>
        <v/>
      </c>
      <c r="I397" s="23">
        <f t="shared" si="62"/>
        <v>1900</v>
      </c>
      <c r="J397" s="23" t="str">
        <f t="shared" si="63"/>
        <v>01</v>
      </c>
      <c r="K397" s="23" t="str">
        <f t="shared" si="64"/>
        <v>1900-01-01</v>
      </c>
      <c r="M397" s="11" t="s">
        <v>529</v>
      </c>
      <c r="N397" s="11" t="s">
        <v>984</v>
      </c>
      <c r="P397" s="13">
        <v>1845819</v>
      </c>
    </row>
    <row r="398" spans="1:16" x14ac:dyDescent="0.25">
      <c r="A398" s="19" t="str">
        <f>VLOOKUP(LEFT(M398,3),Category!$G$3:$H$73,2,0)</f>
        <v>SOLAR PANEL</v>
      </c>
      <c r="B398" s="7" t="str">
        <f t="shared" si="56"/>
        <v>NE-080T1J</v>
      </c>
      <c r="C398" s="7" t="str">
        <f t="shared" si="57"/>
        <v>Max Power 80 watt, DC 12 Volt Polycrystaline</v>
      </c>
      <c r="D398" s="25" t="str">
        <f t="shared" si="58"/>
        <v>2008-04-01</v>
      </c>
      <c r="E398" s="7">
        <f t="shared" si="59"/>
        <v>1649238</v>
      </c>
      <c r="F398" s="6">
        <f t="shared" si="60"/>
        <v>0</v>
      </c>
      <c r="G398" s="7" t="str">
        <f t="shared" si="61"/>
        <v/>
      </c>
      <c r="I398" s="23">
        <f t="shared" si="62"/>
        <v>2008</v>
      </c>
      <c r="J398" s="23" t="str">
        <f t="shared" si="63"/>
        <v>04</v>
      </c>
      <c r="K398" s="23" t="str">
        <f t="shared" si="64"/>
        <v>2008-04-01</v>
      </c>
      <c r="M398" s="11" t="s">
        <v>26</v>
      </c>
      <c r="N398" s="11" t="s">
        <v>985</v>
      </c>
      <c r="O398" s="9">
        <v>39539</v>
      </c>
      <c r="P398" s="13">
        <v>1649238</v>
      </c>
    </row>
    <row r="399" spans="1:16" x14ac:dyDescent="0.25">
      <c r="A399" s="19" t="str">
        <f>VLOOKUP(LEFT(M399,3),Category!$G$3:$H$73,2,0)</f>
        <v>AIR CONDITIONER</v>
      </c>
      <c r="B399" s="7" t="str">
        <f t="shared" si="56"/>
        <v>PB2-0509</v>
      </c>
      <c r="C399" s="7" t="str">
        <f t="shared" si="57"/>
        <v>Pipa AC (0.5 - 1 PK)</v>
      </c>
      <c r="D399" s="25" t="str">
        <f t="shared" si="58"/>
        <v>1900-01-01</v>
      </c>
      <c r="E399" s="7">
        <f t="shared" si="59"/>
        <v>477300</v>
      </c>
      <c r="F399" s="6">
        <f t="shared" si="60"/>
        <v>0</v>
      </c>
      <c r="G399" s="7" t="str">
        <f t="shared" si="61"/>
        <v/>
      </c>
      <c r="I399" s="23">
        <f t="shared" si="62"/>
        <v>1900</v>
      </c>
      <c r="J399" s="23" t="str">
        <f t="shared" si="63"/>
        <v>01</v>
      </c>
      <c r="K399" s="23" t="str">
        <f t="shared" si="64"/>
        <v>1900-01-01</v>
      </c>
      <c r="M399" s="11" t="s">
        <v>530</v>
      </c>
      <c r="N399" s="11" t="s">
        <v>986</v>
      </c>
      <c r="P399" s="13">
        <v>477300</v>
      </c>
    </row>
    <row r="400" spans="1:16" x14ac:dyDescent="0.25">
      <c r="A400" s="19" t="str">
        <f>VLOOKUP(LEFT(M400,3),Category!$G$3:$H$73,2,0)</f>
        <v>AIR CONDITIONER</v>
      </c>
      <c r="B400" s="7" t="str">
        <f t="shared" si="56"/>
        <v>PB2-1218</v>
      </c>
      <c r="C400" s="7" t="str">
        <f t="shared" si="57"/>
        <v>Pipa AC (1.5 - 2 PK)</v>
      </c>
      <c r="D400" s="25" t="str">
        <f t="shared" si="58"/>
        <v>1900-01-01</v>
      </c>
      <c r="E400" s="7">
        <f t="shared" si="59"/>
        <v>703740</v>
      </c>
      <c r="F400" s="6">
        <f t="shared" si="60"/>
        <v>0</v>
      </c>
      <c r="G400" s="7" t="str">
        <f t="shared" si="61"/>
        <v/>
      </c>
      <c r="I400" s="23">
        <f t="shared" si="62"/>
        <v>1900</v>
      </c>
      <c r="J400" s="23" t="str">
        <f t="shared" si="63"/>
        <v>01</v>
      </c>
      <c r="K400" s="23" t="str">
        <f t="shared" si="64"/>
        <v>1900-01-01</v>
      </c>
      <c r="M400" s="11" t="s">
        <v>531</v>
      </c>
      <c r="N400" s="11" t="s">
        <v>987</v>
      </c>
      <c r="P400" s="13">
        <v>703740</v>
      </c>
    </row>
    <row r="401" spans="1:16" x14ac:dyDescent="0.25">
      <c r="A401" s="19" t="str">
        <f>VLOOKUP(LEFT(M401,3),Category!$G$3:$H$73,2,0)</f>
        <v>AIR CONDITIONER</v>
      </c>
      <c r="B401" s="7" t="str">
        <f t="shared" si="56"/>
        <v>PB3-0509</v>
      </c>
      <c r="C401" s="7" t="str">
        <f t="shared" si="57"/>
        <v>Pipa AC (0.5 - 1 PK)</v>
      </c>
      <c r="D401" s="25" t="str">
        <f t="shared" si="58"/>
        <v>1900-01-01</v>
      </c>
      <c r="E401" s="7">
        <f t="shared" si="59"/>
        <v>428460</v>
      </c>
      <c r="F401" s="6">
        <f t="shared" si="60"/>
        <v>0</v>
      </c>
      <c r="G401" s="7" t="str">
        <f t="shared" si="61"/>
        <v/>
      </c>
      <c r="I401" s="23">
        <f t="shared" si="62"/>
        <v>1900</v>
      </c>
      <c r="J401" s="23" t="str">
        <f t="shared" si="63"/>
        <v>01</v>
      </c>
      <c r="K401" s="23" t="str">
        <f t="shared" si="64"/>
        <v>1900-01-01</v>
      </c>
      <c r="M401" s="11" t="s">
        <v>532</v>
      </c>
      <c r="N401" s="11" t="s">
        <v>986</v>
      </c>
      <c r="P401" s="13">
        <v>428460</v>
      </c>
    </row>
    <row r="402" spans="1:16" x14ac:dyDescent="0.25">
      <c r="A402" s="19" t="str">
        <f>VLOOKUP(LEFT(M402,3),Category!$G$3:$H$73,2,0)</f>
        <v>AIR CONDITIONER</v>
      </c>
      <c r="B402" s="7" t="str">
        <f t="shared" si="56"/>
        <v>PB3-1218</v>
      </c>
      <c r="C402" s="7" t="str">
        <f t="shared" si="57"/>
        <v>Pipa AC (1.5 - 2 PK)</v>
      </c>
      <c r="D402" s="25" t="str">
        <f t="shared" si="58"/>
        <v>2011-08-01</v>
      </c>
      <c r="E402" s="7">
        <f t="shared" si="59"/>
        <v>574980</v>
      </c>
      <c r="F402" s="6">
        <f t="shared" si="60"/>
        <v>0</v>
      </c>
      <c r="G402" s="7" t="str">
        <f t="shared" si="61"/>
        <v/>
      </c>
      <c r="I402" s="23">
        <f t="shared" si="62"/>
        <v>2011</v>
      </c>
      <c r="J402" s="23" t="str">
        <f t="shared" si="63"/>
        <v>08</v>
      </c>
      <c r="K402" s="23" t="str">
        <f t="shared" si="64"/>
        <v>2011-08-01</v>
      </c>
      <c r="M402" s="11" t="s">
        <v>43</v>
      </c>
      <c r="N402" s="11" t="s">
        <v>987</v>
      </c>
      <c r="O402" s="9">
        <v>40756</v>
      </c>
      <c r="P402" s="13">
        <v>574980</v>
      </c>
    </row>
    <row r="403" spans="1:16" x14ac:dyDescent="0.25">
      <c r="A403" s="19" t="str">
        <f>VLOOKUP(LEFT(M403,3),Category!$G$3:$H$73,2,0)</f>
        <v>AIR COOLER</v>
      </c>
      <c r="B403" s="7" t="str">
        <f t="shared" si="56"/>
        <v>PJ-A26MY-B</v>
      </c>
      <c r="C403" s="7" t="str">
        <f t="shared" si="57"/>
        <v>6 L WATER CAPACITY, 4 ICE PACK, POWER CONSUMTION 65 W, AIR VOLUME 320m/h, 4 SPEED, WATER SCREEN AIR COOLER</v>
      </c>
      <c r="D403" s="25" t="str">
        <f t="shared" si="58"/>
        <v>2017-02-01</v>
      </c>
      <c r="E403" s="7">
        <f t="shared" si="59"/>
        <v>1030080</v>
      </c>
      <c r="F403" s="6">
        <f t="shared" si="60"/>
        <v>0</v>
      </c>
      <c r="G403" s="7" t="str">
        <f t="shared" si="61"/>
        <v/>
      </c>
      <c r="I403" s="23">
        <f t="shared" si="62"/>
        <v>2017</v>
      </c>
      <c r="J403" s="23" t="str">
        <f t="shared" si="63"/>
        <v>02</v>
      </c>
      <c r="K403" s="23" t="str">
        <f t="shared" si="64"/>
        <v>2017-02-01</v>
      </c>
      <c r="M403" s="11" t="s">
        <v>133</v>
      </c>
      <c r="N403" s="11" t="s">
        <v>988</v>
      </c>
      <c r="O403" s="9">
        <v>42767</v>
      </c>
      <c r="P403" s="13">
        <v>1030080</v>
      </c>
    </row>
    <row r="404" spans="1:16" x14ac:dyDescent="0.25">
      <c r="A404" s="19" t="str">
        <f>VLOOKUP(LEFT(M404,3),Category!$G$3:$H$73,2,0)</f>
        <v>AIR COOLER</v>
      </c>
      <c r="B404" s="7" t="str">
        <f t="shared" si="56"/>
        <v>PJ-A36TY-B</v>
      </c>
      <c r="C404" s="7" t="str">
        <f t="shared" si="57"/>
        <v>AIR COOLER, 6L, FOUR ICEPACK,65 WATT,  LED DISPLAY &amp; REMOTE CONTROL, AUTO SWING LOUVER</v>
      </c>
      <c r="D404" s="25" t="str">
        <f t="shared" si="58"/>
        <v>2015-08-01</v>
      </c>
      <c r="E404" s="7">
        <f t="shared" si="59"/>
        <v>1227660</v>
      </c>
      <c r="F404" s="6">
        <f t="shared" si="60"/>
        <v>0</v>
      </c>
      <c r="G404" s="7" t="str">
        <f t="shared" si="61"/>
        <v/>
      </c>
      <c r="I404" s="23">
        <f t="shared" si="62"/>
        <v>2015</v>
      </c>
      <c r="J404" s="23" t="str">
        <f t="shared" si="63"/>
        <v>08</v>
      </c>
      <c r="K404" s="23" t="str">
        <f t="shared" si="64"/>
        <v>2015-08-01</v>
      </c>
      <c r="M404" s="11" t="s">
        <v>375</v>
      </c>
      <c r="N404" s="11" t="s">
        <v>989</v>
      </c>
      <c r="O404" s="9">
        <v>42217</v>
      </c>
      <c r="P404" s="13">
        <v>1227660</v>
      </c>
    </row>
    <row r="405" spans="1:16" x14ac:dyDescent="0.25">
      <c r="A405" s="19" t="str">
        <f>VLOOKUP(LEFT(M405,3),Category!$G$3:$H$73,2,0)</f>
        <v>AIR COOLER</v>
      </c>
      <c r="B405" s="7" t="str">
        <f t="shared" si="56"/>
        <v>PJ-A36TY-W</v>
      </c>
      <c r="C405" s="7" t="str">
        <f t="shared" si="57"/>
        <v>AIR COOLER, 6L, FOUR ICEPACK,65 WATT, LED DISPLAY &amp; REMOTE CONTROL, AUTO SWING LOUVER</v>
      </c>
      <c r="D405" s="25" t="str">
        <f t="shared" si="58"/>
        <v>2015-08-01</v>
      </c>
      <c r="E405" s="7">
        <f t="shared" si="59"/>
        <v>1227660</v>
      </c>
      <c r="F405" s="6">
        <f t="shared" si="60"/>
        <v>0</v>
      </c>
      <c r="G405" s="7" t="str">
        <f t="shared" si="61"/>
        <v/>
      </c>
      <c r="I405" s="23">
        <f t="shared" si="62"/>
        <v>2015</v>
      </c>
      <c r="J405" s="23" t="str">
        <f t="shared" si="63"/>
        <v>08</v>
      </c>
      <c r="K405" s="23" t="str">
        <f t="shared" si="64"/>
        <v>2015-08-01</v>
      </c>
      <c r="M405" s="11" t="s">
        <v>376</v>
      </c>
      <c r="N405" s="11" t="s">
        <v>990</v>
      </c>
      <c r="O405" s="9">
        <v>42217</v>
      </c>
      <c r="P405" s="13">
        <v>1227660</v>
      </c>
    </row>
    <row r="406" spans="1:16" x14ac:dyDescent="0.25">
      <c r="A406" s="19" t="str">
        <f>VLOOKUP(LEFT(M406,3),Category!$G$3:$H$73,2,0)</f>
        <v>AIR COOLER</v>
      </c>
      <c r="B406" s="7" t="str">
        <f t="shared" si="56"/>
        <v>PJ-A55TY-B</v>
      </c>
      <c r="C406" s="7" t="str">
        <f t="shared" si="57"/>
        <v>AIR COOLER, 5L, FOUR ICEPACK, 100 WATT,LED DISPLAY &amp; REMOTE CONTROL, AUTO SWING LOUVER</v>
      </c>
      <c r="D406" s="25" t="str">
        <f t="shared" si="58"/>
        <v>2015-08-01</v>
      </c>
      <c r="E406" s="7">
        <f t="shared" si="59"/>
        <v>1390830</v>
      </c>
      <c r="F406" s="6">
        <f t="shared" si="60"/>
        <v>0</v>
      </c>
      <c r="G406" s="7" t="str">
        <f t="shared" si="61"/>
        <v/>
      </c>
      <c r="I406" s="23">
        <f t="shared" si="62"/>
        <v>2015</v>
      </c>
      <c r="J406" s="23" t="str">
        <f t="shared" si="63"/>
        <v>08</v>
      </c>
      <c r="K406" s="23" t="str">
        <f t="shared" si="64"/>
        <v>2015-08-01</v>
      </c>
      <c r="M406" s="11" t="s">
        <v>377</v>
      </c>
      <c r="N406" s="11" t="s">
        <v>991</v>
      </c>
      <c r="O406" s="9">
        <v>42217</v>
      </c>
      <c r="P406" s="13">
        <v>1390830</v>
      </c>
    </row>
    <row r="407" spans="1:16" x14ac:dyDescent="0.25">
      <c r="A407" s="19" t="str">
        <f>VLOOKUP(LEFT(M407,3),Category!$G$3:$H$73,2,0)</f>
        <v>AIR COOLER</v>
      </c>
      <c r="B407" s="7" t="str">
        <f t="shared" si="56"/>
        <v>PJ-A55TY-W</v>
      </c>
      <c r="C407" s="7" t="str">
        <f t="shared" si="57"/>
        <v>AIR COOLER, 5L, FOUR ICEPACK, 100 WATT,LED DISPLAY &amp; REMOTE CONTROL, AUTO SWING LOUVER</v>
      </c>
      <c r="D407" s="25" t="str">
        <f t="shared" si="58"/>
        <v>2015-08-01</v>
      </c>
      <c r="E407" s="7">
        <f t="shared" si="59"/>
        <v>1390830</v>
      </c>
      <c r="F407" s="6">
        <f t="shared" si="60"/>
        <v>0</v>
      </c>
      <c r="G407" s="7" t="str">
        <f t="shared" si="61"/>
        <v/>
      </c>
      <c r="I407" s="23">
        <f t="shared" si="62"/>
        <v>2015</v>
      </c>
      <c r="J407" s="23" t="str">
        <f t="shared" si="63"/>
        <v>08</v>
      </c>
      <c r="K407" s="23" t="str">
        <f t="shared" si="64"/>
        <v>2015-08-01</v>
      </c>
      <c r="M407" s="11" t="s">
        <v>378</v>
      </c>
      <c r="N407" s="11" t="s">
        <v>991</v>
      </c>
      <c r="O407" s="9">
        <v>42217</v>
      </c>
      <c r="P407" s="13">
        <v>1390830</v>
      </c>
    </row>
    <row r="408" spans="1:16" x14ac:dyDescent="0.25">
      <c r="A408" s="19" t="str">
        <f>VLOOKUP(LEFT(M408,3),Category!$G$3:$H$73,2,0)</f>
        <v>AIR COOLER</v>
      </c>
      <c r="B408" s="7" t="str">
        <f t="shared" si="56"/>
        <v>PJ-A77TY-B</v>
      </c>
      <c r="C408" s="7" t="str">
        <f t="shared" si="57"/>
        <v>AIR COOLER, 7L, FOUR ICEPACK, 80WATT, LED DISPLAY &amp; REMOTE CONTROL, AUTO SWING LOUVER</v>
      </c>
      <c r="D408" s="25" t="str">
        <f t="shared" si="58"/>
        <v>2016-06-01</v>
      </c>
      <c r="E408" s="7">
        <f t="shared" si="59"/>
        <v>1862580</v>
      </c>
      <c r="F408" s="6">
        <f t="shared" si="60"/>
        <v>0</v>
      </c>
      <c r="G408" s="7" t="str">
        <f t="shared" si="61"/>
        <v/>
      </c>
      <c r="I408" s="23">
        <f t="shared" si="62"/>
        <v>2016</v>
      </c>
      <c r="J408" s="23" t="str">
        <f t="shared" si="63"/>
        <v>06</v>
      </c>
      <c r="K408" s="23" t="str">
        <f t="shared" si="64"/>
        <v>2016-06-01</v>
      </c>
      <c r="M408" s="11" t="s">
        <v>320</v>
      </c>
      <c r="N408" s="11" t="s">
        <v>992</v>
      </c>
      <c r="O408" s="9">
        <v>42522</v>
      </c>
      <c r="P408" s="13">
        <v>1862580</v>
      </c>
    </row>
    <row r="409" spans="1:16" x14ac:dyDescent="0.25">
      <c r="A409" s="19" t="str">
        <f>VLOOKUP(LEFT(M409,3),Category!$G$3:$H$73,2,0)</f>
        <v>AUDIO</v>
      </c>
      <c r="B409" s="7" t="str">
        <f t="shared" si="56"/>
        <v>PS-920</v>
      </c>
      <c r="C409" s="7" t="str">
        <f t="shared" si="57"/>
        <v>Digital amplifier with 60W RMS output power,portable system with built-in battery,flashing LED effect,bluetooth for wireless audio connection,karaoke MIX x2,FM Tuner,Dual USB slot</v>
      </c>
      <c r="D409" s="25" t="str">
        <f t="shared" si="58"/>
        <v>2018-07-01</v>
      </c>
      <c r="E409" s="7">
        <f t="shared" si="59"/>
        <v>1525029</v>
      </c>
      <c r="F409" s="6">
        <f t="shared" si="60"/>
        <v>0</v>
      </c>
      <c r="G409" s="7" t="str">
        <f t="shared" si="61"/>
        <v/>
      </c>
      <c r="I409" s="23">
        <f t="shared" si="62"/>
        <v>2018</v>
      </c>
      <c r="J409" s="23" t="str">
        <f t="shared" si="63"/>
        <v>07</v>
      </c>
      <c r="K409" s="23" t="str">
        <f t="shared" si="64"/>
        <v>2018-07-01</v>
      </c>
      <c r="M409" s="11" t="s">
        <v>351</v>
      </c>
      <c r="N409" s="11" t="s">
        <v>993</v>
      </c>
      <c r="O409" s="9">
        <v>43282</v>
      </c>
      <c r="P409" s="13">
        <v>1525029</v>
      </c>
    </row>
    <row r="410" spans="1:16" x14ac:dyDescent="0.25">
      <c r="A410" s="19" t="str">
        <f>VLOOKUP(LEFT(M410,3),Category!$G$3:$H$73,2,0)</f>
        <v>AUDIO</v>
      </c>
      <c r="B410" s="7" t="str">
        <f t="shared" si="56"/>
        <v>PS-930</v>
      </c>
      <c r="C410" s="7" t="str">
        <f t="shared" si="57"/>
        <v>Built in Rechargeable baterry-sporty design with handle,Dancing party light,Bluetooth,USB,FM radio,AUX in,2 Mic input karaoke</v>
      </c>
      <c r="D410" s="25" t="str">
        <f t="shared" si="58"/>
        <v>2020-10-01</v>
      </c>
      <c r="E410" s="7">
        <f t="shared" si="59"/>
        <v>2133420</v>
      </c>
      <c r="F410" s="6">
        <f t="shared" si="60"/>
        <v>0</v>
      </c>
      <c r="G410" s="7" t="str">
        <f t="shared" si="61"/>
        <v/>
      </c>
      <c r="I410" s="23">
        <f t="shared" si="62"/>
        <v>2020</v>
      </c>
      <c r="J410" s="23">
        <f t="shared" si="63"/>
        <v>10</v>
      </c>
      <c r="K410" s="23" t="str">
        <f t="shared" si="64"/>
        <v>2020-10-01</v>
      </c>
      <c r="M410" s="11" t="s">
        <v>466</v>
      </c>
      <c r="N410" s="11" t="s">
        <v>994</v>
      </c>
      <c r="O410" s="9">
        <v>44105</v>
      </c>
      <c r="P410" s="13">
        <v>2133420</v>
      </c>
    </row>
    <row r="411" spans="1:16" x14ac:dyDescent="0.25">
      <c r="A411" s="19" t="str">
        <f>VLOOKUP(LEFT(M411,3),Category!$G$3:$H$73,2,0)</f>
        <v>MICROWAVE OVEN</v>
      </c>
      <c r="B411" s="7" t="str">
        <f t="shared" si="56"/>
        <v>R-21A1(W)IN</v>
      </c>
      <c r="C411" s="7" t="str">
        <f t="shared" si="57"/>
        <v>Straight microwave oven, capacity 22L, Power 399 W</v>
      </c>
      <c r="D411" s="25" t="str">
        <f t="shared" si="58"/>
        <v>2013-09-01</v>
      </c>
      <c r="E411" s="7">
        <f t="shared" si="59"/>
        <v>1578420</v>
      </c>
      <c r="F411" s="6">
        <f t="shared" si="60"/>
        <v>0</v>
      </c>
      <c r="G411" s="7" t="str">
        <f t="shared" si="61"/>
        <v/>
      </c>
      <c r="I411" s="23">
        <f t="shared" si="62"/>
        <v>2013</v>
      </c>
      <c r="J411" s="23" t="str">
        <f t="shared" si="63"/>
        <v>09</v>
      </c>
      <c r="K411" s="23" t="str">
        <f t="shared" si="64"/>
        <v>2013-09-01</v>
      </c>
      <c r="M411" s="11" t="s">
        <v>64</v>
      </c>
      <c r="N411" s="11" t="s">
        <v>995</v>
      </c>
      <c r="O411" s="9">
        <v>41532</v>
      </c>
      <c r="P411" s="13">
        <v>1578420</v>
      </c>
    </row>
    <row r="412" spans="1:16" x14ac:dyDescent="0.25">
      <c r="A412" s="19" t="str">
        <f>VLOOKUP(LEFT(M412,3),Category!$G$3:$H$73,2,0)</f>
        <v>MICROWAVE OVEN</v>
      </c>
      <c r="B412" s="7" t="str">
        <f t="shared" si="56"/>
        <v>R-21D0(S)-IN</v>
      </c>
      <c r="C412" s="7" t="str">
        <f t="shared" si="57"/>
        <v>Straight microwave oven, capacity 23L, Power 450 W</v>
      </c>
      <c r="D412" s="25" t="str">
        <f t="shared" si="58"/>
        <v>2017-02-01</v>
      </c>
      <c r="E412" s="7">
        <f t="shared" si="59"/>
        <v>1157730</v>
      </c>
      <c r="F412" s="6">
        <f t="shared" si="60"/>
        <v>0</v>
      </c>
      <c r="G412" s="7" t="str">
        <f t="shared" si="61"/>
        <v/>
      </c>
      <c r="I412" s="23">
        <f t="shared" si="62"/>
        <v>2017</v>
      </c>
      <c r="J412" s="23" t="str">
        <f t="shared" si="63"/>
        <v>02</v>
      </c>
      <c r="K412" s="23" t="str">
        <f t="shared" si="64"/>
        <v>2017-02-01</v>
      </c>
      <c r="M412" s="11" t="s">
        <v>134</v>
      </c>
      <c r="N412" s="11" t="s">
        <v>996</v>
      </c>
      <c r="O412" s="9">
        <v>42767</v>
      </c>
      <c r="P412" s="13">
        <v>1157730</v>
      </c>
    </row>
    <row r="413" spans="1:16" x14ac:dyDescent="0.25">
      <c r="A413" s="19" t="str">
        <f>VLOOKUP(LEFT(M413,3),Category!$G$3:$H$73,2,0)</f>
        <v>MICROWAVE OVEN</v>
      </c>
      <c r="B413" s="7" t="str">
        <f t="shared" si="56"/>
        <v>R-220MA-WH</v>
      </c>
      <c r="C413" s="7" t="str">
        <f t="shared" si="57"/>
        <v>Straight Microwave, Capacity 20L, Mechanic Panel, Output Power 450 Watt, 5 Power Level</v>
      </c>
      <c r="D413" s="25" t="str">
        <f t="shared" si="58"/>
        <v>2001-05-01</v>
      </c>
      <c r="E413" s="7">
        <f t="shared" si="59"/>
        <v>825840</v>
      </c>
      <c r="F413" s="6">
        <f t="shared" si="60"/>
        <v>0</v>
      </c>
      <c r="G413" s="7" t="str">
        <f t="shared" si="61"/>
        <v/>
      </c>
      <c r="I413" s="23">
        <f t="shared" si="62"/>
        <v>2001</v>
      </c>
      <c r="J413" s="23" t="str">
        <f t="shared" si="63"/>
        <v>05</v>
      </c>
      <c r="K413" s="23" t="str">
        <f t="shared" si="64"/>
        <v>2001-05-01</v>
      </c>
      <c r="M413" s="11" t="s">
        <v>307</v>
      </c>
      <c r="N413" s="11" t="s">
        <v>997</v>
      </c>
      <c r="O413" s="9">
        <v>44682</v>
      </c>
      <c r="P413" s="13">
        <v>825840</v>
      </c>
    </row>
    <row r="414" spans="1:16" x14ac:dyDescent="0.25">
      <c r="A414" s="19" t="str">
        <f>VLOOKUP(LEFT(M414,3),Category!$G$3:$H$73,2,0)</f>
        <v>MICROWAVE OVEN</v>
      </c>
      <c r="B414" s="7" t="str">
        <f t="shared" si="56"/>
        <v>R-223DA-BK</v>
      </c>
      <c r="C414" s="7" t="str">
        <f t="shared" si="57"/>
        <v>Microwave Solo, Capacity 23 Liter, Digital Panel, Output Power 450 Watt, 7 Automatic Programs, ECO Mode and Child Lock</v>
      </c>
      <c r="D414" s="25" t="str">
        <f t="shared" si="58"/>
        <v>2001-06-01</v>
      </c>
      <c r="E414" s="7">
        <f t="shared" si="59"/>
        <v>1245420</v>
      </c>
      <c r="F414" s="6">
        <f t="shared" si="60"/>
        <v>0</v>
      </c>
      <c r="G414" s="7" t="str">
        <f t="shared" si="61"/>
        <v/>
      </c>
      <c r="I414" s="23">
        <f t="shared" si="62"/>
        <v>2001</v>
      </c>
      <c r="J414" s="23" t="str">
        <f t="shared" si="63"/>
        <v>06</v>
      </c>
      <c r="K414" s="23" t="str">
        <f t="shared" si="64"/>
        <v>2001-06-01</v>
      </c>
      <c r="M414" s="11" t="s">
        <v>683</v>
      </c>
      <c r="N414" s="11" t="s">
        <v>998</v>
      </c>
      <c r="O414" s="9">
        <v>44713</v>
      </c>
      <c r="P414" s="13">
        <v>1245420</v>
      </c>
    </row>
    <row r="415" spans="1:16" x14ac:dyDescent="0.25">
      <c r="A415" s="19" t="str">
        <f>VLOOKUP(LEFT(M415,3),Category!$G$3:$H$73,2,0)</f>
        <v>MICROWAVE OVEN</v>
      </c>
      <c r="B415" s="7" t="str">
        <f t="shared" si="56"/>
        <v>R-223MA-BK</v>
      </c>
      <c r="C415" s="7" t="str">
        <f t="shared" si="57"/>
        <v>Microwave Solo, Capacity 23 Liter, Mechanical Panel, Output Power 450 Watt, 5 Power Level</v>
      </c>
      <c r="D415" s="25" t="str">
        <f t="shared" si="58"/>
        <v>2001-06-01</v>
      </c>
      <c r="E415" s="7">
        <f t="shared" si="59"/>
        <v>1187700</v>
      </c>
      <c r="F415" s="6">
        <f t="shared" si="60"/>
        <v>0</v>
      </c>
      <c r="G415" s="7" t="str">
        <f t="shared" si="61"/>
        <v/>
      </c>
      <c r="I415" s="23">
        <f t="shared" si="62"/>
        <v>2001</v>
      </c>
      <c r="J415" s="23" t="str">
        <f t="shared" si="63"/>
        <v>06</v>
      </c>
      <c r="K415" s="23" t="str">
        <f t="shared" si="64"/>
        <v>2001-06-01</v>
      </c>
      <c r="M415" s="11" t="s">
        <v>684</v>
      </c>
      <c r="N415" s="11" t="s">
        <v>999</v>
      </c>
      <c r="O415" s="9">
        <v>44713</v>
      </c>
      <c r="P415" s="13">
        <v>1187700</v>
      </c>
    </row>
    <row r="416" spans="1:16" x14ac:dyDescent="0.25">
      <c r="A416" s="19" t="str">
        <f>VLOOKUP(LEFT(M416,3),Category!$G$3:$H$73,2,0)</f>
        <v>MICROWAVE OVEN</v>
      </c>
      <c r="B416" s="7" t="str">
        <f t="shared" si="56"/>
        <v>R-230R(S)</v>
      </c>
      <c r="C416" s="7" t="str">
        <f t="shared" si="57"/>
        <v>Microwave Straight Function-Digital-LoWatt 399 Watt</v>
      </c>
      <c r="D416" s="25" t="str">
        <f t="shared" si="58"/>
        <v>2010-01-01</v>
      </c>
      <c r="E416" s="7">
        <f t="shared" si="59"/>
        <v>1396380</v>
      </c>
      <c r="F416" s="6">
        <f t="shared" si="60"/>
        <v>0</v>
      </c>
      <c r="G416" s="7" t="str">
        <f t="shared" si="61"/>
        <v/>
      </c>
      <c r="I416" s="23">
        <f t="shared" si="62"/>
        <v>2010</v>
      </c>
      <c r="J416" s="23" t="str">
        <f t="shared" si="63"/>
        <v>01</v>
      </c>
      <c r="K416" s="23" t="str">
        <f t="shared" si="64"/>
        <v>2010-01-01</v>
      </c>
      <c r="M416" s="11" t="s">
        <v>31</v>
      </c>
      <c r="N416" s="11" t="s">
        <v>1000</v>
      </c>
      <c r="O416" s="9">
        <v>40198</v>
      </c>
      <c r="P416" s="13">
        <v>1396380</v>
      </c>
    </row>
    <row r="417" spans="1:16" x14ac:dyDescent="0.25">
      <c r="A417" s="19" t="str">
        <f>VLOOKUP(LEFT(M417,3),Category!$G$3:$H$73,2,0)</f>
        <v>MICROWAVE OVEN</v>
      </c>
      <c r="B417" s="7" t="str">
        <f t="shared" si="56"/>
        <v>R-323DA-RT</v>
      </c>
      <c r="C417" s="7" t="str">
        <f t="shared" si="57"/>
        <v>Microwave Solo, Capacity 23 Liter, TOP Digital Panel, Output Power 800 Watt, One Touch Humidity Sensor Function and 5 Automatic Programs</v>
      </c>
      <c r="D417" s="25" t="str">
        <f t="shared" si="58"/>
        <v>2001-06-01</v>
      </c>
      <c r="E417" s="7">
        <f t="shared" si="59"/>
        <v>1397490</v>
      </c>
      <c r="F417" s="6">
        <f t="shared" si="60"/>
        <v>0</v>
      </c>
      <c r="G417" s="7" t="str">
        <f t="shared" si="61"/>
        <v/>
      </c>
      <c r="I417" s="23">
        <f t="shared" si="62"/>
        <v>2001</v>
      </c>
      <c r="J417" s="23" t="str">
        <f t="shared" si="63"/>
        <v>06</v>
      </c>
      <c r="K417" s="23" t="str">
        <f t="shared" si="64"/>
        <v>2001-06-01</v>
      </c>
      <c r="M417" s="11" t="s">
        <v>685</v>
      </c>
      <c r="N417" s="11" t="s">
        <v>1001</v>
      </c>
      <c r="O417" s="9">
        <v>44713</v>
      </c>
      <c r="P417" s="13">
        <v>1397490</v>
      </c>
    </row>
    <row r="418" spans="1:16" x14ac:dyDescent="0.25">
      <c r="A418" s="19" t="str">
        <f>VLOOKUP(LEFT(M418,3),Category!$G$3:$H$73,2,0)</f>
        <v>MICROWAVE OVEN</v>
      </c>
      <c r="B418" s="7" t="str">
        <f t="shared" si="56"/>
        <v>R-650GX(BS)</v>
      </c>
      <c r="C418" s="7" t="str">
        <f t="shared" si="57"/>
        <v>better cooking,faster cooking,enegry saving,capacity 23 liter,output power (800watt/micro, 1100 watt/grill)</v>
      </c>
      <c r="D418" s="25" t="str">
        <f t="shared" si="58"/>
        <v>2019-07-01</v>
      </c>
      <c r="E418" s="7">
        <f t="shared" si="59"/>
        <v>1822620</v>
      </c>
      <c r="F418" s="6">
        <f t="shared" si="60"/>
        <v>0</v>
      </c>
      <c r="G418" s="7" t="str">
        <f t="shared" si="61"/>
        <v/>
      </c>
      <c r="I418" s="23">
        <f t="shared" si="62"/>
        <v>2019</v>
      </c>
      <c r="J418" s="23" t="str">
        <f t="shared" si="63"/>
        <v>07</v>
      </c>
      <c r="K418" s="23" t="str">
        <f t="shared" si="64"/>
        <v>2019-07-01</v>
      </c>
      <c r="M418" s="11" t="s">
        <v>357</v>
      </c>
      <c r="N418" s="11" t="s">
        <v>1002</v>
      </c>
      <c r="O418" s="9">
        <v>43647</v>
      </c>
      <c r="P418" s="13">
        <v>1822620</v>
      </c>
    </row>
    <row r="419" spans="1:16" x14ac:dyDescent="0.25">
      <c r="A419" s="19" t="str">
        <f>VLOOKUP(LEFT(M419,3),Category!$G$3:$H$73,2,0)</f>
        <v>MICROWAVE OVEN</v>
      </c>
      <c r="B419" s="7" t="str">
        <f t="shared" si="56"/>
        <v>R-725DA-BK</v>
      </c>
      <c r="C419" s="7" t="str">
        <f t="shared" si="57"/>
        <v>Microwave Grill, Capacity 25 Liter, Output Power 900W (Micro) &amp; 1000W (Grill), 9 Automatic Programs, ECO Mode and Push Door</v>
      </c>
      <c r="D419" s="25" t="str">
        <f t="shared" si="58"/>
        <v>2001-06-01</v>
      </c>
      <c r="E419" s="7">
        <f t="shared" si="59"/>
        <v>1461870</v>
      </c>
      <c r="F419" s="6">
        <f t="shared" si="60"/>
        <v>0</v>
      </c>
      <c r="G419" s="7" t="str">
        <f t="shared" si="61"/>
        <v/>
      </c>
      <c r="I419" s="23">
        <f t="shared" si="62"/>
        <v>2001</v>
      </c>
      <c r="J419" s="23" t="str">
        <f t="shared" si="63"/>
        <v>06</v>
      </c>
      <c r="K419" s="23" t="str">
        <f t="shared" si="64"/>
        <v>2001-06-01</v>
      </c>
      <c r="M419" s="11" t="s">
        <v>686</v>
      </c>
      <c r="N419" s="11" t="s">
        <v>1003</v>
      </c>
      <c r="O419" s="9">
        <v>44713</v>
      </c>
      <c r="P419" s="13">
        <v>1461870</v>
      </c>
    </row>
    <row r="420" spans="1:16" x14ac:dyDescent="0.25">
      <c r="A420" s="19" t="str">
        <f>VLOOKUP(LEFT(M420,3),Category!$G$3:$H$73,2,0)</f>
        <v>MICROWAVE OVEN</v>
      </c>
      <c r="B420" s="7" t="str">
        <f t="shared" si="56"/>
        <v>R-728(K)-IN</v>
      </c>
      <c r="C420" s="7" t="str">
        <f t="shared" si="57"/>
        <v>Microwave Straight Function</v>
      </c>
      <c r="D420" s="25" t="str">
        <f t="shared" si="58"/>
        <v>2013-09-01</v>
      </c>
      <c r="E420" s="7">
        <f t="shared" si="59"/>
        <v>1560660</v>
      </c>
      <c r="F420" s="6">
        <f t="shared" si="60"/>
        <v>0</v>
      </c>
      <c r="G420" s="7" t="str">
        <f t="shared" si="61"/>
        <v/>
      </c>
      <c r="I420" s="23">
        <f t="shared" si="62"/>
        <v>2013</v>
      </c>
      <c r="J420" s="23" t="str">
        <f t="shared" si="63"/>
        <v>09</v>
      </c>
      <c r="K420" s="23" t="str">
        <f t="shared" si="64"/>
        <v>2013-09-01</v>
      </c>
      <c r="M420" s="11" t="s">
        <v>65</v>
      </c>
      <c r="N420" s="11" t="s">
        <v>1004</v>
      </c>
      <c r="O420" s="9">
        <v>41532</v>
      </c>
      <c r="P420" s="13">
        <v>1560660</v>
      </c>
    </row>
    <row r="421" spans="1:16" x14ac:dyDescent="0.25">
      <c r="A421" s="19" t="str">
        <f>VLOOKUP(LEFT(M421,3),Category!$G$3:$H$73,2,0)</f>
        <v>MICROWAVE OVEN</v>
      </c>
      <c r="B421" s="7" t="str">
        <f t="shared" si="56"/>
        <v>R-728(S)-IN</v>
      </c>
      <c r="C421" s="7" t="str">
        <f t="shared" si="57"/>
        <v>MWO Grill with Indonesia languange</v>
      </c>
      <c r="D421" s="25" t="str">
        <f t="shared" si="58"/>
        <v>2013-09-01</v>
      </c>
      <c r="E421" s="7">
        <f t="shared" si="59"/>
        <v>1605060</v>
      </c>
      <c r="F421" s="6">
        <f t="shared" si="60"/>
        <v>0</v>
      </c>
      <c r="G421" s="7" t="str">
        <f t="shared" si="61"/>
        <v/>
      </c>
      <c r="I421" s="23">
        <f t="shared" si="62"/>
        <v>2013</v>
      </c>
      <c r="J421" s="23" t="str">
        <f t="shared" si="63"/>
        <v>09</v>
      </c>
      <c r="K421" s="23" t="str">
        <f t="shared" si="64"/>
        <v>2013-09-01</v>
      </c>
      <c r="M421" s="11" t="s">
        <v>66</v>
      </c>
      <c r="N421" s="11" t="s">
        <v>1005</v>
      </c>
      <c r="O421" s="9">
        <v>41532</v>
      </c>
      <c r="P421" s="13">
        <v>1605060</v>
      </c>
    </row>
    <row r="422" spans="1:16" x14ac:dyDescent="0.25">
      <c r="A422" s="19" t="str">
        <f>VLOOKUP(LEFT(M422,3),Category!$G$3:$H$73,2,0)</f>
        <v>MICROWAVE OVEN</v>
      </c>
      <c r="B422" s="7" t="str">
        <f t="shared" si="56"/>
        <v>R-728(W)-IN</v>
      </c>
      <c r="C422" s="7" t="str">
        <f t="shared" si="57"/>
        <v>Microwave with Grill Function</v>
      </c>
      <c r="D422" s="25" t="str">
        <f t="shared" si="58"/>
        <v>2013-09-01</v>
      </c>
      <c r="E422" s="7">
        <f t="shared" si="59"/>
        <v>1560660</v>
      </c>
      <c r="F422" s="6">
        <f t="shared" si="60"/>
        <v>0</v>
      </c>
      <c r="G422" s="7" t="str">
        <f t="shared" si="61"/>
        <v/>
      </c>
      <c r="I422" s="23">
        <f t="shared" si="62"/>
        <v>2013</v>
      </c>
      <c r="J422" s="23" t="str">
        <f t="shared" si="63"/>
        <v>09</v>
      </c>
      <c r="K422" s="23" t="str">
        <f t="shared" si="64"/>
        <v>2013-09-01</v>
      </c>
      <c r="M422" s="11" t="s">
        <v>67</v>
      </c>
      <c r="N422" s="11" t="s">
        <v>1006</v>
      </c>
      <c r="O422" s="9">
        <v>41532</v>
      </c>
      <c r="P422" s="13">
        <v>1560660</v>
      </c>
    </row>
    <row r="423" spans="1:16" x14ac:dyDescent="0.25">
      <c r="A423" s="19" t="str">
        <f>VLOOKUP(LEFT(M423,3),Category!$G$3:$H$73,2,0)</f>
        <v>MICROWAVE OVEN</v>
      </c>
      <c r="B423" s="7" t="str">
        <f t="shared" si="56"/>
        <v>R-735MT(K)</v>
      </c>
      <c r="C423" s="7" t="str">
        <f t="shared" si="57"/>
        <v>Grill microwave oven, Top handle, Mirroring glass door,Eco mode, Big capacity 25lt</v>
      </c>
      <c r="D423" s="25" t="str">
        <f t="shared" si="58"/>
        <v>2018-05-01</v>
      </c>
      <c r="E423" s="7">
        <f t="shared" si="59"/>
        <v>1708290</v>
      </c>
      <c r="F423" s="6">
        <f t="shared" si="60"/>
        <v>0</v>
      </c>
      <c r="G423" s="7" t="str">
        <f t="shared" si="61"/>
        <v/>
      </c>
      <c r="I423" s="23">
        <f t="shared" si="62"/>
        <v>2018</v>
      </c>
      <c r="J423" s="23" t="str">
        <f t="shared" si="63"/>
        <v>05</v>
      </c>
      <c r="K423" s="23" t="str">
        <f t="shared" si="64"/>
        <v>2018-05-01</v>
      </c>
      <c r="M423" s="11" t="s">
        <v>264</v>
      </c>
      <c r="N423" s="11" t="s">
        <v>1007</v>
      </c>
      <c r="O423" s="9">
        <v>43221</v>
      </c>
      <c r="P423" s="13">
        <v>1708290</v>
      </c>
    </row>
    <row r="424" spans="1:16" x14ac:dyDescent="0.25">
      <c r="A424" s="19" t="str">
        <f>VLOOKUP(LEFT(M424,3),Category!$G$3:$H$73,2,0)</f>
        <v>MICROWAVE OVEN</v>
      </c>
      <c r="B424" s="7" t="str">
        <f t="shared" si="56"/>
        <v>R-735MT(S)</v>
      </c>
      <c r="C424" s="7" t="str">
        <f t="shared" si="57"/>
        <v>Grill microwave oven, Top handle, Mirroring glass door,Eco mode, Big capacity 25lt</v>
      </c>
      <c r="D424" s="25" t="str">
        <f t="shared" si="58"/>
        <v>2018-05-01</v>
      </c>
      <c r="E424" s="7">
        <f t="shared" si="59"/>
        <v>1708290</v>
      </c>
      <c r="F424" s="6">
        <f t="shared" si="60"/>
        <v>0</v>
      </c>
      <c r="G424" s="7" t="str">
        <f t="shared" si="61"/>
        <v/>
      </c>
      <c r="I424" s="23">
        <f t="shared" si="62"/>
        <v>2018</v>
      </c>
      <c r="J424" s="23" t="str">
        <f t="shared" si="63"/>
        <v>05</v>
      </c>
      <c r="K424" s="23" t="str">
        <f t="shared" si="64"/>
        <v>2018-05-01</v>
      </c>
      <c r="M424" s="11" t="s">
        <v>265</v>
      </c>
      <c r="N424" s="11" t="s">
        <v>1007</v>
      </c>
      <c r="O424" s="9">
        <v>43221</v>
      </c>
      <c r="P424" s="13">
        <v>1708290</v>
      </c>
    </row>
    <row r="425" spans="1:16" x14ac:dyDescent="0.25">
      <c r="A425" s="19" t="str">
        <f>VLOOKUP(LEFT(M425,3),Category!$G$3:$H$73,2,0)</f>
        <v>MICROWAVE OVEN</v>
      </c>
      <c r="B425" s="7" t="str">
        <f t="shared" si="56"/>
        <v>R-751GX(BS)</v>
      </c>
      <c r="C425" s="7" t="str">
        <f t="shared" si="57"/>
        <v>better cooking,faster cooking,enegry saving,capacity 25 liter,output power (800watt/micro, 1100 watt/grill)</v>
      </c>
      <c r="D425" s="25" t="str">
        <f t="shared" si="58"/>
        <v>2019-07-01</v>
      </c>
      <c r="E425" s="7">
        <f t="shared" si="59"/>
        <v>1963590</v>
      </c>
      <c r="F425" s="6">
        <f t="shared" si="60"/>
        <v>0</v>
      </c>
      <c r="G425" s="7" t="str">
        <f t="shared" si="61"/>
        <v/>
      </c>
      <c r="I425" s="23">
        <f t="shared" si="62"/>
        <v>2019</v>
      </c>
      <c r="J425" s="23" t="str">
        <f t="shared" si="63"/>
        <v>07</v>
      </c>
      <c r="K425" s="23" t="str">
        <f t="shared" si="64"/>
        <v>2019-07-01</v>
      </c>
      <c r="M425" s="11" t="s">
        <v>358</v>
      </c>
      <c r="N425" s="11" t="s">
        <v>1008</v>
      </c>
      <c r="O425" s="9">
        <v>43647</v>
      </c>
      <c r="P425" s="13">
        <v>1963590</v>
      </c>
    </row>
    <row r="426" spans="1:16" x14ac:dyDescent="0.25">
      <c r="A426" s="19" t="str">
        <f>VLOOKUP(LEFT(M426,3),Category!$G$3:$H$73,2,0)</f>
        <v>MICROWAVE OVEN</v>
      </c>
      <c r="B426" s="7" t="str">
        <f t="shared" si="56"/>
        <v>R-753GX(BS)</v>
      </c>
      <c r="C426" s="7" t="str">
        <f t="shared" si="57"/>
        <v>better cooking,faster cooking,enegry saving,capacity 28 liter,output power (800watt/micro, 1100 watt/grill)</v>
      </c>
      <c r="D426" s="25" t="str">
        <f t="shared" si="58"/>
        <v>2019-07-01</v>
      </c>
      <c r="E426" s="7">
        <f t="shared" si="59"/>
        <v>2103450</v>
      </c>
      <c r="F426" s="6">
        <f t="shared" si="60"/>
        <v>0</v>
      </c>
      <c r="G426" s="7" t="str">
        <f t="shared" si="61"/>
        <v/>
      </c>
      <c r="I426" s="23">
        <f t="shared" si="62"/>
        <v>2019</v>
      </c>
      <c r="J426" s="23" t="str">
        <f t="shared" si="63"/>
        <v>07</v>
      </c>
      <c r="K426" s="23" t="str">
        <f t="shared" si="64"/>
        <v>2019-07-01</v>
      </c>
      <c r="M426" s="11" t="s">
        <v>359</v>
      </c>
      <c r="N426" s="11" t="s">
        <v>1009</v>
      </c>
      <c r="O426" s="9">
        <v>43647</v>
      </c>
      <c r="P426" s="13">
        <v>2103450</v>
      </c>
    </row>
    <row r="427" spans="1:16" x14ac:dyDescent="0.25">
      <c r="A427" s="19" t="str">
        <f>VLOOKUP(LEFT(M427,3),Category!$G$3:$H$73,2,0)</f>
        <v>MICROWAVE OVEN</v>
      </c>
      <c r="B427" s="7" t="str">
        <f t="shared" si="56"/>
        <v>R-88D0(K)-IN</v>
      </c>
      <c r="C427" s="7" t="str">
        <f t="shared" si="57"/>
        <v>Convection microwave oven (micro,grill,baking), capacity 28 L</v>
      </c>
      <c r="D427" s="25" t="str">
        <f t="shared" si="58"/>
        <v>2017-05-01</v>
      </c>
      <c r="E427" s="7">
        <f t="shared" si="59"/>
        <v>2987010</v>
      </c>
      <c r="F427" s="6">
        <f t="shared" si="60"/>
        <v>0</v>
      </c>
      <c r="G427" s="7" t="str">
        <f t="shared" si="61"/>
        <v/>
      </c>
      <c r="I427" s="23">
        <f t="shared" si="62"/>
        <v>2017</v>
      </c>
      <c r="J427" s="23" t="str">
        <f t="shared" si="63"/>
        <v>05</v>
      </c>
      <c r="K427" s="23" t="str">
        <f t="shared" si="64"/>
        <v>2017-05-01</v>
      </c>
      <c r="M427" s="11" t="s">
        <v>251</v>
      </c>
      <c r="N427" s="11" t="s">
        <v>1010</v>
      </c>
      <c r="O427" s="9">
        <v>42856</v>
      </c>
      <c r="P427" s="13">
        <v>2987010</v>
      </c>
    </row>
    <row r="428" spans="1:16" x14ac:dyDescent="0.25">
      <c r="A428" s="19" t="str">
        <f>VLOOKUP(LEFT(M428,3),Category!$G$3:$H$73,2,0)</f>
        <v>SMALL HOME APPLIANCES</v>
      </c>
      <c r="B428" s="7" t="str">
        <f t="shared" si="56"/>
        <v>SB-TW101P</v>
      </c>
      <c r="C428" s="7" t="str">
        <f t="shared" si="57"/>
        <v/>
      </c>
      <c r="D428" s="25" t="str">
        <f t="shared" si="58"/>
        <v>1900-01-01</v>
      </c>
      <c r="E428" s="7">
        <f t="shared" si="59"/>
        <v>442890</v>
      </c>
      <c r="F428" s="6">
        <f t="shared" si="60"/>
        <v>0</v>
      </c>
      <c r="G428" s="7" t="str">
        <f t="shared" si="61"/>
        <v/>
      </c>
      <c r="I428" s="23">
        <f t="shared" si="62"/>
        <v>1900</v>
      </c>
      <c r="J428" s="23" t="str">
        <f t="shared" si="63"/>
        <v>01</v>
      </c>
      <c r="K428" s="23" t="str">
        <f t="shared" si="64"/>
        <v>1900-01-01</v>
      </c>
      <c r="M428" s="11" t="s">
        <v>533</v>
      </c>
      <c r="N428" s="11">
        <v>0</v>
      </c>
      <c r="P428" s="13">
        <v>442890</v>
      </c>
    </row>
    <row r="429" spans="1:16" x14ac:dyDescent="0.25">
      <c r="A429" s="19" t="str">
        <f>VLOOKUP(LEFT(M429,3),Category!$G$3:$H$73,2,0)</f>
        <v>REFRIGERATOR</v>
      </c>
      <c r="B429" s="7" t="str">
        <f t="shared" si="56"/>
        <v>SCH-170FS</v>
      </c>
      <c r="C429" s="7" t="str">
        <f t="shared" si="57"/>
        <v>Capacity 160 L, ANTI Dew Glass Door, LED Lamp, Door Handle &amp; Door Key, New Tray Design, Roller Caster, Energy Saving</v>
      </c>
      <c r="D429" s="25" t="str">
        <f t="shared" si="58"/>
        <v>2020-01-01</v>
      </c>
      <c r="E429" s="7">
        <f t="shared" si="59"/>
        <v>3109110</v>
      </c>
      <c r="F429" s="6">
        <f t="shared" si="60"/>
        <v>0</v>
      </c>
      <c r="G429" s="7" t="str">
        <f t="shared" si="61"/>
        <v/>
      </c>
      <c r="I429" s="23">
        <f t="shared" si="62"/>
        <v>2020</v>
      </c>
      <c r="J429" s="23" t="str">
        <f t="shared" si="63"/>
        <v>01</v>
      </c>
      <c r="K429" s="23" t="str">
        <f t="shared" si="64"/>
        <v>2020-01-01</v>
      </c>
      <c r="M429" s="11" t="s">
        <v>105</v>
      </c>
      <c r="N429" s="11" t="s">
        <v>1011</v>
      </c>
      <c r="O429" s="9">
        <v>43831</v>
      </c>
      <c r="P429" s="13">
        <v>3109110</v>
      </c>
    </row>
    <row r="430" spans="1:16" x14ac:dyDescent="0.25">
      <c r="A430" s="19" t="str">
        <f>VLOOKUP(LEFT(M430,3),Category!$G$3:$H$73,2,0)</f>
        <v>REFRIGERATOR</v>
      </c>
      <c r="B430" s="7" t="str">
        <f t="shared" si="56"/>
        <v>SCH-190PS</v>
      </c>
      <c r="C430" s="7" t="str">
        <f t="shared" si="57"/>
        <v>Capacity 180 L, ANTI Dew Glass Door, LED Lamp, Door Handle &amp; Door key, Roller Caster, Energy Saving</v>
      </c>
      <c r="D430" s="25" t="str">
        <f t="shared" si="58"/>
        <v>2015-06-01</v>
      </c>
      <c r="E430" s="7">
        <f t="shared" si="59"/>
        <v>3183480</v>
      </c>
      <c r="F430" s="6">
        <f t="shared" si="60"/>
        <v>0</v>
      </c>
      <c r="G430" s="7" t="str">
        <f t="shared" si="61"/>
        <v/>
      </c>
      <c r="I430" s="23">
        <f t="shared" si="62"/>
        <v>2015</v>
      </c>
      <c r="J430" s="23" t="str">
        <f t="shared" si="63"/>
        <v>06</v>
      </c>
      <c r="K430" s="23" t="str">
        <f t="shared" si="64"/>
        <v>2015-06-01</v>
      </c>
      <c r="M430" s="11" t="s">
        <v>314</v>
      </c>
      <c r="N430" s="11" t="s">
        <v>1012</v>
      </c>
      <c r="O430" s="9">
        <v>42156</v>
      </c>
      <c r="P430" s="13">
        <v>3183480</v>
      </c>
    </row>
    <row r="431" spans="1:16" x14ac:dyDescent="0.25">
      <c r="A431" s="19" t="str">
        <f>VLOOKUP(LEFT(M431,3),Category!$G$3:$H$73,2,0)</f>
        <v>REFRIGERATOR</v>
      </c>
      <c r="B431" s="7" t="str">
        <f t="shared" si="56"/>
        <v>SCH-210FS</v>
      </c>
      <c r="C431" s="7" t="str">
        <f t="shared" si="57"/>
        <v>Capacity 212 L, ANTI Dew Glass Door, LED Lamp, Door Handle &amp; Door Key, New Tray Design, Roller Caster, Energy Saving</v>
      </c>
      <c r="D431" s="25" t="str">
        <f t="shared" si="58"/>
        <v>2020-01-01</v>
      </c>
      <c r="E431" s="7">
        <f t="shared" si="59"/>
        <v>3496500</v>
      </c>
      <c r="F431" s="6">
        <f t="shared" si="60"/>
        <v>0</v>
      </c>
      <c r="G431" s="7" t="str">
        <f t="shared" si="61"/>
        <v/>
      </c>
      <c r="I431" s="23">
        <f t="shared" si="62"/>
        <v>2020</v>
      </c>
      <c r="J431" s="23" t="str">
        <f t="shared" si="63"/>
        <v>01</v>
      </c>
      <c r="K431" s="23" t="str">
        <f t="shared" si="64"/>
        <v>2020-01-01</v>
      </c>
      <c r="M431" s="11" t="s">
        <v>106</v>
      </c>
      <c r="N431" s="11" t="s">
        <v>1013</v>
      </c>
      <c r="O431" s="9">
        <v>43831</v>
      </c>
      <c r="P431" s="13">
        <v>3496500</v>
      </c>
    </row>
    <row r="432" spans="1:16" x14ac:dyDescent="0.25">
      <c r="A432" s="19" t="str">
        <f>VLOOKUP(LEFT(M432,3),Category!$G$3:$H$73,2,0)</f>
        <v>REFRIGERATOR</v>
      </c>
      <c r="B432" s="7" t="str">
        <f t="shared" si="56"/>
        <v>SCH-210PS</v>
      </c>
      <c r="C432" s="7" t="str">
        <f t="shared" si="57"/>
        <v>Capacity 212 L, ANTI Dew Glass Door, LED Lamp &amp; Door key, Roller Caster, Energy Saving</v>
      </c>
      <c r="D432" s="25" t="str">
        <f t="shared" si="58"/>
        <v>2010-11-01</v>
      </c>
      <c r="E432" s="7">
        <f t="shared" si="59"/>
        <v>3240090</v>
      </c>
      <c r="F432" s="6">
        <f t="shared" si="60"/>
        <v>0</v>
      </c>
      <c r="G432" s="7" t="str">
        <f t="shared" si="61"/>
        <v/>
      </c>
      <c r="I432" s="23">
        <f t="shared" si="62"/>
        <v>2010</v>
      </c>
      <c r="J432" s="23">
        <f t="shared" si="63"/>
        <v>11</v>
      </c>
      <c r="K432" s="23" t="str">
        <f t="shared" si="64"/>
        <v>2010-11-01</v>
      </c>
      <c r="M432" s="11" t="s">
        <v>35</v>
      </c>
      <c r="N432" s="11" t="s">
        <v>1014</v>
      </c>
      <c r="O432" s="9">
        <v>40483</v>
      </c>
      <c r="P432" s="13">
        <v>3240090</v>
      </c>
    </row>
    <row r="433" spans="1:16" x14ac:dyDescent="0.25">
      <c r="A433" s="19" t="str">
        <f>VLOOKUP(LEFT(M433,3),Category!$G$3:$H$73,2,0)</f>
        <v>REFRIGERATOR</v>
      </c>
      <c r="B433" s="7" t="str">
        <f t="shared" si="56"/>
        <v>SCH-250FS</v>
      </c>
      <c r="C433" s="7" t="str">
        <f t="shared" si="57"/>
        <v>Capacity 260 L, ANTI Dew Glass Door, LED Lamp, Door Handle &amp; Door Key, New Tray Design, Roller Caster, Energy Saving</v>
      </c>
      <c r="D433" s="25" t="str">
        <f t="shared" si="58"/>
        <v>2020-01-01</v>
      </c>
      <c r="E433" s="7">
        <f t="shared" si="59"/>
        <v>3948270</v>
      </c>
      <c r="F433" s="6">
        <f t="shared" si="60"/>
        <v>0</v>
      </c>
      <c r="G433" s="7" t="str">
        <f t="shared" si="61"/>
        <v/>
      </c>
      <c r="I433" s="23">
        <f t="shared" si="62"/>
        <v>2020</v>
      </c>
      <c r="J433" s="23" t="str">
        <f t="shared" si="63"/>
        <v>01</v>
      </c>
      <c r="K433" s="23" t="str">
        <f t="shared" si="64"/>
        <v>2020-01-01</v>
      </c>
      <c r="M433" s="11" t="s">
        <v>107</v>
      </c>
      <c r="N433" s="11" t="s">
        <v>1015</v>
      </c>
      <c r="O433" s="9">
        <v>43831</v>
      </c>
      <c r="P433" s="13">
        <v>3948270</v>
      </c>
    </row>
    <row r="434" spans="1:16" x14ac:dyDescent="0.25">
      <c r="A434" s="19" t="str">
        <f>VLOOKUP(LEFT(M434,3),Category!$G$3:$H$73,2,0)</f>
        <v>REFRIGERATOR</v>
      </c>
      <c r="B434" s="7" t="str">
        <f t="shared" si="56"/>
        <v>SCH-50X-FS</v>
      </c>
      <c r="C434" s="7" t="str">
        <f t="shared" si="57"/>
        <v>Capacity 55 L, Double Glass Door (ANTI Dew), Right &amp; Left Door Opening</v>
      </c>
      <c r="D434" s="25" t="str">
        <f t="shared" si="58"/>
        <v>2021-07-01</v>
      </c>
      <c r="E434" s="7">
        <f t="shared" si="59"/>
        <v>1699410</v>
      </c>
      <c r="F434" s="6">
        <f t="shared" si="60"/>
        <v>0</v>
      </c>
      <c r="G434" s="7" t="str">
        <f t="shared" si="61"/>
        <v/>
      </c>
      <c r="I434" s="23">
        <f t="shared" si="62"/>
        <v>2021</v>
      </c>
      <c r="J434" s="23" t="str">
        <f t="shared" si="63"/>
        <v>07</v>
      </c>
      <c r="K434" s="23" t="str">
        <f t="shared" si="64"/>
        <v>2021-07-01</v>
      </c>
      <c r="M434" s="11" t="s">
        <v>79</v>
      </c>
      <c r="N434" s="11" t="s">
        <v>1016</v>
      </c>
      <c r="O434" s="9">
        <v>44378</v>
      </c>
      <c r="P434" s="13">
        <v>1699410</v>
      </c>
    </row>
    <row r="435" spans="1:16" x14ac:dyDescent="0.25">
      <c r="A435" s="19" t="str">
        <f>VLOOKUP(LEFT(M435,3),Category!$G$3:$H$73,2,0)</f>
        <v>SMARTPHONE</v>
      </c>
      <c r="B435" s="7" t="str">
        <f t="shared" si="56"/>
        <v>SH-C03(B)</v>
      </c>
      <c r="C435" s="7" t="str">
        <f t="shared" si="57"/>
        <v>Front camera (5 MP),Triple camera (13 MP/2MP/2MP),Memory /storage : RAM 3 GB/ROM 32GB,battery : 5000 mAh, Android 12, Mediatek Helio G25, NFC Feature ,Display 6,5"</v>
      </c>
      <c r="D435" s="25" t="str">
        <f t="shared" si="58"/>
        <v>2001-02-01</v>
      </c>
      <c r="E435" s="7">
        <f t="shared" si="59"/>
        <v>2104560</v>
      </c>
      <c r="F435" s="6">
        <f t="shared" si="60"/>
        <v>0</v>
      </c>
      <c r="G435" s="7" t="str">
        <f t="shared" si="61"/>
        <v/>
      </c>
      <c r="I435" s="23">
        <f t="shared" si="62"/>
        <v>2001</v>
      </c>
      <c r="J435" s="23" t="str">
        <f t="shared" si="63"/>
        <v>02</v>
      </c>
      <c r="K435" s="23" t="str">
        <f t="shared" si="64"/>
        <v>2001-02-01</v>
      </c>
      <c r="M435" s="11" t="s">
        <v>147</v>
      </c>
      <c r="N435" s="11" t="s">
        <v>1017</v>
      </c>
      <c r="O435" s="9">
        <v>44593</v>
      </c>
      <c r="P435" s="13">
        <v>2104560</v>
      </c>
    </row>
    <row r="436" spans="1:16" x14ac:dyDescent="0.25">
      <c r="A436" s="19" t="str">
        <f>VLOOKUP(LEFT(M436,3),Category!$G$3:$H$73,2,0)</f>
        <v>SMARTPHONE</v>
      </c>
      <c r="B436" s="7" t="str">
        <f t="shared" si="56"/>
        <v>SH-C03(G)</v>
      </c>
      <c r="C436" s="7" t="str">
        <f t="shared" si="57"/>
        <v>Front camera (5 MP),Triple camera (13 MP/2MP/2MP),Memory /storage : RAM 3 GB/ROM 32GB,battery : 5000 mAh, Android 12, Mediatek Helio G25, NFC Feature ,Display 6,5"</v>
      </c>
      <c r="D436" s="25" t="str">
        <f t="shared" si="58"/>
        <v>2001-02-01</v>
      </c>
      <c r="E436" s="7">
        <f t="shared" si="59"/>
        <v>2104560</v>
      </c>
      <c r="F436" s="6">
        <f t="shared" si="60"/>
        <v>0</v>
      </c>
      <c r="G436" s="7" t="str">
        <f t="shared" si="61"/>
        <v/>
      </c>
      <c r="I436" s="23">
        <f t="shared" si="62"/>
        <v>2001</v>
      </c>
      <c r="J436" s="23" t="str">
        <f t="shared" si="63"/>
        <v>02</v>
      </c>
      <c r="K436" s="23" t="str">
        <f t="shared" si="64"/>
        <v>2001-02-01</v>
      </c>
      <c r="M436" s="11" t="s">
        <v>148</v>
      </c>
      <c r="N436" s="11" t="s">
        <v>1017</v>
      </c>
      <c r="O436" s="9">
        <v>44593</v>
      </c>
      <c r="P436" s="13">
        <v>2104560</v>
      </c>
    </row>
    <row r="437" spans="1:16" x14ac:dyDescent="0.25">
      <c r="A437" s="19" t="str">
        <f>VLOOKUP(LEFT(M437,3),Category!$G$3:$H$73,2,0)</f>
        <v>SMARTPHONE</v>
      </c>
      <c r="B437" s="7" t="str">
        <f t="shared" si="56"/>
        <v>SH-C04(B)</v>
      </c>
      <c r="C437" s="7" t="str">
        <f t="shared" si="57"/>
        <v>Front camera (8 MP), Triple camera (50 MP/2MP/2MP), Memory /storage : RAM 4 GB/ROM 64GB, battery : 5000 mAh, Android 12, Mediatek Helio G25, NFC Feature , Display 6,5"</v>
      </c>
      <c r="D437" s="25" t="str">
        <f t="shared" si="58"/>
        <v>2001-02-01</v>
      </c>
      <c r="E437" s="7">
        <f t="shared" si="59"/>
        <v>2012430</v>
      </c>
      <c r="F437" s="6">
        <f t="shared" si="60"/>
        <v>0</v>
      </c>
      <c r="G437" s="7" t="str">
        <f t="shared" si="61"/>
        <v/>
      </c>
      <c r="I437" s="23">
        <f t="shared" si="62"/>
        <v>2001</v>
      </c>
      <c r="J437" s="23" t="str">
        <f t="shared" si="63"/>
        <v>02</v>
      </c>
      <c r="K437" s="23" t="str">
        <f t="shared" si="64"/>
        <v>2001-02-01</v>
      </c>
      <c r="M437" s="11" t="s">
        <v>149</v>
      </c>
      <c r="N437" s="11" t="s">
        <v>1018</v>
      </c>
      <c r="O437" s="9">
        <v>44593</v>
      </c>
      <c r="P437" s="13">
        <v>2012430</v>
      </c>
    </row>
    <row r="438" spans="1:16" x14ac:dyDescent="0.25">
      <c r="A438" s="19" t="str">
        <f>VLOOKUP(LEFT(M438,3),Category!$G$3:$H$73,2,0)</f>
        <v>SMARTPHONE</v>
      </c>
      <c r="B438" s="7" t="str">
        <f t="shared" si="56"/>
        <v>SH-C04(G)</v>
      </c>
      <c r="C438" s="7" t="str">
        <f t="shared" si="57"/>
        <v>Front camera (8 MP), Triple camera (50 MP/2MP/2MP), Memory /storage : RAM 4 GB/ROM 64GB, battery : 5000 mAh, Android 12, Mediatek Helio G25, NFC Feature , Display 6,5"</v>
      </c>
      <c r="D438" s="25" t="str">
        <f t="shared" si="58"/>
        <v>2001-02-01</v>
      </c>
      <c r="E438" s="7">
        <f t="shared" si="59"/>
        <v>2012430</v>
      </c>
      <c r="F438" s="6">
        <f t="shared" si="60"/>
        <v>0</v>
      </c>
      <c r="G438" s="7" t="str">
        <f t="shared" si="61"/>
        <v/>
      </c>
      <c r="I438" s="23">
        <f t="shared" si="62"/>
        <v>2001</v>
      </c>
      <c r="J438" s="23" t="str">
        <f t="shared" si="63"/>
        <v>02</v>
      </c>
      <c r="K438" s="23" t="str">
        <f t="shared" si="64"/>
        <v>2001-02-01</v>
      </c>
      <c r="M438" s="11" t="s">
        <v>150</v>
      </c>
      <c r="N438" s="11" t="s">
        <v>1018</v>
      </c>
      <c r="O438" s="9">
        <v>44593</v>
      </c>
      <c r="P438" s="13">
        <v>2012430</v>
      </c>
    </row>
    <row r="439" spans="1:16" x14ac:dyDescent="0.25">
      <c r="A439" s="19" t="str">
        <f>VLOOKUP(LEFT(M439,3),Category!$G$3:$H$73,2,0)</f>
        <v>SMARTPHONE</v>
      </c>
      <c r="B439" s="7" t="str">
        <f t="shared" si="56"/>
        <v>SH-C05(B)</v>
      </c>
      <c r="C439" s="7" t="str">
        <f t="shared" si="57"/>
        <v>Front camera (8 MP), Triple camera (50 MP/2MP/2MP), Memory /storage : RAM 4 GB/ROM 128GB, battery : 5000 mAh, Android 12, Mediatek Dimensity 700, NFC Feature , Display 6,6"</v>
      </c>
      <c r="D439" s="25" t="str">
        <f t="shared" si="58"/>
        <v>2001-11-01</v>
      </c>
      <c r="E439" s="7">
        <f t="shared" si="59"/>
        <v>3132420</v>
      </c>
      <c r="F439" s="6">
        <f t="shared" si="60"/>
        <v>0</v>
      </c>
      <c r="G439" s="7" t="str">
        <f t="shared" si="61"/>
        <v/>
      </c>
      <c r="I439" s="23">
        <f t="shared" si="62"/>
        <v>2001</v>
      </c>
      <c r="J439" s="23">
        <f t="shared" si="63"/>
        <v>11</v>
      </c>
      <c r="K439" s="23" t="str">
        <f t="shared" si="64"/>
        <v>2001-11-01</v>
      </c>
      <c r="M439" s="11" t="s">
        <v>687</v>
      </c>
      <c r="N439" s="11" t="s">
        <v>1019</v>
      </c>
      <c r="O439" s="9">
        <v>44866</v>
      </c>
      <c r="P439" s="13">
        <v>3132420</v>
      </c>
    </row>
    <row r="440" spans="1:16" x14ac:dyDescent="0.25">
      <c r="A440" s="19" t="str">
        <f>VLOOKUP(LEFT(M440,3),Category!$G$3:$H$73,2,0)</f>
        <v>SMARTPHONE</v>
      </c>
      <c r="B440" s="7" t="str">
        <f t="shared" si="56"/>
        <v>SH-C05(P)</v>
      </c>
      <c r="C440" s="7" t="str">
        <f t="shared" si="57"/>
        <v>Front camera (8 MP), Triple camera (50 MP/2MP/2MP), Memory /storage : RAM 4 GB/ROM 128GB, battery : 5000 mAh, Android 12, Mediatek Dimensity 700, NFC Feature , Display 6,6"</v>
      </c>
      <c r="D440" s="25" t="str">
        <f t="shared" si="58"/>
        <v>2001-11-01</v>
      </c>
      <c r="E440" s="7">
        <f t="shared" si="59"/>
        <v>3132420</v>
      </c>
      <c r="F440" s="6">
        <f t="shared" si="60"/>
        <v>0</v>
      </c>
      <c r="G440" s="7" t="str">
        <f t="shared" si="61"/>
        <v/>
      </c>
      <c r="I440" s="23">
        <f t="shared" si="62"/>
        <v>2001</v>
      </c>
      <c r="J440" s="23">
        <f t="shared" si="63"/>
        <v>11</v>
      </c>
      <c r="K440" s="23" t="str">
        <f t="shared" si="64"/>
        <v>2001-11-01</v>
      </c>
      <c r="M440" s="11" t="s">
        <v>688</v>
      </c>
      <c r="N440" s="11" t="s">
        <v>1019</v>
      </c>
      <c r="O440" s="9">
        <v>44866</v>
      </c>
      <c r="P440" s="13">
        <v>3132420</v>
      </c>
    </row>
    <row r="441" spans="1:16" x14ac:dyDescent="0.25">
      <c r="A441" s="19" t="str">
        <f>VLOOKUP(LEFT(M441,3),Category!$G$3:$H$73,2,0)</f>
        <v>REFRIGERATOR</v>
      </c>
      <c r="B441" s="7" t="str">
        <f t="shared" si="56"/>
        <v>SJ-195MD-SG</v>
      </c>
      <c r="C441" s="7" t="str">
        <f t="shared" si="57"/>
        <v>2 Door 172 L, Silver Hairline Stainless Steel Door, EXTRA BIG Freezer, LED Lamp, Low Voltage System, HALAL certified</v>
      </c>
      <c r="D441" s="25" t="str">
        <f t="shared" si="58"/>
        <v>2016-10-01</v>
      </c>
      <c r="E441" s="7">
        <f t="shared" si="59"/>
        <v>2769450</v>
      </c>
      <c r="F441" s="6">
        <f t="shared" si="60"/>
        <v>0</v>
      </c>
      <c r="G441" s="7" t="str">
        <f t="shared" si="61"/>
        <v/>
      </c>
      <c r="I441" s="23">
        <f t="shared" si="62"/>
        <v>2016</v>
      </c>
      <c r="J441" s="23">
        <f t="shared" si="63"/>
        <v>10</v>
      </c>
      <c r="K441" s="23" t="str">
        <f t="shared" si="64"/>
        <v>2016-10-01</v>
      </c>
      <c r="M441" s="11" t="s">
        <v>444</v>
      </c>
      <c r="N441" s="11" t="s">
        <v>1020</v>
      </c>
      <c r="O441" s="9">
        <v>42644</v>
      </c>
      <c r="P441" s="13">
        <v>2769450</v>
      </c>
    </row>
    <row r="442" spans="1:16" x14ac:dyDescent="0.25">
      <c r="A442" s="19" t="str">
        <f>VLOOKUP(LEFT(M442,3),Category!$G$3:$H$73,2,0)</f>
        <v>REFRIGERATOR</v>
      </c>
      <c r="B442" s="7" t="str">
        <f t="shared" si="56"/>
        <v>SJ-195MD-SG2</v>
      </c>
      <c r="C442" s="7" t="str">
        <f t="shared" si="57"/>
        <v>2 Door 172 L, Silver Hairline Stainless Steel Door, EXTRA BIG Freezer, LED Lamp, Low Voltage System, HALAL certified</v>
      </c>
      <c r="D442" s="25" t="str">
        <f t="shared" si="58"/>
        <v>2001-07-01</v>
      </c>
      <c r="E442" s="7">
        <f t="shared" si="59"/>
        <v>2769450</v>
      </c>
      <c r="F442" s="6">
        <f t="shared" si="60"/>
        <v>0</v>
      </c>
      <c r="G442" s="7" t="str">
        <f t="shared" si="61"/>
        <v/>
      </c>
      <c r="I442" s="23">
        <f t="shared" si="62"/>
        <v>2001</v>
      </c>
      <c r="J442" s="23" t="str">
        <f t="shared" si="63"/>
        <v>07</v>
      </c>
      <c r="K442" s="23" t="str">
        <f t="shared" si="64"/>
        <v>2001-07-01</v>
      </c>
      <c r="M442" s="11" t="s">
        <v>689</v>
      </c>
      <c r="N442" s="11" t="s">
        <v>1020</v>
      </c>
      <c r="O442" s="9">
        <v>44743</v>
      </c>
      <c r="P442" s="13">
        <v>2769450</v>
      </c>
    </row>
    <row r="443" spans="1:16" x14ac:dyDescent="0.25">
      <c r="A443" s="19" t="str">
        <f>VLOOKUP(LEFT(M443,3),Category!$G$3:$H$73,2,0)</f>
        <v>REFRIGERATOR</v>
      </c>
      <c r="B443" s="7" t="str">
        <f t="shared" si="56"/>
        <v>SJ-195MD-SR</v>
      </c>
      <c r="C443" s="7" t="str">
        <f t="shared" si="57"/>
        <v>2 Door 172 L, RED Hairline Stainless Steel Door, EXTRA BIG Freezer, LED Lamp, Low Voltage System, HALAL certified</v>
      </c>
      <c r="D443" s="25" t="str">
        <f t="shared" si="58"/>
        <v>2016-10-01</v>
      </c>
      <c r="E443" s="7">
        <f t="shared" si="59"/>
        <v>2769450</v>
      </c>
      <c r="F443" s="6">
        <f t="shared" si="60"/>
        <v>0</v>
      </c>
      <c r="G443" s="7" t="str">
        <f t="shared" si="61"/>
        <v/>
      </c>
      <c r="I443" s="23">
        <f t="shared" si="62"/>
        <v>2016</v>
      </c>
      <c r="J443" s="23">
        <f t="shared" si="63"/>
        <v>10</v>
      </c>
      <c r="K443" s="23" t="str">
        <f t="shared" si="64"/>
        <v>2016-10-01</v>
      </c>
      <c r="M443" s="11" t="s">
        <v>445</v>
      </c>
      <c r="N443" s="11" t="s">
        <v>1021</v>
      </c>
      <c r="O443" s="9">
        <v>42644</v>
      </c>
      <c r="P443" s="13">
        <v>2769450</v>
      </c>
    </row>
    <row r="444" spans="1:16" x14ac:dyDescent="0.25">
      <c r="A444" s="19" t="str">
        <f>VLOOKUP(LEFT(M444,3),Category!$G$3:$H$73,2,0)</f>
        <v>REFRIGERATOR</v>
      </c>
      <c r="B444" s="7" t="str">
        <f t="shared" si="56"/>
        <v>SJ-195MD-SR2</v>
      </c>
      <c r="C444" s="7" t="str">
        <f t="shared" si="57"/>
        <v>2 Door 172 L, RED Hairline Stainless Steel Door, EXTRA BIG Freezer, LED Lamp, Low Voltage System, HALAL certified</v>
      </c>
      <c r="D444" s="25" t="str">
        <f t="shared" si="58"/>
        <v>2001-07-01</v>
      </c>
      <c r="E444" s="7">
        <f t="shared" si="59"/>
        <v>2769450</v>
      </c>
      <c r="F444" s="6">
        <f t="shared" si="60"/>
        <v>0</v>
      </c>
      <c r="G444" s="7" t="str">
        <f t="shared" si="61"/>
        <v/>
      </c>
      <c r="I444" s="23">
        <f t="shared" si="62"/>
        <v>2001</v>
      </c>
      <c r="J444" s="23" t="str">
        <f t="shared" si="63"/>
        <v>07</v>
      </c>
      <c r="K444" s="23" t="str">
        <f t="shared" si="64"/>
        <v>2001-07-01</v>
      </c>
      <c r="M444" s="11" t="s">
        <v>690</v>
      </c>
      <c r="N444" s="11" t="s">
        <v>1021</v>
      </c>
      <c r="O444" s="9">
        <v>44743</v>
      </c>
      <c r="P444" s="13">
        <v>2769450</v>
      </c>
    </row>
    <row r="445" spans="1:16" x14ac:dyDescent="0.25">
      <c r="A445" s="19" t="str">
        <f>VLOOKUP(LEFT(M445,3),Category!$G$3:$H$73,2,0)</f>
        <v>REFRIGERATOR</v>
      </c>
      <c r="B445" s="7" t="str">
        <f t="shared" si="56"/>
        <v>SJ-195MN-HS</v>
      </c>
      <c r="C445" s="7" t="str">
        <f t="shared" si="57"/>
        <v>2 Door 172 L, Dark Silver Hairline Steel Door, MEGA Freezer, MEGA Crisper,LED Lamp, Low Voltage System, HALAL certified</v>
      </c>
      <c r="D445" s="25" t="str">
        <f t="shared" si="58"/>
        <v>2023-01-01</v>
      </c>
      <c r="E445" s="7">
        <f t="shared" si="59"/>
        <v>2713950</v>
      </c>
      <c r="F445" s="6">
        <f t="shared" si="60"/>
        <v>0</v>
      </c>
      <c r="G445" s="7" t="str">
        <f t="shared" si="61"/>
        <v/>
      </c>
      <c r="I445" s="23">
        <f t="shared" si="62"/>
        <v>2023</v>
      </c>
      <c r="J445" s="23" t="str">
        <f t="shared" si="63"/>
        <v>01</v>
      </c>
      <c r="K445" s="23" t="str">
        <f t="shared" si="64"/>
        <v>2023-01-01</v>
      </c>
      <c r="M445" s="11" t="s">
        <v>691</v>
      </c>
      <c r="N445" s="11" t="s">
        <v>1022</v>
      </c>
      <c r="O445" s="9">
        <v>44927</v>
      </c>
      <c r="P445" s="13">
        <v>2713950</v>
      </c>
    </row>
    <row r="446" spans="1:16" x14ac:dyDescent="0.25">
      <c r="A446" s="19" t="str">
        <f>VLOOKUP(LEFT(M446,3),Category!$G$3:$H$73,2,0)</f>
        <v>REFRIGERATOR</v>
      </c>
      <c r="B446" s="7" t="str">
        <f t="shared" si="56"/>
        <v>SJ-197ND-VB</v>
      </c>
      <c r="C446" s="7" t="str">
        <f t="shared" si="57"/>
        <v>2 Door 172 L, Blue Helix Stainless Steel Door, EXTRA BIG Freezer, LED Lamp, Low Voltage System, HALAL certified</v>
      </c>
      <c r="D446" s="25" t="str">
        <f t="shared" si="58"/>
        <v>2020-01-01</v>
      </c>
      <c r="E446" s="7">
        <f t="shared" si="59"/>
        <v>2776110</v>
      </c>
      <c r="F446" s="6">
        <f t="shared" si="60"/>
        <v>0</v>
      </c>
      <c r="G446" s="7" t="str">
        <f t="shared" si="61"/>
        <v/>
      </c>
      <c r="I446" s="23">
        <f t="shared" si="62"/>
        <v>2020</v>
      </c>
      <c r="J446" s="23" t="str">
        <f t="shared" si="63"/>
        <v>01</v>
      </c>
      <c r="K446" s="23" t="str">
        <f t="shared" si="64"/>
        <v>2020-01-01</v>
      </c>
      <c r="M446" s="11" t="s">
        <v>108</v>
      </c>
      <c r="N446" s="11" t="s">
        <v>1023</v>
      </c>
      <c r="O446" s="9">
        <v>43831</v>
      </c>
      <c r="P446" s="13">
        <v>2776110</v>
      </c>
    </row>
    <row r="447" spans="1:16" x14ac:dyDescent="0.25">
      <c r="A447" s="19" t="str">
        <f>VLOOKUP(LEFT(M447,3),Category!$G$3:$H$73,2,0)</f>
        <v>REFRIGERATOR</v>
      </c>
      <c r="B447" s="7" t="str">
        <f t="shared" si="56"/>
        <v>SJ-197ND-VB2</v>
      </c>
      <c r="C447" s="7" t="str">
        <f t="shared" si="57"/>
        <v>2 Door 172 L, Blue Helix Stainless Steel Door, EXTRA BIG Freezer, LED Lamp, Low Voltage System, HALAL certified</v>
      </c>
      <c r="D447" s="25" t="str">
        <f t="shared" si="58"/>
        <v>2001-07-01</v>
      </c>
      <c r="E447" s="7">
        <f t="shared" si="59"/>
        <v>2776110</v>
      </c>
      <c r="F447" s="6">
        <f t="shared" si="60"/>
        <v>0</v>
      </c>
      <c r="G447" s="7" t="str">
        <f t="shared" si="61"/>
        <v/>
      </c>
      <c r="I447" s="23">
        <f t="shared" si="62"/>
        <v>2001</v>
      </c>
      <c r="J447" s="23" t="str">
        <f t="shared" si="63"/>
        <v>07</v>
      </c>
      <c r="K447" s="23" t="str">
        <f t="shared" si="64"/>
        <v>2001-07-01</v>
      </c>
      <c r="M447" s="11" t="s">
        <v>692</v>
      </c>
      <c r="N447" s="11" t="s">
        <v>1023</v>
      </c>
      <c r="O447" s="9">
        <v>44743</v>
      </c>
      <c r="P447" s="13">
        <v>2776110</v>
      </c>
    </row>
    <row r="448" spans="1:16" x14ac:dyDescent="0.25">
      <c r="A448" s="19" t="str">
        <f>VLOOKUP(LEFT(M448,3),Category!$G$3:$H$73,2,0)</f>
        <v>REFRIGERATOR</v>
      </c>
      <c r="B448" s="7" t="str">
        <f t="shared" si="56"/>
        <v>SJ-197ND-VP</v>
      </c>
      <c r="C448" s="7" t="str">
        <f t="shared" si="57"/>
        <v>2 Door 172 L, Purple Helix Stainless Steel Door, EXTRA BIG Freezer, LED Lamp, Low Voltage System, HALAL certified</v>
      </c>
      <c r="D448" s="25" t="str">
        <f t="shared" si="58"/>
        <v>2020-01-01</v>
      </c>
      <c r="E448" s="7">
        <f t="shared" si="59"/>
        <v>2776110</v>
      </c>
      <c r="F448" s="6">
        <f t="shared" si="60"/>
        <v>0</v>
      </c>
      <c r="G448" s="7" t="str">
        <f t="shared" si="61"/>
        <v/>
      </c>
      <c r="I448" s="23">
        <f t="shared" si="62"/>
        <v>2020</v>
      </c>
      <c r="J448" s="23" t="str">
        <f t="shared" si="63"/>
        <v>01</v>
      </c>
      <c r="K448" s="23" t="str">
        <f t="shared" si="64"/>
        <v>2020-01-01</v>
      </c>
      <c r="M448" s="11" t="s">
        <v>109</v>
      </c>
      <c r="N448" s="11" t="s">
        <v>1024</v>
      </c>
      <c r="O448" s="9">
        <v>43831</v>
      </c>
      <c r="P448" s="13">
        <v>2776110</v>
      </c>
    </row>
    <row r="449" spans="1:16" x14ac:dyDescent="0.25">
      <c r="A449" s="19" t="str">
        <f>VLOOKUP(LEFT(M449,3),Category!$G$3:$H$73,2,0)</f>
        <v>REFRIGERATOR</v>
      </c>
      <c r="B449" s="7" t="str">
        <f t="shared" si="56"/>
        <v>SJ-197ND-VP2</v>
      </c>
      <c r="C449" s="7" t="str">
        <f t="shared" si="57"/>
        <v>2 Door 172 L, Purple Helix Stainless Steel Door, EXTRA BIG Freezer, LED Lamp, Low Voltage System, HALAL certified</v>
      </c>
      <c r="D449" s="25" t="str">
        <f t="shared" si="58"/>
        <v>2001-07-01</v>
      </c>
      <c r="E449" s="7">
        <f t="shared" si="59"/>
        <v>2776110</v>
      </c>
      <c r="F449" s="6">
        <f t="shared" si="60"/>
        <v>0</v>
      </c>
      <c r="G449" s="7" t="str">
        <f t="shared" si="61"/>
        <v/>
      </c>
      <c r="I449" s="23">
        <f t="shared" si="62"/>
        <v>2001</v>
      </c>
      <c r="J449" s="23" t="str">
        <f t="shared" si="63"/>
        <v>07</v>
      </c>
      <c r="K449" s="23" t="str">
        <f t="shared" si="64"/>
        <v>2001-07-01</v>
      </c>
      <c r="M449" s="11" t="s">
        <v>693</v>
      </c>
      <c r="N449" s="11" t="s">
        <v>1024</v>
      </c>
      <c r="O449" s="9">
        <v>44743</v>
      </c>
      <c r="P449" s="13">
        <v>2776110</v>
      </c>
    </row>
    <row r="450" spans="1:16" x14ac:dyDescent="0.25">
      <c r="A450" s="19" t="str">
        <f>VLOOKUP(LEFT(M450,3),Category!$G$3:$H$73,2,0)</f>
        <v>REFRIGERATOR</v>
      </c>
      <c r="B450" s="7" t="str">
        <f t="shared" si="56"/>
        <v>SJ-236MG-GB</v>
      </c>
      <c r="C450" s="7" t="str">
        <f t="shared" si="57"/>
        <v>2 Door 205 L, Blue Geometric Flat MagneGlass Steel Door, EXTRA BIG Freezer, LED Lamp, Low Voltage System, HALAL certified</v>
      </c>
      <c r="D450" s="25" t="str">
        <f t="shared" si="58"/>
        <v>2018-04-01</v>
      </c>
      <c r="E450" s="7">
        <f t="shared" si="59"/>
        <v>3113550</v>
      </c>
      <c r="F450" s="6">
        <f t="shared" si="60"/>
        <v>0</v>
      </c>
      <c r="G450" s="7" t="str">
        <f t="shared" si="61"/>
        <v/>
      </c>
      <c r="I450" s="23">
        <f t="shared" si="62"/>
        <v>2018</v>
      </c>
      <c r="J450" s="23" t="str">
        <f t="shared" si="63"/>
        <v>04</v>
      </c>
      <c r="K450" s="23" t="str">
        <f t="shared" si="64"/>
        <v>2018-04-01</v>
      </c>
      <c r="M450" s="11" t="s">
        <v>212</v>
      </c>
      <c r="N450" s="11" t="s">
        <v>1025</v>
      </c>
      <c r="O450" s="9">
        <v>43191</v>
      </c>
      <c r="P450" s="13">
        <v>3113550</v>
      </c>
    </row>
    <row r="451" spans="1:16" x14ac:dyDescent="0.25">
      <c r="A451" s="19" t="str">
        <f>VLOOKUP(LEFT(M451,3),Category!$G$3:$H$73,2,0)</f>
        <v>REFRIGERATOR</v>
      </c>
      <c r="B451" s="7" t="str">
        <f t="shared" si="56"/>
        <v>SJ-236MG-GR</v>
      </c>
      <c r="C451" s="7" t="str">
        <f t="shared" si="57"/>
        <v>2 Door 205 L, Blue Geometric Flat MagneGlass Steel Door, EXTRA BIG Freezer, LED Lamp, Low Voltage System, HALAL certified</v>
      </c>
      <c r="D451" s="25" t="str">
        <f t="shared" si="58"/>
        <v>2020-01-01</v>
      </c>
      <c r="E451" s="7">
        <f t="shared" si="59"/>
        <v>3113550</v>
      </c>
      <c r="F451" s="6">
        <f t="shared" si="60"/>
        <v>0</v>
      </c>
      <c r="G451" s="7" t="str">
        <f t="shared" si="61"/>
        <v/>
      </c>
      <c r="I451" s="23">
        <f t="shared" si="62"/>
        <v>2020</v>
      </c>
      <c r="J451" s="23" t="str">
        <f t="shared" si="63"/>
        <v>01</v>
      </c>
      <c r="K451" s="23" t="str">
        <f t="shared" si="64"/>
        <v>2020-01-01</v>
      </c>
      <c r="M451" s="11" t="s">
        <v>110</v>
      </c>
      <c r="N451" s="11" t="s">
        <v>1025</v>
      </c>
      <c r="O451" s="9">
        <v>43831</v>
      </c>
      <c r="P451" s="13">
        <v>3113550</v>
      </c>
    </row>
    <row r="452" spans="1:16" x14ac:dyDescent="0.25">
      <c r="A452" s="19" t="str">
        <f>VLOOKUP(LEFT(M452,3),Category!$G$3:$H$73,2,0)</f>
        <v>REFRIGERATOR</v>
      </c>
      <c r="B452" s="7" t="str">
        <f t="shared" si="56"/>
        <v>SJ-236MN-HS</v>
      </c>
      <c r="C452" s="7" t="str">
        <f t="shared" si="57"/>
        <v>2 Door 205 L, Dark Silver Finish Stainless Steel Door, EXTRA BIG Freezer, LED Lamp, Low Wattage &amp; Low Voltage System, HALAL Certified</v>
      </c>
      <c r="D452" s="25" t="str">
        <f t="shared" si="58"/>
        <v>2021-07-01</v>
      </c>
      <c r="E452" s="7">
        <f t="shared" si="59"/>
        <v>2960370</v>
      </c>
      <c r="F452" s="6">
        <f t="shared" si="60"/>
        <v>0</v>
      </c>
      <c r="G452" s="7" t="str">
        <f t="shared" si="61"/>
        <v/>
      </c>
      <c r="I452" s="23">
        <f t="shared" si="62"/>
        <v>2021</v>
      </c>
      <c r="J452" s="23" t="str">
        <f t="shared" si="63"/>
        <v>07</v>
      </c>
      <c r="K452" s="23" t="str">
        <f t="shared" si="64"/>
        <v>2021-07-01</v>
      </c>
      <c r="M452" s="11" t="s">
        <v>369</v>
      </c>
      <c r="N452" s="11" t="s">
        <v>1026</v>
      </c>
      <c r="O452" s="9">
        <v>44378</v>
      </c>
      <c r="P452" s="13">
        <v>2960370</v>
      </c>
    </row>
    <row r="453" spans="1:16" x14ac:dyDescent="0.25">
      <c r="A453" s="19" t="str">
        <f>VLOOKUP(LEFT(M453,3),Category!$G$3:$H$73,2,0)</f>
        <v>REFRIGERATOR</v>
      </c>
      <c r="B453" s="7" t="str">
        <f t="shared" si="56"/>
        <v>SJ-237MG-DB</v>
      </c>
      <c r="C453" s="7" t="str">
        <f t="shared" si="57"/>
        <v>2 Door 205 L, Blue Dandelion Flat MagneGlass Steel Door, EXTRA BIG Freezer, LED Lamp, Low Voltage System, HALAL certified</v>
      </c>
      <c r="D453" s="25" t="str">
        <f t="shared" si="58"/>
        <v>2020-01-01</v>
      </c>
      <c r="E453" s="7">
        <f t="shared" si="59"/>
        <v>3113550</v>
      </c>
      <c r="F453" s="6">
        <f t="shared" si="60"/>
        <v>0</v>
      </c>
      <c r="G453" s="7" t="str">
        <f t="shared" si="61"/>
        <v/>
      </c>
      <c r="I453" s="23">
        <f t="shared" si="62"/>
        <v>2020</v>
      </c>
      <c r="J453" s="23" t="str">
        <f t="shared" si="63"/>
        <v>01</v>
      </c>
      <c r="K453" s="23" t="str">
        <f t="shared" si="64"/>
        <v>2020-01-01</v>
      </c>
      <c r="M453" s="11" t="s">
        <v>111</v>
      </c>
      <c r="N453" s="11" t="s">
        <v>1027</v>
      </c>
      <c r="O453" s="9">
        <v>43831</v>
      </c>
      <c r="P453" s="13">
        <v>3113550</v>
      </c>
    </row>
    <row r="454" spans="1:16" x14ac:dyDescent="0.25">
      <c r="A454" s="19" t="str">
        <f>VLOOKUP(LEFT(M454,3),Category!$G$3:$H$73,2,0)</f>
        <v>REFRIGERATOR</v>
      </c>
      <c r="B454" s="7" t="str">
        <f t="shared" si="56"/>
        <v>SJ-237MG-DP</v>
      </c>
      <c r="C454" s="7" t="str">
        <f t="shared" si="57"/>
        <v>2 Door 205 L, Purple Dandelion Flat MagneGlass Steel Door, EXTRA BIG Freezer, LED Lamp, Low Voltage System, HALAL certified</v>
      </c>
      <c r="D454" s="25" t="str">
        <f t="shared" si="58"/>
        <v>2020-01-01</v>
      </c>
      <c r="E454" s="7">
        <f t="shared" si="59"/>
        <v>3113550</v>
      </c>
      <c r="F454" s="6">
        <f t="shared" si="60"/>
        <v>0</v>
      </c>
      <c r="G454" s="7" t="str">
        <f t="shared" si="61"/>
        <v/>
      </c>
      <c r="I454" s="23">
        <f t="shared" si="62"/>
        <v>2020</v>
      </c>
      <c r="J454" s="23" t="str">
        <f t="shared" si="63"/>
        <v>01</v>
      </c>
      <c r="K454" s="23" t="str">
        <f t="shared" si="64"/>
        <v>2020-01-01</v>
      </c>
      <c r="M454" s="11" t="s">
        <v>112</v>
      </c>
      <c r="N454" s="11" t="s">
        <v>1028</v>
      </c>
      <c r="O454" s="9">
        <v>43831</v>
      </c>
      <c r="P454" s="13">
        <v>3113550</v>
      </c>
    </row>
    <row r="455" spans="1:16" x14ac:dyDescent="0.25">
      <c r="A455" s="19" t="str">
        <f>VLOOKUP(LEFT(M455,3),Category!$G$3:$H$73,2,0)</f>
        <v>REFRIGERATOR</v>
      </c>
      <c r="B455" s="7" t="str">
        <f t="shared" ref="B455:B518" si="65">UPPER(M455)</f>
        <v>SJ-237ND-AB</v>
      </c>
      <c r="C455" s="7" t="str">
        <f t="shared" ref="C455:C518" si="66">IF(OR(N455="",N455=0),"",N455)</f>
        <v>2 Door 205 L, Blue Helix Stainless Steel Door, EXTRA BIG Freezer, LED Lamp, Low Voltage System, HALAL certified</v>
      </c>
      <c r="D455" s="25" t="str">
        <f t="shared" ref="D455:D518" si="67">IFERROR(K455,"")</f>
        <v>2020-01-01</v>
      </c>
      <c r="E455" s="7">
        <f t="shared" ref="E455:E518" si="68">P455</f>
        <v>3110220</v>
      </c>
      <c r="F455" s="6">
        <f t="shared" ref="F455:F518" si="69">IF(O455="DISC",1,0)</f>
        <v>0</v>
      </c>
      <c r="G455" s="7" t="str">
        <f t="shared" ref="G455:G518" si="70">IF(R455="","",R455)</f>
        <v/>
      </c>
      <c r="I455" s="23">
        <f t="shared" ref="I455:I518" si="71">IF(YEAR(O455)=2022,2000+DAY(O455),YEAR(O455))</f>
        <v>2020</v>
      </c>
      <c r="J455" s="23" t="str">
        <f t="shared" ref="J455:J518" si="72">IF(MONTH(O455)&lt;10,"0"&amp;MONTH(O455),MONTH(O455))</f>
        <v>01</v>
      </c>
      <c r="K455" s="23" t="str">
        <f t="shared" ref="K455:K518" si="73">I455&amp;"-"&amp;J455&amp;"-01"</f>
        <v>2020-01-01</v>
      </c>
      <c r="M455" s="11" t="s">
        <v>113</v>
      </c>
      <c r="N455" s="11" t="s">
        <v>1029</v>
      </c>
      <c r="O455" s="9">
        <v>43831</v>
      </c>
      <c r="P455" s="13">
        <v>3110220</v>
      </c>
    </row>
    <row r="456" spans="1:16" x14ac:dyDescent="0.25">
      <c r="A456" s="19" t="str">
        <f>VLOOKUP(LEFT(M456,3),Category!$G$3:$H$73,2,0)</f>
        <v>REFRIGERATOR</v>
      </c>
      <c r="B456" s="7" t="str">
        <f t="shared" si="65"/>
        <v>SJ-237ND-AP</v>
      </c>
      <c r="C456" s="7" t="str">
        <f t="shared" si="66"/>
        <v>2 Door 205 L, Pink Helix Stainless Steel Door, EXTRA BIG Freezer, LED Lamp, Low Voltage System, HALAL certified</v>
      </c>
      <c r="D456" s="25" t="str">
        <f t="shared" si="67"/>
        <v>2020-01-01</v>
      </c>
      <c r="E456" s="7">
        <f t="shared" si="68"/>
        <v>3110220</v>
      </c>
      <c r="F456" s="6">
        <f t="shared" si="69"/>
        <v>0</v>
      </c>
      <c r="G456" s="7" t="str">
        <f t="shared" si="70"/>
        <v/>
      </c>
      <c r="I456" s="23">
        <f t="shared" si="71"/>
        <v>2020</v>
      </c>
      <c r="J456" s="23" t="str">
        <f t="shared" si="72"/>
        <v>01</v>
      </c>
      <c r="K456" s="23" t="str">
        <f t="shared" si="73"/>
        <v>2020-01-01</v>
      </c>
      <c r="M456" s="11" t="s">
        <v>114</v>
      </c>
      <c r="N456" s="11" t="s">
        <v>1030</v>
      </c>
      <c r="O456" s="9">
        <v>43831</v>
      </c>
      <c r="P456" s="13">
        <v>3110220</v>
      </c>
    </row>
    <row r="457" spans="1:16" x14ac:dyDescent="0.25">
      <c r="A457" s="19" t="str">
        <f>VLOOKUP(LEFT(M457,3),Category!$G$3:$H$73,2,0)</f>
        <v>REFRIGERATOR</v>
      </c>
      <c r="B457" s="7" t="str">
        <f t="shared" si="65"/>
        <v>SJ-237ND-AS</v>
      </c>
      <c r="C457" s="7" t="str">
        <f t="shared" si="66"/>
        <v>2 Door 205 L, Silver Helix Stainless Steel Door, EXTRA BIG Freezer, LED Lamp, Low Voltage System, HALAL certified</v>
      </c>
      <c r="D457" s="25" t="str">
        <f t="shared" si="67"/>
        <v>2020-01-01</v>
      </c>
      <c r="E457" s="7">
        <f t="shared" si="68"/>
        <v>3046950</v>
      </c>
      <c r="F457" s="6">
        <f t="shared" si="69"/>
        <v>0</v>
      </c>
      <c r="G457" s="7" t="str">
        <f t="shared" si="70"/>
        <v/>
      </c>
      <c r="I457" s="23">
        <f t="shared" si="71"/>
        <v>2020</v>
      </c>
      <c r="J457" s="23" t="str">
        <f t="shared" si="72"/>
        <v>01</v>
      </c>
      <c r="K457" s="23" t="str">
        <f t="shared" si="73"/>
        <v>2020-01-01</v>
      </c>
      <c r="M457" s="11" t="s">
        <v>115</v>
      </c>
      <c r="N457" s="11" t="s">
        <v>1031</v>
      </c>
      <c r="O457" s="9">
        <v>43831</v>
      </c>
      <c r="P457" s="13">
        <v>3046950</v>
      </c>
    </row>
    <row r="458" spans="1:16" x14ac:dyDescent="0.25">
      <c r="A458" s="19" t="str">
        <f>VLOOKUP(LEFT(M458,3),Category!$G$3:$H$73,2,0)</f>
        <v>REFRIGERATOR</v>
      </c>
      <c r="B458" s="7" t="str">
        <f t="shared" si="65"/>
        <v>SJ-246GC-SD</v>
      </c>
      <c r="C458" s="7" t="str">
        <f t="shared" si="66"/>
        <v>2 Door 205 L, Dark Gray Stainless Steel Door, Diamond Handle Grip, EXTRA BIG Freezer, LED Lamp, Low Voltage System, HALAL certified</v>
      </c>
      <c r="D458" s="25" t="str">
        <f t="shared" si="67"/>
        <v>2018-06-01</v>
      </c>
      <c r="E458" s="7">
        <f t="shared" si="68"/>
        <v>3401040</v>
      </c>
      <c r="F458" s="6">
        <f t="shared" si="69"/>
        <v>0</v>
      </c>
      <c r="G458" s="7" t="str">
        <f t="shared" si="70"/>
        <v/>
      </c>
      <c r="I458" s="23">
        <f t="shared" si="71"/>
        <v>2018</v>
      </c>
      <c r="J458" s="23" t="str">
        <f t="shared" si="72"/>
        <v>06</v>
      </c>
      <c r="K458" s="23" t="str">
        <f t="shared" si="73"/>
        <v>2018-06-01</v>
      </c>
      <c r="M458" s="11" t="s">
        <v>329</v>
      </c>
      <c r="N458" s="11" t="s">
        <v>1032</v>
      </c>
      <c r="O458" s="9">
        <v>43252</v>
      </c>
      <c r="P458" s="13">
        <v>3401040</v>
      </c>
    </row>
    <row r="459" spans="1:16" x14ac:dyDescent="0.25">
      <c r="A459" s="19" t="str">
        <f>VLOOKUP(LEFT(M459,3),Category!$G$3:$H$73,2,0)</f>
        <v>REFRIGERATOR</v>
      </c>
      <c r="B459" s="7" t="str">
        <f t="shared" si="65"/>
        <v>SJ-246GC-SR</v>
      </c>
      <c r="C459" s="7" t="str">
        <f t="shared" si="66"/>
        <v>2 Door 205 L, Dark Purple Stainless Steel Door, Diamond Handle Grip, EXTRA BIG Freezer, LED Lamp, Low Voltage System, HALAL certified</v>
      </c>
      <c r="D459" s="25" t="str">
        <f t="shared" si="67"/>
        <v>2018-06-01</v>
      </c>
      <c r="E459" s="7">
        <f t="shared" si="68"/>
        <v>3401040</v>
      </c>
      <c r="F459" s="6">
        <f t="shared" si="69"/>
        <v>0</v>
      </c>
      <c r="G459" s="7" t="str">
        <f t="shared" si="70"/>
        <v/>
      </c>
      <c r="I459" s="23">
        <f t="shared" si="71"/>
        <v>2018</v>
      </c>
      <c r="J459" s="23" t="str">
        <f t="shared" si="72"/>
        <v>06</v>
      </c>
      <c r="K459" s="23" t="str">
        <f t="shared" si="73"/>
        <v>2018-06-01</v>
      </c>
      <c r="M459" s="11" t="s">
        <v>330</v>
      </c>
      <c r="N459" s="11" t="s">
        <v>1033</v>
      </c>
      <c r="O459" s="9">
        <v>43252</v>
      </c>
      <c r="P459" s="13">
        <v>3401040</v>
      </c>
    </row>
    <row r="460" spans="1:16" x14ac:dyDescent="0.25">
      <c r="A460" s="19" t="str">
        <f>VLOOKUP(LEFT(M460,3),Category!$G$3:$H$73,2,0)</f>
        <v>REFRIGERATOR</v>
      </c>
      <c r="B460" s="7" t="str">
        <f t="shared" si="65"/>
        <v>SJ-246XG-MR</v>
      </c>
      <c r="C460" s="7" t="str">
        <f t="shared" si="66"/>
        <v>2 Door 205 L, Silver Matrix Glass Door, EXTRA BIG Freezer, LED Lamp, Low Voltage System, HALAL certified</v>
      </c>
      <c r="D460" s="25" t="str">
        <f t="shared" si="67"/>
        <v>2017-02-01</v>
      </c>
      <c r="E460" s="7">
        <f t="shared" si="68"/>
        <v>3448770</v>
      </c>
      <c r="F460" s="6">
        <f t="shared" si="69"/>
        <v>0</v>
      </c>
      <c r="G460" s="7" t="str">
        <f t="shared" si="70"/>
        <v/>
      </c>
      <c r="I460" s="23">
        <f t="shared" si="71"/>
        <v>2017</v>
      </c>
      <c r="J460" s="23" t="str">
        <f t="shared" si="72"/>
        <v>02</v>
      </c>
      <c r="K460" s="23" t="str">
        <f t="shared" si="73"/>
        <v>2017-02-01</v>
      </c>
      <c r="M460" s="11" t="s">
        <v>135</v>
      </c>
      <c r="N460" s="11" t="s">
        <v>1034</v>
      </c>
      <c r="O460" s="9">
        <v>42767</v>
      </c>
      <c r="P460" s="13">
        <v>3448770</v>
      </c>
    </row>
    <row r="461" spans="1:16" x14ac:dyDescent="0.25">
      <c r="A461" s="19" t="str">
        <f>VLOOKUP(LEFT(M461,3),Category!$G$3:$H$73,2,0)</f>
        <v>REFRIGERATOR</v>
      </c>
      <c r="B461" s="7" t="str">
        <f t="shared" si="65"/>
        <v>SJ-246XG-MS</v>
      </c>
      <c r="C461" s="7" t="str">
        <f t="shared" si="66"/>
        <v>2 Door 205 L, RED Matrix Glass Door, EXTRA BIG Freezer, LED Lamp, Low Voltage System, HALAL certified</v>
      </c>
      <c r="D461" s="25" t="str">
        <f t="shared" si="67"/>
        <v>2017-02-01</v>
      </c>
      <c r="E461" s="7">
        <f t="shared" si="68"/>
        <v>3448770</v>
      </c>
      <c r="F461" s="6">
        <f t="shared" si="69"/>
        <v>0</v>
      </c>
      <c r="G461" s="7" t="str">
        <f t="shared" si="70"/>
        <v/>
      </c>
      <c r="I461" s="23">
        <f t="shared" si="71"/>
        <v>2017</v>
      </c>
      <c r="J461" s="23" t="str">
        <f t="shared" si="72"/>
        <v>02</v>
      </c>
      <c r="K461" s="23" t="str">
        <f t="shared" si="73"/>
        <v>2017-02-01</v>
      </c>
      <c r="M461" s="11" t="s">
        <v>136</v>
      </c>
      <c r="N461" s="11" t="s">
        <v>1035</v>
      </c>
      <c r="O461" s="9">
        <v>42767</v>
      </c>
      <c r="P461" s="13">
        <v>3448770</v>
      </c>
    </row>
    <row r="462" spans="1:16" x14ac:dyDescent="0.25">
      <c r="A462" s="19" t="str">
        <f>VLOOKUP(LEFT(M462,3),Category!$G$3:$H$73,2,0)</f>
        <v>REFRIGERATOR</v>
      </c>
      <c r="B462" s="7" t="str">
        <f t="shared" si="65"/>
        <v>SJ-246XI-MK</v>
      </c>
      <c r="C462" s="7" t="str">
        <f t="shared" si="66"/>
        <v>2 Door 205 L, Black Hairline Glass Door, J-Tech INV, EXTRA BIG Freezer, LED Lamp, Low Voltage System, HALAL certified</v>
      </c>
      <c r="D462" s="25" t="str">
        <f t="shared" si="67"/>
        <v>2017-08-01</v>
      </c>
      <c r="E462" s="7">
        <f t="shared" si="68"/>
        <v>4316790</v>
      </c>
      <c r="F462" s="6">
        <f t="shared" si="69"/>
        <v>0</v>
      </c>
      <c r="G462" s="7" t="str">
        <f t="shared" si="70"/>
        <v/>
      </c>
      <c r="I462" s="23">
        <f t="shared" si="71"/>
        <v>2017</v>
      </c>
      <c r="J462" s="23" t="str">
        <f t="shared" si="72"/>
        <v>08</v>
      </c>
      <c r="K462" s="23" t="str">
        <f t="shared" si="73"/>
        <v>2017-08-01</v>
      </c>
      <c r="M462" s="11" t="s">
        <v>383</v>
      </c>
      <c r="N462" s="11" t="s">
        <v>1036</v>
      </c>
      <c r="O462" s="9">
        <v>42948</v>
      </c>
      <c r="P462" s="13">
        <v>4316790</v>
      </c>
    </row>
    <row r="463" spans="1:16" x14ac:dyDescent="0.25">
      <c r="A463" s="19" t="str">
        <f>VLOOKUP(LEFT(M463,3),Category!$G$3:$H$73,2,0)</f>
        <v>REFRIGERATOR</v>
      </c>
      <c r="B463" s="7" t="str">
        <f t="shared" si="65"/>
        <v>SJ-316MG-GB</v>
      </c>
      <c r="C463" s="7" t="str">
        <f t="shared" si="66"/>
        <v>2 Door 256 L, Blue Geometric Flat MagneGlass Steel Door, EXTRA BIG Freezer, LED Lamp, Low Voltage System, HALAL certified</v>
      </c>
      <c r="D463" s="25" t="str">
        <f t="shared" si="67"/>
        <v>2018-04-01</v>
      </c>
      <c r="E463" s="7">
        <f t="shared" si="68"/>
        <v>3665220</v>
      </c>
      <c r="F463" s="6">
        <f t="shared" si="69"/>
        <v>0</v>
      </c>
      <c r="G463" s="7" t="str">
        <f t="shared" si="70"/>
        <v/>
      </c>
      <c r="I463" s="23">
        <f t="shared" si="71"/>
        <v>2018</v>
      </c>
      <c r="J463" s="23" t="str">
        <f t="shared" si="72"/>
        <v>04</v>
      </c>
      <c r="K463" s="23" t="str">
        <f t="shared" si="73"/>
        <v>2018-04-01</v>
      </c>
      <c r="M463" s="11" t="s">
        <v>213</v>
      </c>
      <c r="N463" s="11" t="s">
        <v>1037</v>
      </c>
      <c r="O463" s="9">
        <v>43191</v>
      </c>
      <c r="P463" s="13">
        <v>3665220</v>
      </c>
    </row>
    <row r="464" spans="1:16" x14ac:dyDescent="0.25">
      <c r="A464" s="19" t="str">
        <f>VLOOKUP(LEFT(M464,3),Category!$G$3:$H$73,2,0)</f>
        <v>REFRIGERATOR</v>
      </c>
      <c r="B464" s="7" t="str">
        <f t="shared" si="65"/>
        <v>SJ-316MG-GR</v>
      </c>
      <c r="C464" s="7" t="str">
        <f t="shared" si="66"/>
        <v>2 Door 256 L, Blue Geometric Flat MagneGlass Steel Door, EXTRA BIG Freezer, LED Lamp, Low Voltage System, HALAL certified</v>
      </c>
      <c r="D464" s="25" t="str">
        <f t="shared" si="67"/>
        <v>2018-04-01</v>
      </c>
      <c r="E464" s="7">
        <f t="shared" si="68"/>
        <v>3665220</v>
      </c>
      <c r="F464" s="6">
        <f t="shared" si="69"/>
        <v>0</v>
      </c>
      <c r="G464" s="7" t="str">
        <f t="shared" si="70"/>
        <v/>
      </c>
      <c r="I464" s="23">
        <f t="shared" si="71"/>
        <v>2018</v>
      </c>
      <c r="J464" s="23" t="str">
        <f t="shared" si="72"/>
        <v>04</v>
      </c>
      <c r="K464" s="23" t="str">
        <f t="shared" si="73"/>
        <v>2018-04-01</v>
      </c>
      <c r="M464" s="11" t="s">
        <v>214</v>
      </c>
      <c r="N464" s="11" t="s">
        <v>1037</v>
      </c>
      <c r="O464" s="9">
        <v>43191</v>
      </c>
      <c r="P464" s="13">
        <v>3665220</v>
      </c>
    </row>
    <row r="465" spans="1:16" x14ac:dyDescent="0.25">
      <c r="A465" s="19" t="str">
        <f>VLOOKUP(LEFT(M465,3),Category!$G$3:$H$73,2,0)</f>
        <v>REFRIGERATOR</v>
      </c>
      <c r="B465" s="7" t="str">
        <f t="shared" si="65"/>
        <v>SJ-316MN-HS</v>
      </c>
      <c r="C465" s="7" t="str">
        <f t="shared" si="66"/>
        <v>2 Door 256 L, Dark Silver Hairline Steel Door, MEGA Freezer, MEGA Crisper,LED Lamp, Low Voltage System, HALAL certified</v>
      </c>
      <c r="D465" s="25" t="str">
        <f t="shared" si="67"/>
        <v>2023-01-01</v>
      </c>
      <c r="E465" s="7">
        <f t="shared" si="68"/>
        <v>3535350</v>
      </c>
      <c r="F465" s="6">
        <f t="shared" si="69"/>
        <v>0</v>
      </c>
      <c r="G465" s="7" t="str">
        <f t="shared" si="70"/>
        <v/>
      </c>
      <c r="I465" s="23">
        <f t="shared" si="71"/>
        <v>2023</v>
      </c>
      <c r="J465" s="23" t="str">
        <f t="shared" si="72"/>
        <v>01</v>
      </c>
      <c r="K465" s="23" t="str">
        <f t="shared" si="73"/>
        <v>2023-01-01</v>
      </c>
      <c r="M465" s="11" t="s">
        <v>694</v>
      </c>
      <c r="N465" s="11" t="s">
        <v>1038</v>
      </c>
      <c r="O465" s="9">
        <v>44927</v>
      </c>
      <c r="P465" s="13">
        <v>3535350</v>
      </c>
    </row>
    <row r="466" spans="1:16" x14ac:dyDescent="0.25">
      <c r="A466" s="19" t="str">
        <f>VLOOKUP(LEFT(M466,3),Category!$G$3:$H$73,2,0)</f>
        <v>REFRIGERATOR</v>
      </c>
      <c r="B466" s="7" t="str">
        <f t="shared" si="65"/>
        <v>SJ-317MG-DB</v>
      </c>
      <c r="C466" s="7" t="str">
        <f t="shared" si="66"/>
        <v>2 Door 205 L, Blue Dandelion Flat MagneGlass Steel Door, EXTRA BIG Freezer, LED Lamp, Low Voltage System, HALAL certified</v>
      </c>
      <c r="D466" s="25" t="str">
        <f t="shared" si="67"/>
        <v>2020-01-01</v>
      </c>
      <c r="E466" s="7">
        <f t="shared" si="68"/>
        <v>3665220</v>
      </c>
      <c r="F466" s="6">
        <f t="shared" si="69"/>
        <v>0</v>
      </c>
      <c r="G466" s="7" t="str">
        <f t="shared" si="70"/>
        <v/>
      </c>
      <c r="I466" s="23">
        <f t="shared" si="71"/>
        <v>2020</v>
      </c>
      <c r="J466" s="23" t="str">
        <f t="shared" si="72"/>
        <v>01</v>
      </c>
      <c r="K466" s="23" t="str">
        <f t="shared" si="73"/>
        <v>2020-01-01</v>
      </c>
      <c r="M466" s="11" t="s">
        <v>116</v>
      </c>
      <c r="N466" s="11" t="s">
        <v>1027</v>
      </c>
      <c r="O466" s="9">
        <v>43831</v>
      </c>
      <c r="P466" s="13">
        <v>3665220</v>
      </c>
    </row>
    <row r="467" spans="1:16" x14ac:dyDescent="0.25">
      <c r="A467" s="19" t="str">
        <f>VLOOKUP(LEFT(M467,3),Category!$G$3:$H$73,2,0)</f>
        <v>REFRIGERATOR</v>
      </c>
      <c r="B467" s="7" t="str">
        <f t="shared" si="65"/>
        <v>SJ-317MG-DP</v>
      </c>
      <c r="C467" s="7" t="str">
        <f t="shared" si="66"/>
        <v>2 Door 205 L, Purple Dandelion Flat MagneGlass Steel Door, EXTRA BIG Freezer, LED Lamp, Low Voltage System, HALAL certified</v>
      </c>
      <c r="D467" s="25" t="str">
        <f t="shared" si="67"/>
        <v>2020-01-01</v>
      </c>
      <c r="E467" s="7">
        <f t="shared" si="68"/>
        <v>3665220</v>
      </c>
      <c r="F467" s="6">
        <f t="shared" si="69"/>
        <v>0</v>
      </c>
      <c r="G467" s="7" t="str">
        <f t="shared" si="70"/>
        <v/>
      </c>
      <c r="I467" s="23">
        <f t="shared" si="71"/>
        <v>2020</v>
      </c>
      <c r="J467" s="23" t="str">
        <f t="shared" si="72"/>
        <v>01</v>
      </c>
      <c r="K467" s="23" t="str">
        <f t="shared" si="73"/>
        <v>2020-01-01</v>
      </c>
      <c r="M467" s="11" t="s">
        <v>117</v>
      </c>
      <c r="N467" s="11" t="s">
        <v>1028</v>
      </c>
      <c r="O467" s="9">
        <v>43831</v>
      </c>
      <c r="P467" s="13">
        <v>3665220</v>
      </c>
    </row>
    <row r="468" spans="1:16" x14ac:dyDescent="0.25">
      <c r="A468" s="19" t="str">
        <f>VLOOKUP(LEFT(M468,3),Category!$G$3:$H$73,2,0)</f>
        <v>REFRIGERATOR</v>
      </c>
      <c r="B468" s="7" t="str">
        <f t="shared" si="65"/>
        <v>SJ-326GC-SD</v>
      </c>
      <c r="C468" s="7" t="str">
        <f t="shared" si="66"/>
        <v>2 Door 256 L, Dark Gray Stainless Steel Door, Diamond Handle Grip, EXTRA BIG Freezer, LED Lamp, Low Voltage System, HALAL certified</v>
      </c>
      <c r="D468" s="25" t="str">
        <f t="shared" si="67"/>
        <v>2018-06-01</v>
      </c>
      <c r="E468" s="7">
        <f t="shared" si="68"/>
        <v>4061490</v>
      </c>
      <c r="F468" s="6">
        <f t="shared" si="69"/>
        <v>0</v>
      </c>
      <c r="G468" s="7" t="str">
        <f t="shared" si="70"/>
        <v/>
      </c>
      <c r="I468" s="23">
        <f t="shared" si="71"/>
        <v>2018</v>
      </c>
      <c r="J468" s="23" t="str">
        <f t="shared" si="72"/>
        <v>06</v>
      </c>
      <c r="K468" s="23" t="str">
        <f t="shared" si="73"/>
        <v>2018-06-01</v>
      </c>
      <c r="M468" s="11" t="s">
        <v>331</v>
      </c>
      <c r="N468" s="11" t="s">
        <v>1039</v>
      </c>
      <c r="O468" s="9">
        <v>43252</v>
      </c>
      <c r="P468" s="13">
        <v>4061490</v>
      </c>
    </row>
    <row r="469" spans="1:16" x14ac:dyDescent="0.25">
      <c r="A469" s="19" t="str">
        <f>VLOOKUP(LEFT(M469,3),Category!$G$3:$H$73,2,0)</f>
        <v>REFRIGERATOR</v>
      </c>
      <c r="B469" s="7" t="str">
        <f t="shared" si="65"/>
        <v>SJ-326GC-SR</v>
      </c>
      <c r="C469" s="7" t="str">
        <f t="shared" si="66"/>
        <v>2 Door 256 L, Dark Purple Stainless Steel Door, Diamond Handle Grip, EXTRA BIG Freezer, LED Lamp, Low Voltage System, HALAL certified</v>
      </c>
      <c r="D469" s="25" t="str">
        <f t="shared" si="67"/>
        <v>2018-06-01</v>
      </c>
      <c r="E469" s="7">
        <f t="shared" si="68"/>
        <v>4061490</v>
      </c>
      <c r="F469" s="6">
        <f t="shared" si="69"/>
        <v>0</v>
      </c>
      <c r="G469" s="7" t="str">
        <f t="shared" si="70"/>
        <v/>
      </c>
      <c r="I469" s="23">
        <f t="shared" si="71"/>
        <v>2018</v>
      </c>
      <c r="J469" s="23" t="str">
        <f t="shared" si="72"/>
        <v>06</v>
      </c>
      <c r="K469" s="23" t="str">
        <f t="shared" si="73"/>
        <v>2018-06-01</v>
      </c>
      <c r="M469" s="11" t="s">
        <v>332</v>
      </c>
      <c r="N469" s="11" t="s">
        <v>1040</v>
      </c>
      <c r="O469" s="9">
        <v>43252</v>
      </c>
      <c r="P469" s="13">
        <v>4061490</v>
      </c>
    </row>
    <row r="470" spans="1:16" x14ac:dyDescent="0.25">
      <c r="A470" s="19" t="str">
        <f>VLOOKUP(LEFT(M470,3),Category!$G$3:$H$73,2,0)</f>
        <v>REFRIGERATOR</v>
      </c>
      <c r="B470" s="7" t="str">
        <f t="shared" si="65"/>
        <v>SJ-326XG-CP</v>
      </c>
      <c r="C470" s="7" t="str">
        <f t="shared" si="66"/>
        <v>2 Door 256 L, Chameleon Purple Glass Door, EXTRA BIG Freezer, LED Lamp, Low Voltage System, HALAL Certified</v>
      </c>
      <c r="D470" s="25" t="str">
        <f t="shared" si="67"/>
        <v>2021-07-01</v>
      </c>
      <c r="E470" s="7">
        <f t="shared" si="68"/>
        <v>4242420</v>
      </c>
      <c r="F470" s="6">
        <f t="shared" si="69"/>
        <v>0</v>
      </c>
      <c r="G470" s="7" t="str">
        <f t="shared" si="70"/>
        <v/>
      </c>
      <c r="I470" s="23">
        <f t="shared" si="71"/>
        <v>2021</v>
      </c>
      <c r="J470" s="23" t="str">
        <f t="shared" si="72"/>
        <v>07</v>
      </c>
      <c r="K470" s="23" t="str">
        <f t="shared" si="73"/>
        <v>2021-07-01</v>
      </c>
      <c r="M470" s="11" t="s">
        <v>370</v>
      </c>
      <c r="N470" s="11" t="s">
        <v>1041</v>
      </c>
      <c r="O470" s="9">
        <v>44378</v>
      </c>
      <c r="P470" s="13">
        <v>4242420</v>
      </c>
    </row>
    <row r="471" spans="1:16" x14ac:dyDescent="0.25">
      <c r="A471" s="19" t="str">
        <f>VLOOKUP(LEFT(M471,3),Category!$G$3:$H$73,2,0)</f>
        <v>REFRIGERATOR</v>
      </c>
      <c r="B471" s="7" t="str">
        <f t="shared" si="65"/>
        <v>SJ-326XG-MR</v>
      </c>
      <c r="C471" s="7" t="str">
        <f t="shared" si="66"/>
        <v>2 Door 256 L, Silver Matrix Glass Door, EXTRA BIG Freezer, LED Lamp, Low Voltage System, HALAL certified</v>
      </c>
      <c r="D471" s="25" t="str">
        <f t="shared" si="67"/>
        <v>2017-02-01</v>
      </c>
      <c r="E471" s="7">
        <f t="shared" si="68"/>
        <v>4242420</v>
      </c>
      <c r="F471" s="6">
        <f t="shared" si="69"/>
        <v>0</v>
      </c>
      <c r="G471" s="7" t="str">
        <f t="shared" si="70"/>
        <v/>
      </c>
      <c r="I471" s="23">
        <f t="shared" si="71"/>
        <v>2017</v>
      </c>
      <c r="J471" s="23" t="str">
        <f t="shared" si="72"/>
        <v>02</v>
      </c>
      <c r="K471" s="23" t="str">
        <f t="shared" si="73"/>
        <v>2017-02-01</v>
      </c>
      <c r="M471" s="11" t="s">
        <v>137</v>
      </c>
      <c r="N471" s="11" t="s">
        <v>1042</v>
      </c>
      <c r="O471" s="9">
        <v>42767</v>
      </c>
      <c r="P471" s="13">
        <v>4242420</v>
      </c>
    </row>
    <row r="472" spans="1:16" x14ac:dyDescent="0.25">
      <c r="A472" s="19" t="str">
        <f>VLOOKUP(LEFT(M472,3),Category!$G$3:$H$73,2,0)</f>
        <v>REFRIGERATOR</v>
      </c>
      <c r="B472" s="7" t="str">
        <f t="shared" si="65"/>
        <v>SJ-326XG-MS</v>
      </c>
      <c r="C472" s="7" t="str">
        <f t="shared" si="66"/>
        <v>2 Door 256 L, RED Matrix Glass Door, EXTRA BIG Freezer, LED Lamp, Low Voltage System, HALAL certified</v>
      </c>
      <c r="D472" s="25" t="str">
        <f t="shared" si="67"/>
        <v>2017-02-01</v>
      </c>
      <c r="E472" s="7">
        <f t="shared" si="68"/>
        <v>4242420</v>
      </c>
      <c r="F472" s="6">
        <f t="shared" si="69"/>
        <v>0</v>
      </c>
      <c r="G472" s="7" t="str">
        <f t="shared" si="70"/>
        <v/>
      </c>
      <c r="I472" s="23">
        <f t="shared" si="71"/>
        <v>2017</v>
      </c>
      <c r="J472" s="23" t="str">
        <f t="shared" si="72"/>
        <v>02</v>
      </c>
      <c r="K472" s="23" t="str">
        <f t="shared" si="73"/>
        <v>2017-02-01</v>
      </c>
      <c r="M472" s="11" t="s">
        <v>138</v>
      </c>
      <c r="N472" s="11" t="s">
        <v>1043</v>
      </c>
      <c r="O472" s="9">
        <v>42767</v>
      </c>
      <c r="P472" s="13">
        <v>4242420</v>
      </c>
    </row>
    <row r="473" spans="1:16" x14ac:dyDescent="0.25">
      <c r="A473" s="19" t="str">
        <f>VLOOKUP(LEFT(M473,3),Category!$G$3:$H$73,2,0)</f>
        <v>REFRIGERATOR</v>
      </c>
      <c r="B473" s="7" t="str">
        <f t="shared" si="65"/>
        <v>SJ-326XI-MK</v>
      </c>
      <c r="C473" s="7" t="str">
        <f t="shared" si="66"/>
        <v>2 Door 256 L, Black Hairline Glass Door, J-Tech INV, EXTRA BIG Freezer, LED Lamp, Low Voltage System, HALAL certified</v>
      </c>
      <c r="D473" s="25" t="str">
        <f t="shared" si="67"/>
        <v>2017-08-01</v>
      </c>
      <c r="E473" s="7">
        <f t="shared" si="68"/>
        <v>4905090</v>
      </c>
      <c r="F473" s="6">
        <f t="shared" si="69"/>
        <v>0</v>
      </c>
      <c r="G473" s="7" t="str">
        <f t="shared" si="70"/>
        <v/>
      </c>
      <c r="I473" s="23">
        <f t="shared" si="71"/>
        <v>2017</v>
      </c>
      <c r="J473" s="23" t="str">
        <f t="shared" si="72"/>
        <v>08</v>
      </c>
      <c r="K473" s="23" t="str">
        <f t="shared" si="73"/>
        <v>2017-08-01</v>
      </c>
      <c r="M473" s="11" t="s">
        <v>384</v>
      </c>
      <c r="N473" s="11" t="s">
        <v>1044</v>
      </c>
      <c r="O473" s="9">
        <v>42948</v>
      </c>
      <c r="P473" s="13">
        <v>4905090</v>
      </c>
    </row>
    <row r="474" spans="1:16" x14ac:dyDescent="0.25">
      <c r="A474" s="19" t="str">
        <f>VLOOKUP(LEFT(M474,3),Category!$G$3:$H$73,2,0)</f>
        <v>REFRIGERATOR</v>
      </c>
      <c r="B474" s="7" t="str">
        <f t="shared" si="65"/>
        <v>SJ-420GP-SD</v>
      </c>
      <c r="C474" s="7" t="str">
        <f t="shared" si="66"/>
        <v>2 Door 338 L, Silver Stainless Steel Door, Plasmacluster, EXTRA BIG Frezer, LED Lamp, Low Voltage System, HALAL certified</v>
      </c>
      <c r="D474" s="25" t="str">
        <f t="shared" si="67"/>
        <v>2016-01-01</v>
      </c>
      <c r="E474" s="7">
        <f t="shared" si="68"/>
        <v>4627590</v>
      </c>
      <c r="F474" s="6">
        <f t="shared" si="69"/>
        <v>0</v>
      </c>
      <c r="G474" s="7" t="str">
        <f t="shared" si="70"/>
        <v/>
      </c>
      <c r="I474" s="23">
        <f t="shared" si="71"/>
        <v>2016</v>
      </c>
      <c r="J474" s="23" t="str">
        <f t="shared" si="72"/>
        <v>01</v>
      </c>
      <c r="K474" s="23" t="str">
        <f t="shared" si="73"/>
        <v>2016-01-01</v>
      </c>
      <c r="M474" s="11" t="s">
        <v>83</v>
      </c>
      <c r="N474" s="11" t="s">
        <v>1045</v>
      </c>
      <c r="O474" s="9">
        <v>42370</v>
      </c>
      <c r="P474" s="13">
        <v>4627590</v>
      </c>
    </row>
    <row r="475" spans="1:16" x14ac:dyDescent="0.25">
      <c r="A475" s="19" t="str">
        <f>VLOOKUP(LEFT(M475,3),Category!$G$3:$H$73,2,0)</f>
        <v>REFRIGERATOR</v>
      </c>
      <c r="B475" s="7" t="str">
        <f t="shared" si="65"/>
        <v>SJ-426GI-MK</v>
      </c>
      <c r="C475" s="7" t="str">
        <f t="shared" si="66"/>
        <v>2 Door 338 L, Black Hairline Glass Door, J-Tech INV, Plasmacluster, EXTRA BIG Freezer, LED Lamp, Low Voltage System, HALAL certified</v>
      </c>
      <c r="D475" s="25" t="str">
        <f t="shared" si="67"/>
        <v>2018-01-01</v>
      </c>
      <c r="E475" s="7">
        <f t="shared" si="68"/>
        <v>5839710</v>
      </c>
      <c r="F475" s="6">
        <f t="shared" si="69"/>
        <v>0</v>
      </c>
      <c r="G475" s="7" t="str">
        <f t="shared" si="70"/>
        <v/>
      </c>
      <c r="I475" s="23">
        <f t="shared" si="71"/>
        <v>2018</v>
      </c>
      <c r="J475" s="23" t="str">
        <f t="shared" si="72"/>
        <v>01</v>
      </c>
      <c r="K475" s="23" t="str">
        <f t="shared" si="73"/>
        <v>2018-01-01</v>
      </c>
      <c r="M475" s="11" t="s">
        <v>90</v>
      </c>
      <c r="N475" s="11" t="s">
        <v>1046</v>
      </c>
      <c r="O475" s="9">
        <v>43101</v>
      </c>
      <c r="P475" s="13">
        <v>5839710</v>
      </c>
    </row>
    <row r="476" spans="1:16" x14ac:dyDescent="0.25">
      <c r="A476" s="19" t="str">
        <f>VLOOKUP(LEFT(M476,3),Category!$G$3:$H$73,2,0)</f>
        <v>REFRIGERATOR</v>
      </c>
      <c r="B476" s="7" t="str">
        <f t="shared" si="65"/>
        <v>SJ-450GP-SD</v>
      </c>
      <c r="C476" s="7" t="str">
        <f t="shared" si="66"/>
        <v>2 Door 352 L, Silver Stainless Steel Door, Plasmacluster, EXTRA BIG Frezer, LED Lamp, Low Voltage System, HALAL certified</v>
      </c>
      <c r="D476" s="25" t="str">
        <f t="shared" si="67"/>
        <v>2016-01-01</v>
      </c>
      <c r="E476" s="7">
        <f t="shared" si="68"/>
        <v>5120430</v>
      </c>
      <c r="F476" s="6">
        <f t="shared" si="69"/>
        <v>0</v>
      </c>
      <c r="G476" s="7" t="str">
        <f t="shared" si="70"/>
        <v/>
      </c>
      <c r="I476" s="23">
        <f t="shared" si="71"/>
        <v>2016</v>
      </c>
      <c r="J476" s="23" t="str">
        <f t="shared" si="72"/>
        <v>01</v>
      </c>
      <c r="K476" s="23" t="str">
        <f t="shared" si="73"/>
        <v>2016-01-01</v>
      </c>
      <c r="M476" s="11" t="s">
        <v>84</v>
      </c>
      <c r="N476" s="11" t="s">
        <v>1047</v>
      </c>
      <c r="O476" s="9">
        <v>42370</v>
      </c>
      <c r="P476" s="13">
        <v>5120430</v>
      </c>
    </row>
    <row r="477" spans="1:16" x14ac:dyDescent="0.25">
      <c r="A477" s="19" t="str">
        <f>VLOOKUP(LEFT(M477,3),Category!$G$3:$H$73,2,0)</f>
        <v>REFRIGERATOR</v>
      </c>
      <c r="B477" s="7" t="str">
        <f t="shared" si="65"/>
        <v>SJ-456GI-MK</v>
      </c>
      <c r="C477" s="7" t="str">
        <f t="shared" si="66"/>
        <v>2 Door 352 L, Black Hairline Glass Door, J-Tech INV, Plasmacluster, EXTRA BIG Freezer, LED Lamp, Low Voltage System, HALAL certified</v>
      </c>
      <c r="D477" s="25" t="str">
        <f t="shared" si="67"/>
        <v>2018-01-01</v>
      </c>
      <c r="E477" s="7">
        <f t="shared" si="68"/>
        <v>6321450</v>
      </c>
      <c r="F477" s="6">
        <f t="shared" si="69"/>
        <v>0</v>
      </c>
      <c r="G477" s="7" t="str">
        <f t="shared" si="70"/>
        <v/>
      </c>
      <c r="I477" s="23">
        <f t="shared" si="71"/>
        <v>2018</v>
      </c>
      <c r="J477" s="23" t="str">
        <f t="shared" si="72"/>
        <v>01</v>
      </c>
      <c r="K477" s="23" t="str">
        <f t="shared" si="73"/>
        <v>2018-01-01</v>
      </c>
      <c r="M477" s="11" t="s">
        <v>91</v>
      </c>
      <c r="N477" s="11" t="s">
        <v>1048</v>
      </c>
      <c r="O477" s="9">
        <v>43101</v>
      </c>
      <c r="P477" s="13">
        <v>6321450</v>
      </c>
    </row>
    <row r="478" spans="1:16" x14ac:dyDescent="0.25">
      <c r="A478" s="19" t="str">
        <f>VLOOKUP(LEFT(M478,3),Category!$G$3:$H$73,2,0)</f>
        <v>REFRIGERATOR</v>
      </c>
      <c r="B478" s="7" t="str">
        <f t="shared" si="65"/>
        <v>SJ-50MB-XW</v>
      </c>
      <c r="C478" s="7" t="str">
        <f t="shared" si="66"/>
        <v>1 Door 50 L, White Stainless Steel Door</v>
      </c>
      <c r="D478" s="25" t="str">
        <f t="shared" si="67"/>
        <v>2018-12-01</v>
      </c>
      <c r="E478" s="7">
        <f t="shared" si="68"/>
        <v>1506270</v>
      </c>
      <c r="F478" s="6">
        <f t="shared" si="69"/>
        <v>0</v>
      </c>
      <c r="G478" s="7" t="str">
        <f t="shared" si="70"/>
        <v/>
      </c>
      <c r="I478" s="23">
        <f t="shared" si="71"/>
        <v>2018</v>
      </c>
      <c r="J478" s="23">
        <f t="shared" si="72"/>
        <v>12</v>
      </c>
      <c r="K478" s="23" t="str">
        <f t="shared" si="73"/>
        <v>2018-12-01</v>
      </c>
      <c r="M478" s="11" t="s">
        <v>504</v>
      </c>
      <c r="N478" s="11" t="s">
        <v>1049</v>
      </c>
      <c r="O478" s="9">
        <v>43435</v>
      </c>
      <c r="P478" s="13">
        <v>1506270</v>
      </c>
    </row>
    <row r="479" spans="1:16" x14ac:dyDescent="0.25">
      <c r="A479" s="19" t="str">
        <f>VLOOKUP(LEFT(M479,3),Category!$G$3:$H$73,2,0)</f>
        <v>REFRIGERATOR</v>
      </c>
      <c r="B479" s="7" t="str">
        <f t="shared" si="65"/>
        <v>SJ-G190T-ZB</v>
      </c>
      <c r="C479" s="7" t="str">
        <f t="shared" si="66"/>
        <v>Direct Cooling</v>
      </c>
      <c r="D479" s="25" t="str">
        <f t="shared" si="67"/>
        <v>1900-01-01</v>
      </c>
      <c r="E479" s="7">
        <f t="shared" si="68"/>
        <v>1709400</v>
      </c>
      <c r="F479" s="6">
        <f t="shared" si="69"/>
        <v>0</v>
      </c>
      <c r="G479" s="7" t="str">
        <f t="shared" si="70"/>
        <v/>
      </c>
      <c r="I479" s="23">
        <f t="shared" si="71"/>
        <v>1900</v>
      </c>
      <c r="J479" s="23" t="str">
        <f t="shared" si="72"/>
        <v>01</v>
      </c>
      <c r="K479" s="23" t="str">
        <f t="shared" si="73"/>
        <v>1900-01-01</v>
      </c>
      <c r="M479" s="11" t="s">
        <v>534</v>
      </c>
      <c r="N479" s="11" t="s">
        <v>1050</v>
      </c>
      <c r="P479" s="13">
        <v>1709400</v>
      </c>
    </row>
    <row r="480" spans="1:16" x14ac:dyDescent="0.25">
      <c r="A480" s="19" t="str">
        <f>VLOOKUP(LEFT(M480,3),Category!$G$3:$H$73,2,0)</f>
        <v>REFRIGERATOR</v>
      </c>
      <c r="B480" s="7" t="str">
        <f t="shared" si="65"/>
        <v>SJ-G190T-ZS</v>
      </c>
      <c r="C480" s="7" t="str">
        <f t="shared" si="66"/>
        <v>Direct Cooling</v>
      </c>
      <c r="D480" s="25" t="str">
        <f t="shared" si="67"/>
        <v>1900-01-01</v>
      </c>
      <c r="E480" s="7">
        <f t="shared" si="68"/>
        <v>1709400</v>
      </c>
      <c r="F480" s="6">
        <f t="shared" si="69"/>
        <v>0</v>
      </c>
      <c r="G480" s="7" t="str">
        <f t="shared" si="70"/>
        <v/>
      </c>
      <c r="I480" s="23">
        <f t="shared" si="71"/>
        <v>1900</v>
      </c>
      <c r="J480" s="23" t="str">
        <f t="shared" si="72"/>
        <v>01</v>
      </c>
      <c r="K480" s="23" t="str">
        <f t="shared" si="73"/>
        <v>1900-01-01</v>
      </c>
      <c r="M480" s="11" t="s">
        <v>535</v>
      </c>
      <c r="N480" s="11" t="s">
        <v>1050</v>
      </c>
      <c r="P480" s="13">
        <v>1709400</v>
      </c>
    </row>
    <row r="481" spans="1:16" x14ac:dyDescent="0.25">
      <c r="A481" s="19" t="str">
        <f>VLOOKUP(LEFT(M481,3),Category!$G$3:$H$73,2,0)</f>
        <v>REFRIGERATOR</v>
      </c>
      <c r="B481" s="7" t="str">
        <f t="shared" si="65"/>
        <v>SJ-IF50PM-DS</v>
      </c>
      <c r="C481" s="7" t="str">
        <f t="shared" si="66"/>
        <v xml:space="preserve">Dark Inox Steel Door, 472L, Plasmacluster, Inverter,LED Display </v>
      </c>
      <c r="D481" s="25" t="str">
        <f t="shared" si="67"/>
        <v>2020-08-01</v>
      </c>
      <c r="E481" s="7">
        <f t="shared" si="68"/>
        <v>9479400</v>
      </c>
      <c r="F481" s="6">
        <f t="shared" si="69"/>
        <v>0</v>
      </c>
      <c r="G481" s="7" t="str">
        <f t="shared" si="70"/>
        <v/>
      </c>
      <c r="I481" s="23">
        <f t="shared" si="71"/>
        <v>2020</v>
      </c>
      <c r="J481" s="23" t="str">
        <f t="shared" si="72"/>
        <v>08</v>
      </c>
      <c r="K481" s="23" t="str">
        <f t="shared" si="73"/>
        <v>2020-08-01</v>
      </c>
      <c r="M481" s="11" t="s">
        <v>403</v>
      </c>
      <c r="N481" s="11" t="s">
        <v>1051</v>
      </c>
      <c r="O481" s="9">
        <v>44044</v>
      </c>
      <c r="P481" s="13">
        <v>9479400</v>
      </c>
    </row>
    <row r="482" spans="1:16" x14ac:dyDescent="0.25">
      <c r="A482" s="19" t="str">
        <f>VLOOKUP(LEFT(M482,3),Category!$G$3:$H$73,2,0)</f>
        <v>REFRIGERATOR</v>
      </c>
      <c r="B482" s="7" t="str">
        <f t="shared" si="65"/>
        <v>SJ-IF51PG-BK</v>
      </c>
      <c r="C482" s="7" t="str">
        <f t="shared" si="66"/>
        <v xml:space="preserve">Piano Black Glass Door, 472L, Plasmacluster, Inverter,LED Display </v>
      </c>
      <c r="D482" s="25" t="str">
        <f t="shared" si="67"/>
        <v>2020-08-01</v>
      </c>
      <c r="E482" s="7">
        <f t="shared" si="68"/>
        <v>9867900</v>
      </c>
      <c r="F482" s="6">
        <f t="shared" si="69"/>
        <v>0</v>
      </c>
      <c r="G482" s="7" t="str">
        <f t="shared" si="70"/>
        <v/>
      </c>
      <c r="I482" s="23">
        <f t="shared" si="71"/>
        <v>2020</v>
      </c>
      <c r="J482" s="23" t="str">
        <f t="shared" si="72"/>
        <v>08</v>
      </c>
      <c r="K482" s="23" t="str">
        <f t="shared" si="73"/>
        <v>2020-08-01</v>
      </c>
      <c r="M482" s="11" t="s">
        <v>404</v>
      </c>
      <c r="N482" s="11" t="s">
        <v>1052</v>
      </c>
      <c r="O482" s="9">
        <v>44044</v>
      </c>
      <c r="P482" s="13">
        <v>9867900</v>
      </c>
    </row>
    <row r="483" spans="1:16" x14ac:dyDescent="0.25">
      <c r="A483" s="19" t="str">
        <f>VLOOKUP(LEFT(M483,3),Category!$G$3:$H$73,2,0)</f>
        <v>REFRIGERATOR</v>
      </c>
      <c r="B483" s="7" t="str">
        <f t="shared" si="65"/>
        <v>SJ-IF51PG-CG</v>
      </c>
      <c r="C483" s="7" t="str">
        <f t="shared" si="66"/>
        <v xml:space="preserve">Champagne Gold Glass Door, 472L, Plasmacluster, Inverter,LED Display </v>
      </c>
      <c r="D483" s="25" t="str">
        <f t="shared" si="67"/>
        <v>2020-08-01</v>
      </c>
      <c r="E483" s="7">
        <f t="shared" si="68"/>
        <v>9867900</v>
      </c>
      <c r="F483" s="6">
        <f t="shared" si="69"/>
        <v>0</v>
      </c>
      <c r="G483" s="7" t="str">
        <f t="shared" si="70"/>
        <v/>
      </c>
      <c r="I483" s="23">
        <f t="shared" si="71"/>
        <v>2020</v>
      </c>
      <c r="J483" s="23" t="str">
        <f t="shared" si="72"/>
        <v>08</v>
      </c>
      <c r="K483" s="23" t="str">
        <f t="shared" si="73"/>
        <v>2020-08-01</v>
      </c>
      <c r="M483" s="11" t="s">
        <v>405</v>
      </c>
      <c r="N483" s="11" t="s">
        <v>1053</v>
      </c>
      <c r="O483" s="9">
        <v>44044</v>
      </c>
      <c r="P483" s="13">
        <v>9867900</v>
      </c>
    </row>
    <row r="484" spans="1:16" x14ac:dyDescent="0.25">
      <c r="A484" s="19" t="str">
        <f>VLOOKUP(LEFT(M484,3),Category!$G$3:$H$73,2,0)</f>
        <v>REFRIGERATOR</v>
      </c>
      <c r="B484" s="7" t="str">
        <f t="shared" si="65"/>
        <v>SJ-IF85PG-GB</v>
      </c>
      <c r="C484" s="7" t="str">
        <f t="shared" si="66"/>
        <v>4 Door, Black Glass Door, J-Tech INV, PCI, HYBRID Cooling, Touch Control Panel, HALAL certified</v>
      </c>
      <c r="D484" s="25" t="str">
        <f t="shared" si="67"/>
        <v>2021-03-01</v>
      </c>
      <c r="E484" s="7">
        <f t="shared" si="68"/>
        <v>17319330</v>
      </c>
      <c r="F484" s="6">
        <f t="shared" si="69"/>
        <v>0</v>
      </c>
      <c r="G484" s="7" t="str">
        <f t="shared" si="70"/>
        <v/>
      </c>
      <c r="I484" s="23">
        <f t="shared" si="71"/>
        <v>2021</v>
      </c>
      <c r="J484" s="23" t="str">
        <f t="shared" si="72"/>
        <v>03</v>
      </c>
      <c r="K484" s="23" t="str">
        <f t="shared" si="73"/>
        <v>2021-03-01</v>
      </c>
      <c r="M484" s="11" t="s">
        <v>185</v>
      </c>
      <c r="N484" s="11" t="s">
        <v>1054</v>
      </c>
      <c r="O484" s="9">
        <v>44256</v>
      </c>
      <c r="P484" s="13">
        <v>17319330</v>
      </c>
    </row>
    <row r="485" spans="1:16" x14ac:dyDescent="0.25">
      <c r="A485" s="19" t="str">
        <f>VLOOKUP(LEFT(M485,3),Category!$G$3:$H$73,2,0)</f>
        <v>REFRIGERATOR</v>
      </c>
      <c r="B485" s="7" t="str">
        <f t="shared" si="65"/>
        <v>SJ-IF85PG-GR</v>
      </c>
      <c r="C485" s="7" t="str">
        <f t="shared" si="66"/>
        <v>4 Door, Red Glass Door, J-Tech INV, PCI, HYBRID Cooling, Touch Control Panel, HALAL certified</v>
      </c>
      <c r="D485" s="25" t="str">
        <f t="shared" si="67"/>
        <v>2021-03-01</v>
      </c>
      <c r="E485" s="7">
        <f t="shared" si="68"/>
        <v>17319330</v>
      </c>
      <c r="F485" s="6">
        <f t="shared" si="69"/>
        <v>0</v>
      </c>
      <c r="G485" s="7" t="str">
        <f t="shared" si="70"/>
        <v/>
      </c>
      <c r="I485" s="23">
        <f t="shared" si="71"/>
        <v>2021</v>
      </c>
      <c r="J485" s="23" t="str">
        <f t="shared" si="72"/>
        <v>03</v>
      </c>
      <c r="K485" s="23" t="str">
        <f t="shared" si="73"/>
        <v>2021-03-01</v>
      </c>
      <c r="M485" s="11" t="s">
        <v>186</v>
      </c>
      <c r="N485" s="11" t="s">
        <v>1055</v>
      </c>
      <c r="O485" s="9">
        <v>44256</v>
      </c>
      <c r="P485" s="13">
        <v>17319330</v>
      </c>
    </row>
    <row r="486" spans="1:16" x14ac:dyDescent="0.25">
      <c r="A486" s="19" t="str">
        <f>VLOOKUP(LEFT(M486,3),Category!$G$3:$H$73,2,0)</f>
        <v>REFRIGERATOR</v>
      </c>
      <c r="B486" s="7" t="str">
        <f t="shared" si="65"/>
        <v>SJ-IF85PM-DS</v>
      </c>
      <c r="C486" s="7" t="str">
        <f t="shared" si="66"/>
        <v>4 Door, Dark Silver Stainless Steel Door, J-Tech INV, PCI, HYBRID Cooling, Moisture Capsule, HALAL certified</v>
      </c>
      <c r="D486" s="25" t="str">
        <f t="shared" si="67"/>
        <v>2021-03-01</v>
      </c>
      <c r="E486" s="7">
        <f t="shared" si="68"/>
        <v>16707720</v>
      </c>
      <c r="F486" s="6">
        <f t="shared" si="69"/>
        <v>0</v>
      </c>
      <c r="G486" s="7" t="str">
        <f t="shared" si="70"/>
        <v/>
      </c>
      <c r="I486" s="23">
        <f t="shared" si="71"/>
        <v>2021</v>
      </c>
      <c r="J486" s="23" t="str">
        <f t="shared" si="72"/>
        <v>03</v>
      </c>
      <c r="K486" s="23" t="str">
        <f t="shared" si="73"/>
        <v>2021-03-01</v>
      </c>
      <c r="M486" s="11" t="s">
        <v>187</v>
      </c>
      <c r="N486" s="11" t="s">
        <v>1056</v>
      </c>
      <c r="O486" s="9">
        <v>44256</v>
      </c>
      <c r="P486" s="13">
        <v>16707720</v>
      </c>
    </row>
    <row r="487" spans="1:16" x14ac:dyDescent="0.25">
      <c r="A487" s="19" t="str">
        <f>VLOOKUP(LEFT(M487,3),Category!$G$3:$H$73,2,0)</f>
        <v>REFRIGERATOR</v>
      </c>
      <c r="B487" s="7" t="str">
        <f t="shared" si="65"/>
        <v>SJ-IF90PM-DS</v>
      </c>
      <c r="C487" s="7" t="str">
        <f t="shared" si="66"/>
        <v>4 Door, Dark Silver Stainless Steel Door, J-Tech INV, PCI, HYBRID Cooling, Moisture, HALAL certified</v>
      </c>
      <c r="D487" s="25" t="str">
        <f t="shared" si="67"/>
        <v>2021-03-01</v>
      </c>
      <c r="E487" s="7">
        <f t="shared" si="68"/>
        <v>17436990</v>
      </c>
      <c r="F487" s="6">
        <f t="shared" si="69"/>
        <v>0</v>
      </c>
      <c r="G487" s="7" t="str">
        <f t="shared" si="70"/>
        <v/>
      </c>
      <c r="I487" s="23">
        <f t="shared" si="71"/>
        <v>2021</v>
      </c>
      <c r="J487" s="23" t="str">
        <f t="shared" si="72"/>
        <v>03</v>
      </c>
      <c r="K487" s="23" t="str">
        <f t="shared" si="73"/>
        <v>2021-03-01</v>
      </c>
      <c r="M487" s="11" t="s">
        <v>188</v>
      </c>
      <c r="N487" s="11" t="s">
        <v>1057</v>
      </c>
      <c r="O487" s="9">
        <v>44256</v>
      </c>
      <c r="P487" s="13">
        <v>17436990</v>
      </c>
    </row>
    <row r="488" spans="1:16" x14ac:dyDescent="0.25">
      <c r="A488" s="19" t="str">
        <f>VLOOKUP(LEFT(M488,3),Category!$G$3:$H$73,2,0)</f>
        <v>REFRIGERATOR</v>
      </c>
      <c r="B488" s="7" t="str">
        <f t="shared" si="65"/>
        <v>SJ-IF91PG-BK</v>
      </c>
      <c r="C488" s="7" t="str">
        <f t="shared" si="66"/>
        <v>4 Door 695 L, Black Glass Door, J-Tech INV, Plasmacluster, HYBRID Cooling, HALAL certified</v>
      </c>
      <c r="D488" s="25" t="str">
        <f t="shared" si="67"/>
        <v>2019-04-01</v>
      </c>
      <c r="E488" s="7">
        <f t="shared" si="68"/>
        <v>18815610</v>
      </c>
      <c r="F488" s="6">
        <f t="shared" si="69"/>
        <v>0</v>
      </c>
      <c r="G488" s="7" t="str">
        <f t="shared" si="70"/>
        <v/>
      </c>
      <c r="I488" s="23">
        <f t="shared" si="71"/>
        <v>2019</v>
      </c>
      <c r="J488" s="23" t="str">
        <f t="shared" si="72"/>
        <v>04</v>
      </c>
      <c r="K488" s="23" t="str">
        <f t="shared" si="73"/>
        <v>2019-04-01</v>
      </c>
      <c r="M488" s="11" t="s">
        <v>217</v>
      </c>
      <c r="N488" s="11" t="s">
        <v>1058</v>
      </c>
      <c r="O488" s="9">
        <v>43556</v>
      </c>
      <c r="P488" s="13">
        <v>18815610</v>
      </c>
    </row>
    <row r="489" spans="1:16" x14ac:dyDescent="0.25">
      <c r="A489" s="19" t="str">
        <f>VLOOKUP(LEFT(M489,3),Category!$G$3:$H$73,2,0)</f>
        <v>REFRIGERATOR</v>
      </c>
      <c r="B489" s="7" t="str">
        <f t="shared" si="65"/>
        <v>SJ-IF91PG-GB</v>
      </c>
      <c r="C489" s="7" t="str">
        <f t="shared" si="66"/>
        <v>4 Door, Black Glass Door, J-Tech INV, PCI, HYBRID Cooling, Touch Control Panel, HALAL certified</v>
      </c>
      <c r="D489" s="25" t="str">
        <f t="shared" si="67"/>
        <v>2021-03-01</v>
      </c>
      <c r="E489" s="7">
        <f t="shared" si="68"/>
        <v>18408240</v>
      </c>
      <c r="F489" s="6">
        <f t="shared" si="69"/>
        <v>0</v>
      </c>
      <c r="G489" s="7" t="str">
        <f t="shared" si="70"/>
        <v/>
      </c>
      <c r="I489" s="23">
        <f t="shared" si="71"/>
        <v>2021</v>
      </c>
      <c r="J489" s="23" t="str">
        <f t="shared" si="72"/>
        <v>03</v>
      </c>
      <c r="K489" s="23" t="str">
        <f t="shared" si="73"/>
        <v>2021-03-01</v>
      </c>
      <c r="M489" s="11" t="s">
        <v>189</v>
      </c>
      <c r="N489" s="11" t="s">
        <v>1054</v>
      </c>
      <c r="O489" s="9">
        <v>44256</v>
      </c>
      <c r="P489" s="13">
        <v>18408240</v>
      </c>
    </row>
    <row r="490" spans="1:16" x14ac:dyDescent="0.25">
      <c r="A490" s="19" t="str">
        <f>VLOOKUP(LEFT(M490,3),Category!$G$3:$H$73,2,0)</f>
        <v>REFRIGERATOR</v>
      </c>
      <c r="B490" s="7" t="str">
        <f t="shared" si="65"/>
        <v>SJ-IF91PG-GR</v>
      </c>
      <c r="C490" s="7" t="str">
        <f t="shared" si="66"/>
        <v>4 Door, Red Glass Door, J-Tech INV, PCI, HYBRID Cooling, Touch Control Panel, HALAL certified</v>
      </c>
      <c r="D490" s="25" t="str">
        <f t="shared" si="67"/>
        <v>2021-03-01</v>
      </c>
      <c r="E490" s="7">
        <f t="shared" si="68"/>
        <v>18408240</v>
      </c>
      <c r="F490" s="6">
        <f t="shared" si="69"/>
        <v>0</v>
      </c>
      <c r="G490" s="7" t="str">
        <f t="shared" si="70"/>
        <v/>
      </c>
      <c r="I490" s="23">
        <f t="shared" si="71"/>
        <v>2021</v>
      </c>
      <c r="J490" s="23" t="str">
        <f t="shared" si="72"/>
        <v>03</v>
      </c>
      <c r="K490" s="23" t="str">
        <f t="shared" si="73"/>
        <v>2021-03-01</v>
      </c>
      <c r="M490" s="11" t="s">
        <v>190</v>
      </c>
      <c r="N490" s="11" t="s">
        <v>1055</v>
      </c>
      <c r="O490" s="9">
        <v>44256</v>
      </c>
      <c r="P490" s="13">
        <v>18408240</v>
      </c>
    </row>
    <row r="491" spans="1:16" x14ac:dyDescent="0.25">
      <c r="A491" s="19" t="str">
        <f>VLOOKUP(LEFT(M491,3),Category!$G$3:$H$73,2,0)</f>
        <v>REFRIGERATOR</v>
      </c>
      <c r="B491" s="7" t="str">
        <f t="shared" si="65"/>
        <v>SJ-IFX93PM-SL</v>
      </c>
      <c r="C491" s="7" t="str">
        <f t="shared" si="66"/>
        <v>5 Door 800 L, Silver Stainless Steel Door, J-Tech INV, Plasmacluster, HYBRID Cooling, LED Touch Panel, FREX Room, Auto Ice Making, HALAL certified</v>
      </c>
      <c r="D491" s="25" t="str">
        <f t="shared" si="67"/>
        <v>2019-11-01</v>
      </c>
      <c r="E491" s="7">
        <f t="shared" si="68"/>
        <v>24466620</v>
      </c>
      <c r="F491" s="6">
        <f t="shared" si="69"/>
        <v>0</v>
      </c>
      <c r="G491" s="7" t="str">
        <f t="shared" si="70"/>
        <v/>
      </c>
      <c r="I491" s="23">
        <f t="shared" si="71"/>
        <v>2019</v>
      </c>
      <c r="J491" s="23">
        <f t="shared" si="72"/>
        <v>11</v>
      </c>
      <c r="K491" s="23" t="str">
        <f t="shared" si="73"/>
        <v>2019-11-01</v>
      </c>
      <c r="M491" s="11" t="s">
        <v>485</v>
      </c>
      <c r="N491" s="11" t="s">
        <v>1059</v>
      </c>
      <c r="O491" s="9">
        <v>43770</v>
      </c>
      <c r="P491" s="13">
        <v>24466620</v>
      </c>
    </row>
    <row r="492" spans="1:16" x14ac:dyDescent="0.25">
      <c r="A492" s="19" t="str">
        <f>VLOOKUP(LEFT(M492,3),Category!$G$3:$H$73,2,0)</f>
        <v>REFRIGERATOR</v>
      </c>
      <c r="B492" s="7" t="str">
        <f t="shared" si="65"/>
        <v>SJ-IFX94PG-CG</v>
      </c>
      <c r="C492" s="7" t="str">
        <f t="shared" si="66"/>
        <v>5 Door 800 L, Champagne Gold Glass Door, J-Tech INV, Plasmacluster, HYBRID Cooling, LED Touch Panel, FREX Room, Auto Ice Making, HALAL certified</v>
      </c>
      <c r="D492" s="25" t="str">
        <f t="shared" si="67"/>
        <v>2019-09-01</v>
      </c>
      <c r="E492" s="7">
        <f t="shared" si="68"/>
        <v>27048480</v>
      </c>
      <c r="F492" s="6">
        <f t="shared" si="69"/>
        <v>0</v>
      </c>
      <c r="G492" s="7" t="str">
        <f t="shared" si="70"/>
        <v/>
      </c>
      <c r="I492" s="23">
        <f t="shared" si="71"/>
        <v>2019</v>
      </c>
      <c r="J492" s="23" t="str">
        <f t="shared" si="72"/>
        <v>09</v>
      </c>
      <c r="K492" s="23" t="str">
        <f t="shared" si="73"/>
        <v>2019-09-01</v>
      </c>
      <c r="M492" s="11" t="s">
        <v>440</v>
      </c>
      <c r="N492" s="11" t="s">
        <v>1060</v>
      </c>
      <c r="O492" s="9">
        <v>43709</v>
      </c>
      <c r="P492" s="13">
        <v>27048480</v>
      </c>
    </row>
    <row r="493" spans="1:16" x14ac:dyDescent="0.25">
      <c r="A493" s="19" t="str">
        <f>VLOOKUP(LEFT(M493,3),Category!$G$3:$H$73,2,0)</f>
        <v>REFRIGERATOR</v>
      </c>
      <c r="B493" s="7" t="str">
        <f t="shared" si="65"/>
        <v>SJ-IFX96PDG-BK</v>
      </c>
      <c r="C493" s="7" t="str">
        <f t="shared" si="66"/>
        <v>5 Door 780 L, Black Glass Door, J-Tech INV, Plasmacluster, HYBRID Cooling, LED Touch Panel, FREX Room, Hidden Water Dispenser, Auto Ice Making, 9-Way Flexible Shelf, HALAL certified</v>
      </c>
      <c r="D493" s="25" t="str">
        <f t="shared" si="67"/>
        <v>2019-11-01</v>
      </c>
      <c r="E493" s="7">
        <f t="shared" si="68"/>
        <v>32201100</v>
      </c>
      <c r="F493" s="6">
        <f t="shared" si="69"/>
        <v>0</v>
      </c>
      <c r="G493" s="7" t="str">
        <f t="shared" si="70"/>
        <v/>
      </c>
      <c r="I493" s="23">
        <f t="shared" si="71"/>
        <v>2019</v>
      </c>
      <c r="J493" s="23">
        <f t="shared" si="72"/>
        <v>11</v>
      </c>
      <c r="K493" s="23" t="str">
        <f t="shared" si="73"/>
        <v>2019-11-01</v>
      </c>
      <c r="M493" s="11" t="s">
        <v>486</v>
      </c>
      <c r="N493" s="11" t="s">
        <v>1061</v>
      </c>
      <c r="O493" s="9">
        <v>43770</v>
      </c>
      <c r="P493" s="13">
        <v>32201100</v>
      </c>
    </row>
    <row r="494" spans="1:16" x14ac:dyDescent="0.25">
      <c r="A494" s="19" t="str">
        <f>VLOOKUP(LEFT(M494,3),Category!$G$3:$H$73,2,0)</f>
        <v>REFRIGERATOR</v>
      </c>
      <c r="B494" s="7" t="str">
        <f t="shared" si="65"/>
        <v>SJ-IG470M-DS</v>
      </c>
      <c r="C494" s="7" t="str">
        <f t="shared" si="66"/>
        <v>2 Door 397 L, Dark Silver Steel Door, J-Tech INV, HYBRID Cooling, HALAL certified</v>
      </c>
      <c r="D494" s="25" t="str">
        <f t="shared" si="67"/>
        <v>2001-10-01</v>
      </c>
      <c r="E494" s="7">
        <f t="shared" si="68"/>
        <v>7948710</v>
      </c>
      <c r="F494" s="6">
        <f t="shared" si="69"/>
        <v>0</v>
      </c>
      <c r="G494" s="7" t="str">
        <f t="shared" si="70"/>
        <v/>
      </c>
      <c r="I494" s="23">
        <f t="shared" si="71"/>
        <v>2001</v>
      </c>
      <c r="J494" s="23">
        <f t="shared" si="72"/>
        <v>10</v>
      </c>
      <c r="K494" s="23" t="str">
        <f t="shared" si="73"/>
        <v>2001-10-01</v>
      </c>
      <c r="M494" s="11" t="s">
        <v>695</v>
      </c>
      <c r="N494" s="11" t="s">
        <v>1062</v>
      </c>
      <c r="O494" s="9">
        <v>44835</v>
      </c>
      <c r="P494" s="13">
        <v>7948710</v>
      </c>
    </row>
    <row r="495" spans="1:16" x14ac:dyDescent="0.25">
      <c r="A495" s="19" t="str">
        <f>VLOOKUP(LEFT(M495,3),Category!$G$3:$H$73,2,0)</f>
        <v>REFRIGERATOR</v>
      </c>
      <c r="B495" s="7" t="str">
        <f t="shared" si="65"/>
        <v>SJ-IG470M-SL</v>
      </c>
      <c r="C495" s="7" t="str">
        <f t="shared" si="66"/>
        <v>2 Door 397 L, Silver Stainless Steel Door, J-Tech INV, HYBRID Cooling, HALAL certified</v>
      </c>
      <c r="D495" s="25" t="str">
        <f t="shared" si="67"/>
        <v>2017-11-01</v>
      </c>
      <c r="E495" s="7">
        <f t="shared" si="68"/>
        <v>7516920</v>
      </c>
      <c r="F495" s="6">
        <f t="shared" si="69"/>
        <v>0</v>
      </c>
      <c r="G495" s="7" t="str">
        <f t="shared" si="70"/>
        <v/>
      </c>
      <c r="I495" s="23">
        <f t="shared" si="71"/>
        <v>2017</v>
      </c>
      <c r="J495" s="23">
        <f t="shared" si="72"/>
        <v>11</v>
      </c>
      <c r="K495" s="23" t="str">
        <f t="shared" si="73"/>
        <v>2017-11-01</v>
      </c>
      <c r="M495" s="11" t="s">
        <v>477</v>
      </c>
      <c r="N495" s="11" t="s">
        <v>1063</v>
      </c>
      <c r="O495" s="9">
        <v>43040</v>
      </c>
      <c r="P495" s="13">
        <v>7516920</v>
      </c>
    </row>
    <row r="496" spans="1:16" x14ac:dyDescent="0.25">
      <c r="A496" s="19" t="str">
        <f>VLOOKUP(LEFT(M496,3),Category!$G$3:$H$73,2,0)</f>
        <v>REFRIGERATOR</v>
      </c>
      <c r="B496" s="7" t="str">
        <f t="shared" si="65"/>
        <v>SJ-IG471PG-BK</v>
      </c>
      <c r="C496" s="7" t="str">
        <f t="shared" si="66"/>
        <v>2 Door 397 L, Black Glass Door, J-Tech INV, Plasmacluster, HYBRID Cooling, HALAL certified</v>
      </c>
      <c r="D496" s="25" t="str">
        <f t="shared" si="67"/>
        <v>2017-11-01</v>
      </c>
      <c r="E496" s="7">
        <f t="shared" si="68"/>
        <v>8318340</v>
      </c>
      <c r="F496" s="6">
        <f t="shared" si="69"/>
        <v>0</v>
      </c>
      <c r="G496" s="7" t="str">
        <f t="shared" si="70"/>
        <v/>
      </c>
      <c r="I496" s="23">
        <f t="shared" si="71"/>
        <v>2017</v>
      </c>
      <c r="J496" s="23">
        <f t="shared" si="72"/>
        <v>11</v>
      </c>
      <c r="K496" s="23" t="str">
        <f t="shared" si="73"/>
        <v>2017-11-01</v>
      </c>
      <c r="M496" s="11" t="s">
        <v>478</v>
      </c>
      <c r="N496" s="11" t="s">
        <v>1064</v>
      </c>
      <c r="O496" s="9">
        <v>43040</v>
      </c>
      <c r="P496" s="13">
        <v>8318340</v>
      </c>
    </row>
    <row r="497" spans="1:18" x14ac:dyDescent="0.25">
      <c r="A497" s="19" t="str">
        <f>VLOOKUP(LEFT(M497,3),Category!$G$3:$H$73,2,0)</f>
        <v>REFRIGERATOR</v>
      </c>
      <c r="B497" s="7" t="str">
        <f t="shared" si="65"/>
        <v>SJ-IG570M-DS</v>
      </c>
      <c r="C497" s="7" t="str">
        <f t="shared" si="66"/>
        <v>2 Door 428 L, Dark Silver Steel Door, J-Tech INV, HYBRID Cooling, HALAL certified</v>
      </c>
      <c r="D497" s="25" t="str">
        <f t="shared" si="67"/>
        <v>2001-10-01</v>
      </c>
      <c r="E497" s="7">
        <f t="shared" si="68"/>
        <v>8246190</v>
      </c>
      <c r="F497" s="6">
        <f t="shared" si="69"/>
        <v>0</v>
      </c>
      <c r="G497" s="7" t="str">
        <f t="shared" si="70"/>
        <v/>
      </c>
      <c r="I497" s="23">
        <f t="shared" si="71"/>
        <v>2001</v>
      </c>
      <c r="J497" s="23">
        <f t="shared" si="72"/>
        <v>10</v>
      </c>
      <c r="K497" s="23" t="str">
        <f t="shared" si="73"/>
        <v>2001-10-01</v>
      </c>
      <c r="M497" s="11" t="s">
        <v>696</v>
      </c>
      <c r="N497" s="11" t="s">
        <v>1065</v>
      </c>
      <c r="O497" s="9">
        <v>44835</v>
      </c>
      <c r="P497" s="13">
        <v>8246190</v>
      </c>
    </row>
    <row r="498" spans="1:18" x14ac:dyDescent="0.25">
      <c r="A498" s="19" t="str">
        <f>VLOOKUP(LEFT(M498,3),Category!$G$3:$H$73,2,0)</f>
        <v>REFRIGERATOR</v>
      </c>
      <c r="B498" s="7" t="str">
        <f t="shared" si="65"/>
        <v>SJ-IG570M-SL</v>
      </c>
      <c r="C498" s="7" t="str">
        <f t="shared" si="66"/>
        <v>2 Door 428 L, Silver Stainless Steel Door, J-Tech INV, HYBRID Cooling, HALAL certified</v>
      </c>
      <c r="D498" s="25" t="str">
        <f t="shared" si="67"/>
        <v>2017-11-01</v>
      </c>
      <c r="E498" s="7">
        <f t="shared" si="68"/>
        <v>7916520</v>
      </c>
      <c r="F498" s="6">
        <f t="shared" si="69"/>
        <v>0</v>
      </c>
      <c r="G498" s="7" t="str">
        <f t="shared" si="70"/>
        <v/>
      </c>
      <c r="I498" s="23">
        <f t="shared" si="71"/>
        <v>2017</v>
      </c>
      <c r="J498" s="23">
        <f t="shared" si="72"/>
        <v>11</v>
      </c>
      <c r="K498" s="23" t="str">
        <f t="shared" si="73"/>
        <v>2017-11-01</v>
      </c>
      <c r="M498" s="11" t="s">
        <v>479</v>
      </c>
      <c r="N498" s="11" t="s">
        <v>1066</v>
      </c>
      <c r="O498" s="9">
        <v>43040</v>
      </c>
      <c r="P498" s="13">
        <v>7916520</v>
      </c>
    </row>
    <row r="499" spans="1:18" x14ac:dyDescent="0.25">
      <c r="A499" s="19" t="str">
        <f>VLOOKUP(LEFT(M499,3),Category!$G$3:$H$73,2,0)</f>
        <v>REFRIGERATOR</v>
      </c>
      <c r="B499" s="7" t="str">
        <f t="shared" si="65"/>
        <v>SJ-IG571PG-BK</v>
      </c>
      <c r="C499" s="7" t="str">
        <f t="shared" si="66"/>
        <v>2 Door 428 L, Black Glass Door, J-Tech INV, Plasmacluster, HYBRID Cooling, HALAL certified</v>
      </c>
      <c r="D499" s="25" t="str">
        <f t="shared" si="67"/>
        <v>2017-11-01</v>
      </c>
      <c r="E499" s="7">
        <f t="shared" si="68"/>
        <v>8717940</v>
      </c>
      <c r="F499" s="6">
        <f t="shared" si="69"/>
        <v>0</v>
      </c>
      <c r="G499" s="7" t="str">
        <f t="shared" si="70"/>
        <v/>
      </c>
      <c r="I499" s="23">
        <f t="shared" si="71"/>
        <v>2017</v>
      </c>
      <c r="J499" s="23">
        <f t="shared" si="72"/>
        <v>11</v>
      </c>
      <c r="K499" s="23" t="str">
        <f t="shared" si="73"/>
        <v>2017-11-01</v>
      </c>
      <c r="M499" s="11" t="s">
        <v>480</v>
      </c>
      <c r="N499" s="11" t="s">
        <v>1067</v>
      </c>
      <c r="O499" s="9">
        <v>43040</v>
      </c>
      <c r="P499" s="13">
        <v>8717940</v>
      </c>
    </row>
    <row r="500" spans="1:18" x14ac:dyDescent="0.25">
      <c r="A500" s="19" t="str">
        <f>VLOOKUP(LEFT(M500,3),Category!$G$3:$H$73,2,0)</f>
        <v>REFRIGERATOR</v>
      </c>
      <c r="B500" s="7" t="str">
        <f t="shared" si="65"/>
        <v>SJ-IG762PM-SL</v>
      </c>
      <c r="C500" s="7" t="str">
        <f t="shared" si="66"/>
        <v>2 Door 570 L, Dark Silver Stainless Steel Door, J-Tech INV, Plasmacluster, HYBRID Cooling, MEGA Freezer, Moisture Capsule, HALAL certified</v>
      </c>
      <c r="D500" s="25" t="str">
        <f t="shared" si="67"/>
        <v>2020-08-01</v>
      </c>
      <c r="E500" s="7">
        <f t="shared" si="68"/>
        <v>10506150</v>
      </c>
      <c r="F500" s="6">
        <f t="shared" si="69"/>
        <v>0</v>
      </c>
      <c r="G500" s="7" t="str">
        <f t="shared" si="70"/>
        <v/>
      </c>
      <c r="I500" s="23">
        <f t="shared" si="71"/>
        <v>2020</v>
      </c>
      <c r="J500" s="23" t="str">
        <f t="shared" si="72"/>
        <v>08</v>
      </c>
      <c r="K500" s="23" t="str">
        <f t="shared" si="73"/>
        <v>2020-08-01</v>
      </c>
      <c r="M500" s="11" t="s">
        <v>406</v>
      </c>
      <c r="N500" s="11" t="s">
        <v>1068</v>
      </c>
      <c r="O500" s="9">
        <v>44044</v>
      </c>
      <c r="P500" s="13">
        <v>10506150</v>
      </c>
    </row>
    <row r="501" spans="1:18" x14ac:dyDescent="0.25">
      <c r="A501" s="19" t="str">
        <f>VLOOKUP(LEFT(M501,3),Category!$G$3:$H$73,2,0)</f>
        <v>REFRIGERATOR</v>
      </c>
      <c r="B501" s="7" t="str">
        <f t="shared" si="65"/>
        <v>SJ-IG763PG-BK</v>
      </c>
      <c r="C501" s="7" t="str">
        <f t="shared" si="66"/>
        <v>2 Door 570 L, Black Glass Door, J-Tech INV, Plasmacluster, HYBRID Cooling, LED Touch Panel, MEGA Freezer, Moisture Capsule, HALAL certified</v>
      </c>
      <c r="D501" s="25" t="str">
        <f t="shared" si="67"/>
        <v>2020-08-01</v>
      </c>
      <c r="E501" s="7">
        <f t="shared" si="68"/>
        <v>11201010</v>
      </c>
      <c r="F501" s="6">
        <f t="shared" si="69"/>
        <v>0</v>
      </c>
      <c r="G501" s="7" t="str">
        <f t="shared" si="70"/>
        <v/>
      </c>
      <c r="I501" s="23">
        <f t="shared" si="71"/>
        <v>2020</v>
      </c>
      <c r="J501" s="23" t="str">
        <f t="shared" si="72"/>
        <v>08</v>
      </c>
      <c r="K501" s="23" t="str">
        <f t="shared" si="73"/>
        <v>2020-08-01</v>
      </c>
      <c r="M501" s="11" t="s">
        <v>407</v>
      </c>
      <c r="N501" s="11" t="s">
        <v>1069</v>
      </c>
      <c r="O501" s="9">
        <v>44044</v>
      </c>
      <c r="P501" s="13">
        <v>11201010</v>
      </c>
    </row>
    <row r="502" spans="1:18" x14ac:dyDescent="0.25">
      <c r="A502" s="19" t="str">
        <f>VLOOKUP(LEFT(M502,3),Category!$G$3:$H$73,2,0)</f>
        <v>REFRIGERATOR</v>
      </c>
      <c r="B502" s="7" t="str">
        <f t="shared" si="65"/>
        <v>SJ-IG860PM-SL</v>
      </c>
      <c r="C502" s="7" t="str">
        <f t="shared" si="66"/>
        <v>2 Door 613 L, Silver Stainless Steel Door, J-Tech INV, Plasmacluster, HYBRID Cooling, LED Touch Control, MEGA Freezer, HALAL certified</v>
      </c>
      <c r="D502" s="25" t="str">
        <f t="shared" si="67"/>
        <v>2018-01-01</v>
      </c>
      <c r="E502" s="7">
        <f t="shared" si="68"/>
        <v>9581520</v>
      </c>
      <c r="F502" s="6">
        <f t="shared" si="69"/>
        <v>0</v>
      </c>
      <c r="G502" s="7" t="str">
        <f t="shared" si="70"/>
        <v>Traditional</v>
      </c>
      <c r="I502" s="23">
        <f t="shared" si="71"/>
        <v>2018</v>
      </c>
      <c r="J502" s="23" t="str">
        <f t="shared" si="72"/>
        <v>01</v>
      </c>
      <c r="K502" s="23" t="str">
        <f t="shared" si="73"/>
        <v>2018-01-01</v>
      </c>
      <c r="M502" s="11" t="s">
        <v>92</v>
      </c>
      <c r="N502" s="11" t="s">
        <v>1070</v>
      </c>
      <c r="O502" s="9">
        <v>43101</v>
      </c>
      <c r="P502" s="13">
        <v>9581520</v>
      </c>
      <c r="R502" s="1" t="s">
        <v>1136</v>
      </c>
    </row>
    <row r="503" spans="1:18" x14ac:dyDescent="0.25">
      <c r="A503" s="19" t="str">
        <f>VLOOKUP(LEFT(M503,3),Category!$G$3:$H$73,2,0)</f>
        <v>REFRIGERATOR</v>
      </c>
      <c r="B503" s="7" t="str">
        <f t="shared" si="65"/>
        <v>SJ-IG861PG-BK</v>
      </c>
      <c r="C503" s="7" t="str">
        <f t="shared" si="66"/>
        <v>2 Door 613 L, Black Glass Door, J-Tech INV, Plasmacluster, HYBRID Cooling, LED Touch Panel, MEGA Freezer, HALAL certified</v>
      </c>
      <c r="D503" s="25" t="str">
        <f t="shared" si="67"/>
        <v>2018-01-01</v>
      </c>
      <c r="E503" s="7">
        <f t="shared" si="68"/>
        <v>10690410</v>
      </c>
      <c r="F503" s="6">
        <f t="shared" si="69"/>
        <v>0</v>
      </c>
      <c r="G503" s="7" t="str">
        <f t="shared" si="70"/>
        <v>Traditional</v>
      </c>
      <c r="I503" s="23">
        <f t="shared" si="71"/>
        <v>2018</v>
      </c>
      <c r="J503" s="23" t="str">
        <f t="shared" si="72"/>
        <v>01</v>
      </c>
      <c r="K503" s="23" t="str">
        <f t="shared" si="73"/>
        <v>2018-01-01</v>
      </c>
      <c r="M503" s="11" t="s">
        <v>93</v>
      </c>
      <c r="N503" s="11" t="s">
        <v>1071</v>
      </c>
      <c r="O503" s="9">
        <v>43101</v>
      </c>
      <c r="P503" s="13">
        <v>10690410</v>
      </c>
      <c r="R503" s="1" t="s">
        <v>1136</v>
      </c>
    </row>
    <row r="504" spans="1:18" x14ac:dyDescent="0.25">
      <c r="A504" s="19" t="str">
        <f>VLOOKUP(LEFT(M504,3),Category!$G$3:$H$73,2,0)</f>
        <v>REFRIGERATOR</v>
      </c>
      <c r="B504" s="7" t="str">
        <f t="shared" si="65"/>
        <v>SJ-IG861PG-RD</v>
      </c>
      <c r="C504" s="7" t="str">
        <f t="shared" si="66"/>
        <v>2 Door 613 L, Red Wine Glass Door, J-Tech INV, Plasmacluster, HYBRID Cooling, LED Touch Panel, MEGA Freezer, HALAL certified</v>
      </c>
      <c r="D504" s="25" t="str">
        <f t="shared" si="67"/>
        <v>2018-07-01</v>
      </c>
      <c r="E504" s="7">
        <f t="shared" si="68"/>
        <v>10690410</v>
      </c>
      <c r="F504" s="6">
        <f t="shared" si="69"/>
        <v>0</v>
      </c>
      <c r="G504" s="7" t="str">
        <f t="shared" si="70"/>
        <v>Traditional</v>
      </c>
      <c r="I504" s="23">
        <f t="shared" si="71"/>
        <v>2018</v>
      </c>
      <c r="J504" s="23" t="str">
        <f t="shared" si="72"/>
        <v>07</v>
      </c>
      <c r="K504" s="23" t="str">
        <f t="shared" si="73"/>
        <v>2018-07-01</v>
      </c>
      <c r="M504" s="11" t="s">
        <v>352</v>
      </c>
      <c r="N504" s="11" t="s">
        <v>1072</v>
      </c>
      <c r="O504" s="9">
        <v>43282</v>
      </c>
      <c r="P504" s="13">
        <v>10690410</v>
      </c>
      <c r="R504" s="1" t="s">
        <v>1136</v>
      </c>
    </row>
    <row r="505" spans="1:18" x14ac:dyDescent="0.25">
      <c r="A505" s="19" t="str">
        <f>VLOOKUP(LEFT(M505,3),Category!$G$3:$H$73,2,0)</f>
        <v>REFRIGERATOR</v>
      </c>
      <c r="B505" s="7" t="str">
        <f t="shared" si="65"/>
        <v>SJ-IG862PM-SL</v>
      </c>
      <c r="C505" s="7" t="str">
        <f t="shared" si="66"/>
        <v>2 Door 613 L, Dark Silver Stainless Steel Door, J-Tech INV, Plasmacluster, HYBRID Cooling, MEGA Freezer, Moisture Capsule, HALAL certified</v>
      </c>
      <c r="D505" s="25" t="str">
        <f t="shared" si="67"/>
        <v>2020-08-01</v>
      </c>
      <c r="E505" s="7">
        <f t="shared" si="68"/>
        <v>10902420</v>
      </c>
      <c r="F505" s="6">
        <f t="shared" si="69"/>
        <v>0</v>
      </c>
      <c r="G505" s="7" t="str">
        <f t="shared" si="70"/>
        <v/>
      </c>
      <c r="I505" s="23">
        <f t="shared" si="71"/>
        <v>2020</v>
      </c>
      <c r="J505" s="23" t="str">
        <f t="shared" si="72"/>
        <v>08</v>
      </c>
      <c r="K505" s="23" t="str">
        <f t="shared" si="73"/>
        <v>2020-08-01</v>
      </c>
      <c r="M505" s="11" t="s">
        <v>408</v>
      </c>
      <c r="N505" s="11" t="s">
        <v>1073</v>
      </c>
      <c r="O505" s="9">
        <v>44044</v>
      </c>
      <c r="P505" s="13">
        <v>10902420</v>
      </c>
    </row>
    <row r="506" spans="1:18" x14ac:dyDescent="0.25">
      <c r="A506" s="19" t="str">
        <f>VLOOKUP(LEFT(M506,3),Category!$G$3:$H$73,2,0)</f>
        <v>REFRIGERATOR</v>
      </c>
      <c r="B506" s="7" t="str">
        <f t="shared" si="65"/>
        <v>SJ-IG863PG-BK</v>
      </c>
      <c r="C506" s="7" t="str">
        <f t="shared" si="66"/>
        <v>2 Door 613 L, Black Glass Door, J-Tech INV, Plasmacluster, HYBRID Cooling, LED Touch Panel, MEGA Freezer, Moisture Capsule, HALAL certified</v>
      </c>
      <c r="D506" s="25" t="str">
        <f t="shared" si="67"/>
        <v>2020-08-01</v>
      </c>
      <c r="E506" s="7">
        <f t="shared" si="68"/>
        <v>12027960</v>
      </c>
      <c r="F506" s="6">
        <f t="shared" si="69"/>
        <v>0</v>
      </c>
      <c r="G506" s="7" t="str">
        <f t="shared" si="70"/>
        <v/>
      </c>
      <c r="I506" s="23">
        <f t="shared" si="71"/>
        <v>2020</v>
      </c>
      <c r="J506" s="23" t="str">
        <f t="shared" si="72"/>
        <v>08</v>
      </c>
      <c r="K506" s="23" t="str">
        <f t="shared" si="73"/>
        <v>2020-08-01</v>
      </c>
      <c r="M506" s="11" t="s">
        <v>409</v>
      </c>
      <c r="N506" s="11" t="s">
        <v>1074</v>
      </c>
      <c r="O506" s="9">
        <v>44044</v>
      </c>
      <c r="P506" s="13">
        <v>12027960</v>
      </c>
    </row>
    <row r="507" spans="1:18" x14ac:dyDescent="0.25">
      <c r="A507" s="19" t="str">
        <f>VLOOKUP(LEFT(M507,3),Category!$G$3:$H$73,2,0)</f>
        <v>REFRIGERATOR</v>
      </c>
      <c r="B507" s="7" t="str">
        <f t="shared" si="65"/>
        <v>SJ-IG962PM-SL</v>
      </c>
      <c r="C507" s="7" t="str">
        <f t="shared" si="66"/>
        <v>2 Door 656 L, Dark Silver Stainless Steel Door, J-Tech INV, Plasmacluster, HYBRID Cooling, MEGA Freezer, Moisture Capsule, HALAL certified</v>
      </c>
      <c r="D507" s="25" t="str">
        <f t="shared" si="67"/>
        <v>2020-08-01</v>
      </c>
      <c r="E507" s="7">
        <f t="shared" si="68"/>
        <v>11383050</v>
      </c>
      <c r="F507" s="6">
        <f t="shared" si="69"/>
        <v>0</v>
      </c>
      <c r="G507" s="7" t="str">
        <f t="shared" si="70"/>
        <v/>
      </c>
      <c r="I507" s="23">
        <f t="shared" si="71"/>
        <v>2020</v>
      </c>
      <c r="J507" s="23" t="str">
        <f t="shared" si="72"/>
        <v>08</v>
      </c>
      <c r="K507" s="23" t="str">
        <f t="shared" si="73"/>
        <v>2020-08-01</v>
      </c>
      <c r="M507" s="11" t="s">
        <v>410</v>
      </c>
      <c r="N507" s="11" t="s">
        <v>1075</v>
      </c>
      <c r="O507" s="9">
        <v>44044</v>
      </c>
      <c r="P507" s="13">
        <v>11383050</v>
      </c>
    </row>
    <row r="508" spans="1:18" x14ac:dyDescent="0.25">
      <c r="A508" s="19" t="str">
        <f>VLOOKUP(LEFT(M508,3),Category!$G$3:$H$73,2,0)</f>
        <v>REFRIGERATOR</v>
      </c>
      <c r="B508" s="7" t="str">
        <f t="shared" si="65"/>
        <v>SJ-IG963PG-BK</v>
      </c>
      <c r="C508" s="7" t="str">
        <f t="shared" si="66"/>
        <v>2 Door 656 L, Black Glass Door, J-Tech INV, Plasmacluster, HYBRID Cooling, LED Touch Panel, MEGA Freezer, Moisture Capsule, HALAL certified</v>
      </c>
      <c r="D508" s="25" t="str">
        <f t="shared" si="67"/>
        <v>2020-08-01</v>
      </c>
      <c r="E508" s="7">
        <f t="shared" si="68"/>
        <v>12688410</v>
      </c>
      <c r="F508" s="6">
        <f t="shared" si="69"/>
        <v>0</v>
      </c>
      <c r="G508" s="7" t="str">
        <f t="shared" si="70"/>
        <v/>
      </c>
      <c r="I508" s="23">
        <f t="shared" si="71"/>
        <v>2020</v>
      </c>
      <c r="J508" s="23" t="str">
        <f t="shared" si="72"/>
        <v>08</v>
      </c>
      <c r="K508" s="23" t="str">
        <f t="shared" si="73"/>
        <v>2020-08-01</v>
      </c>
      <c r="M508" s="11" t="s">
        <v>411</v>
      </c>
      <c r="N508" s="11" t="s">
        <v>1076</v>
      </c>
      <c r="O508" s="9">
        <v>44044</v>
      </c>
      <c r="P508" s="13">
        <v>12688410</v>
      </c>
    </row>
    <row r="509" spans="1:18" x14ac:dyDescent="0.25">
      <c r="A509" s="19" t="str">
        <f>VLOOKUP(LEFT(M509,3),Category!$G$3:$H$73,2,0)</f>
        <v>REFRIGERATOR</v>
      </c>
      <c r="B509" s="7" t="str">
        <f t="shared" si="65"/>
        <v>SJ-IS50M-SL</v>
      </c>
      <c r="C509" s="7" t="str">
        <f t="shared" si="66"/>
        <v>2 Door 472 L, Silver Stainless Steel Door, INV, Multi &amp; Dyna Cooling, LED Touch Panel</v>
      </c>
      <c r="D509" s="25" t="str">
        <f t="shared" si="67"/>
        <v>2020-04-01</v>
      </c>
      <c r="E509" s="7">
        <f t="shared" si="68"/>
        <v>9098670</v>
      </c>
      <c r="F509" s="6">
        <f t="shared" si="69"/>
        <v>0</v>
      </c>
      <c r="G509" s="7" t="str">
        <f t="shared" si="70"/>
        <v/>
      </c>
      <c r="I509" s="23">
        <f t="shared" si="71"/>
        <v>2020</v>
      </c>
      <c r="J509" s="23" t="str">
        <f t="shared" si="72"/>
        <v>04</v>
      </c>
      <c r="K509" s="23" t="str">
        <f t="shared" si="73"/>
        <v>2020-04-01</v>
      </c>
      <c r="M509" s="11" t="s">
        <v>218</v>
      </c>
      <c r="N509" s="11" t="s">
        <v>1077</v>
      </c>
      <c r="O509" s="9">
        <v>43922</v>
      </c>
      <c r="P509" s="13">
        <v>9098670</v>
      </c>
    </row>
    <row r="510" spans="1:18" x14ac:dyDescent="0.25">
      <c r="A510" s="19" t="str">
        <f>VLOOKUP(LEFT(M510,3),Category!$G$3:$H$73,2,0)</f>
        <v>REFRIGERATOR</v>
      </c>
      <c r="B510" s="7" t="str">
        <f t="shared" si="65"/>
        <v>SJ-IS60M-SL</v>
      </c>
      <c r="C510" s="7" t="str">
        <f t="shared" si="66"/>
        <v>2 Door 563 L, Dark Silver Stainless Steel Door, INV, Multi &amp; Dyna Cooling, LED Touch Panel</v>
      </c>
      <c r="D510" s="25" t="str">
        <f t="shared" si="67"/>
        <v>2020-04-01</v>
      </c>
      <c r="E510" s="7">
        <f t="shared" si="68"/>
        <v>9748020</v>
      </c>
      <c r="F510" s="6">
        <f t="shared" si="69"/>
        <v>0</v>
      </c>
      <c r="G510" s="7" t="str">
        <f t="shared" si="70"/>
        <v/>
      </c>
      <c r="I510" s="23">
        <f t="shared" si="71"/>
        <v>2020</v>
      </c>
      <c r="J510" s="23" t="str">
        <f t="shared" si="72"/>
        <v>04</v>
      </c>
      <c r="K510" s="23" t="str">
        <f t="shared" si="73"/>
        <v>2020-04-01</v>
      </c>
      <c r="M510" s="11" t="s">
        <v>219</v>
      </c>
      <c r="N510" s="11" t="s">
        <v>1078</v>
      </c>
      <c r="O510" s="9">
        <v>43922</v>
      </c>
      <c r="P510" s="13">
        <v>9748020</v>
      </c>
    </row>
    <row r="511" spans="1:18" x14ac:dyDescent="0.25">
      <c r="A511" s="19" t="str">
        <f>VLOOKUP(LEFT(M511,3),Category!$G$3:$H$73,2,0)</f>
        <v>REFRIGERATOR</v>
      </c>
      <c r="B511" s="7" t="str">
        <f t="shared" si="65"/>
        <v>SJ-IS61G-BK</v>
      </c>
      <c r="C511" s="7" t="str">
        <f t="shared" si="66"/>
        <v>2 Door 563 L, Black Glass Door, INV, Multi &amp; Dyna Cooling, LED Touch Panel</v>
      </c>
      <c r="D511" s="25" t="str">
        <f t="shared" si="67"/>
        <v>2020-04-01</v>
      </c>
      <c r="E511" s="7">
        <f t="shared" si="68"/>
        <v>10396260</v>
      </c>
      <c r="F511" s="6">
        <f t="shared" si="69"/>
        <v>0</v>
      </c>
      <c r="G511" s="7" t="str">
        <f t="shared" si="70"/>
        <v/>
      </c>
      <c r="I511" s="23">
        <f t="shared" si="71"/>
        <v>2020</v>
      </c>
      <c r="J511" s="23" t="str">
        <f t="shared" si="72"/>
        <v>04</v>
      </c>
      <c r="K511" s="23" t="str">
        <f t="shared" si="73"/>
        <v>2020-04-01</v>
      </c>
      <c r="M511" s="11" t="s">
        <v>220</v>
      </c>
      <c r="N511" s="11" t="s">
        <v>1079</v>
      </c>
      <c r="O511" s="9">
        <v>43922</v>
      </c>
      <c r="P511" s="13">
        <v>10396260</v>
      </c>
    </row>
    <row r="512" spans="1:18" x14ac:dyDescent="0.25">
      <c r="A512" s="19" t="str">
        <f>VLOOKUP(LEFT(M512,3),Category!$G$3:$H$73,2,0)</f>
        <v>REFRIGERATOR</v>
      </c>
      <c r="B512" s="7" t="str">
        <f t="shared" si="65"/>
        <v>SJ-N162D-AB</v>
      </c>
      <c r="C512" s="7" t="str">
        <f t="shared" si="66"/>
        <v>1 Door 133 L, Blue Aurora Stainless Steel Door, Low Voltage, HALAL certified</v>
      </c>
      <c r="D512" s="25" t="str">
        <f t="shared" si="67"/>
        <v>2019-05-01</v>
      </c>
      <c r="E512" s="7">
        <f t="shared" si="68"/>
        <v>1844820</v>
      </c>
      <c r="F512" s="6">
        <f t="shared" si="69"/>
        <v>0</v>
      </c>
      <c r="G512" s="7" t="str">
        <f t="shared" si="70"/>
        <v/>
      </c>
      <c r="I512" s="23">
        <f t="shared" si="71"/>
        <v>2019</v>
      </c>
      <c r="J512" s="23" t="str">
        <f t="shared" si="72"/>
        <v>05</v>
      </c>
      <c r="K512" s="23" t="str">
        <f t="shared" si="73"/>
        <v>2019-05-01</v>
      </c>
      <c r="M512" s="11" t="s">
        <v>273</v>
      </c>
      <c r="N512" s="11" t="s">
        <v>1080</v>
      </c>
      <c r="O512" s="9">
        <v>43586</v>
      </c>
      <c r="P512" s="13">
        <v>1844820</v>
      </c>
    </row>
    <row r="513" spans="1:16" x14ac:dyDescent="0.25">
      <c r="A513" s="19" t="str">
        <f>VLOOKUP(LEFT(M513,3),Category!$G$3:$H$73,2,0)</f>
        <v>REFRIGERATOR</v>
      </c>
      <c r="B513" s="7" t="str">
        <f t="shared" si="65"/>
        <v>SJ-N162D-AP</v>
      </c>
      <c r="C513" s="7" t="str">
        <f t="shared" si="66"/>
        <v>1 Door 133 L, Pink Aurora Stainless Steel Door, Low Voltage, HALAL certified</v>
      </c>
      <c r="D513" s="25" t="str">
        <f t="shared" si="67"/>
        <v>2019-05-01</v>
      </c>
      <c r="E513" s="7">
        <f t="shared" si="68"/>
        <v>1844820</v>
      </c>
      <c r="F513" s="6">
        <f t="shared" si="69"/>
        <v>0</v>
      </c>
      <c r="G513" s="7" t="str">
        <f t="shared" si="70"/>
        <v/>
      </c>
      <c r="I513" s="23">
        <f t="shared" si="71"/>
        <v>2019</v>
      </c>
      <c r="J513" s="23" t="str">
        <f t="shared" si="72"/>
        <v>05</v>
      </c>
      <c r="K513" s="23" t="str">
        <f t="shared" si="73"/>
        <v>2019-05-01</v>
      </c>
      <c r="M513" s="11" t="s">
        <v>274</v>
      </c>
      <c r="N513" s="11" t="s">
        <v>1081</v>
      </c>
      <c r="O513" s="9">
        <v>43586</v>
      </c>
      <c r="P513" s="13">
        <v>1844820</v>
      </c>
    </row>
    <row r="514" spans="1:16" x14ac:dyDescent="0.25">
      <c r="A514" s="19" t="str">
        <f>VLOOKUP(LEFT(M514,3),Category!$G$3:$H$73,2,0)</f>
        <v>REFRIGERATOR</v>
      </c>
      <c r="B514" s="7" t="str">
        <f t="shared" si="65"/>
        <v>SJ-N162D-AS</v>
      </c>
      <c r="C514" s="7" t="str">
        <f t="shared" si="66"/>
        <v>1 Door 133 L, Silver Aurora Stainless Steel Door, Low Voltage, HALAL certified</v>
      </c>
      <c r="D514" s="25" t="str">
        <f t="shared" si="67"/>
        <v>2019-05-01</v>
      </c>
      <c r="E514" s="7">
        <f t="shared" si="68"/>
        <v>1823730</v>
      </c>
      <c r="F514" s="6">
        <f t="shared" si="69"/>
        <v>0</v>
      </c>
      <c r="G514" s="7" t="str">
        <f t="shared" si="70"/>
        <v/>
      </c>
      <c r="I514" s="23">
        <f t="shared" si="71"/>
        <v>2019</v>
      </c>
      <c r="J514" s="23" t="str">
        <f t="shared" si="72"/>
        <v>05</v>
      </c>
      <c r="K514" s="23" t="str">
        <f t="shared" si="73"/>
        <v>2019-05-01</v>
      </c>
      <c r="M514" s="11" t="s">
        <v>275</v>
      </c>
      <c r="N514" s="11" t="s">
        <v>1082</v>
      </c>
      <c r="O514" s="9">
        <v>43586</v>
      </c>
      <c r="P514" s="13">
        <v>1823730</v>
      </c>
    </row>
    <row r="515" spans="1:16" x14ac:dyDescent="0.25">
      <c r="A515" s="19" t="str">
        <f>VLOOKUP(LEFT(M515,3),Category!$G$3:$H$73,2,0)</f>
        <v>REFRIGERATOR</v>
      </c>
      <c r="B515" s="7" t="str">
        <f t="shared" si="65"/>
        <v>SJ-N162D-SB</v>
      </c>
      <c r="C515" s="7" t="str">
        <f t="shared" si="66"/>
        <v>1 Door 133 L, Blue Sakura Stainless Steel Door, Low Voltage, HALAL certified</v>
      </c>
      <c r="D515" s="25" t="str">
        <f t="shared" si="67"/>
        <v>2020-03-01</v>
      </c>
      <c r="E515" s="7">
        <f t="shared" si="68"/>
        <v>1709400</v>
      </c>
      <c r="F515" s="6">
        <f t="shared" si="69"/>
        <v>0</v>
      </c>
      <c r="G515" s="7" t="str">
        <f t="shared" si="70"/>
        <v/>
      </c>
      <c r="I515" s="23">
        <f t="shared" si="71"/>
        <v>2020</v>
      </c>
      <c r="J515" s="23" t="str">
        <f t="shared" si="72"/>
        <v>03</v>
      </c>
      <c r="K515" s="23" t="str">
        <f t="shared" si="73"/>
        <v>2020-03-01</v>
      </c>
      <c r="M515" s="11" t="s">
        <v>170</v>
      </c>
      <c r="N515" s="11" t="s">
        <v>1083</v>
      </c>
      <c r="O515" s="9">
        <v>43891</v>
      </c>
      <c r="P515" s="13">
        <v>1709400</v>
      </c>
    </row>
    <row r="516" spans="1:16" x14ac:dyDescent="0.25">
      <c r="A516" s="19" t="str">
        <f>VLOOKUP(LEFT(M516,3),Category!$G$3:$H$73,2,0)</f>
        <v>REFRIGERATOR</v>
      </c>
      <c r="B516" s="7" t="str">
        <f t="shared" si="65"/>
        <v>SJ-N162D-SH</v>
      </c>
      <c r="C516" s="7" t="str">
        <f t="shared" si="66"/>
        <v>1 Door 133 L, Green Sakura Stainless Steel Door, Low Voltage, HALAL certified</v>
      </c>
      <c r="D516" s="25" t="str">
        <f t="shared" si="67"/>
        <v>2020-03-01</v>
      </c>
      <c r="E516" s="7">
        <f t="shared" si="68"/>
        <v>1709400</v>
      </c>
      <c r="F516" s="6">
        <f t="shared" si="69"/>
        <v>0</v>
      </c>
      <c r="G516" s="7" t="str">
        <f t="shared" si="70"/>
        <v/>
      </c>
      <c r="I516" s="23">
        <f t="shared" si="71"/>
        <v>2020</v>
      </c>
      <c r="J516" s="23" t="str">
        <f t="shared" si="72"/>
        <v>03</v>
      </c>
      <c r="K516" s="23" t="str">
        <f t="shared" si="73"/>
        <v>2020-03-01</v>
      </c>
      <c r="M516" s="11" t="s">
        <v>171</v>
      </c>
      <c r="N516" s="11" t="s">
        <v>1084</v>
      </c>
      <c r="O516" s="9">
        <v>43891</v>
      </c>
      <c r="P516" s="13">
        <v>1709400</v>
      </c>
    </row>
    <row r="517" spans="1:16" x14ac:dyDescent="0.25">
      <c r="A517" s="19" t="str">
        <f>VLOOKUP(LEFT(M517,3),Category!$G$3:$H$73,2,0)</f>
        <v>REFRIGERATOR</v>
      </c>
      <c r="B517" s="7" t="str">
        <f t="shared" si="65"/>
        <v>SJ-N162D-SP</v>
      </c>
      <c r="C517" s="7" t="str">
        <f t="shared" si="66"/>
        <v>1 Door 133 L, Pink Sakura Stainless Steel Door, Low Voltage, HALAL certified</v>
      </c>
      <c r="D517" s="25" t="str">
        <f t="shared" si="67"/>
        <v>2020-03-01</v>
      </c>
      <c r="E517" s="7">
        <f t="shared" si="68"/>
        <v>1709400</v>
      </c>
      <c r="F517" s="6">
        <f t="shared" si="69"/>
        <v>0</v>
      </c>
      <c r="G517" s="7" t="str">
        <f t="shared" si="70"/>
        <v/>
      </c>
      <c r="I517" s="23">
        <f t="shared" si="71"/>
        <v>2020</v>
      </c>
      <c r="J517" s="23" t="str">
        <f t="shared" si="72"/>
        <v>03</v>
      </c>
      <c r="K517" s="23" t="str">
        <f t="shared" si="73"/>
        <v>2020-03-01</v>
      </c>
      <c r="M517" s="11" t="s">
        <v>172</v>
      </c>
      <c r="N517" s="11" t="s">
        <v>1085</v>
      </c>
      <c r="O517" s="9">
        <v>43891</v>
      </c>
      <c r="P517" s="13">
        <v>1709400</v>
      </c>
    </row>
    <row r="518" spans="1:16" x14ac:dyDescent="0.25">
      <c r="A518" s="19" t="str">
        <f>VLOOKUP(LEFT(M518,3),Category!$G$3:$H$73,2,0)</f>
        <v>REFRIGERATOR</v>
      </c>
      <c r="B518" s="7" t="str">
        <f t="shared" si="65"/>
        <v>SJ-N162D-VB</v>
      </c>
      <c r="C518" s="7" t="str">
        <f t="shared" si="66"/>
        <v>1 Door 133 L, Vivid Blue Sakura Stainless Steel Door, Low Voltage, HALAL certified</v>
      </c>
      <c r="D518" s="25" t="str">
        <f t="shared" si="67"/>
        <v>2020-03-01</v>
      </c>
      <c r="E518" s="7">
        <f t="shared" si="68"/>
        <v>1709400</v>
      </c>
      <c r="F518" s="6">
        <f t="shared" si="69"/>
        <v>0</v>
      </c>
      <c r="G518" s="7" t="str">
        <f t="shared" si="70"/>
        <v/>
      </c>
      <c r="I518" s="23">
        <f t="shared" si="71"/>
        <v>2020</v>
      </c>
      <c r="J518" s="23" t="str">
        <f t="shared" si="72"/>
        <v>03</v>
      </c>
      <c r="K518" s="23" t="str">
        <f t="shared" si="73"/>
        <v>2020-03-01</v>
      </c>
      <c r="M518" s="11" t="s">
        <v>173</v>
      </c>
      <c r="N518" s="11" t="s">
        <v>1086</v>
      </c>
      <c r="O518" s="9">
        <v>43891</v>
      </c>
      <c r="P518" s="13">
        <v>1709400</v>
      </c>
    </row>
    <row r="519" spans="1:16" x14ac:dyDescent="0.25">
      <c r="A519" s="19" t="str">
        <f>VLOOKUP(LEFT(M519,3),Category!$G$3:$H$73,2,0)</f>
        <v>REFRIGERATOR</v>
      </c>
      <c r="B519" s="7" t="str">
        <f t="shared" ref="B519:B578" si="74">UPPER(M519)</f>
        <v>SJ-N162D-VR</v>
      </c>
      <c r="C519" s="7" t="str">
        <f t="shared" ref="C519:C578" si="75">IF(OR(N519="",N519=0),"",N519)</f>
        <v>1 Door 133 L, Vivid Red Sakura Stainless Steel Door, Low Voltage, HALAL certified</v>
      </c>
      <c r="D519" s="25" t="str">
        <f t="shared" ref="D519:D578" si="76">IFERROR(K519,"")</f>
        <v>2020-03-01</v>
      </c>
      <c r="E519" s="7">
        <f t="shared" ref="E519:E578" si="77">P519</f>
        <v>1709400</v>
      </c>
      <c r="F519" s="6">
        <f t="shared" ref="F519:F578" si="78">IF(O519="DISC",1,0)</f>
        <v>0</v>
      </c>
      <c r="G519" s="7" t="str">
        <f t="shared" ref="G519:G578" si="79">IF(R519="","",R519)</f>
        <v/>
      </c>
      <c r="I519" s="23">
        <f t="shared" ref="I519:I582" si="80">IF(YEAR(O519)=2022,2000+DAY(O519),YEAR(O519))</f>
        <v>2020</v>
      </c>
      <c r="J519" s="23" t="str">
        <f t="shared" ref="J519:J582" si="81">IF(MONTH(O519)&lt;10,"0"&amp;MONTH(O519),MONTH(O519))</f>
        <v>03</v>
      </c>
      <c r="K519" s="23" t="str">
        <f t="shared" ref="K519:K582" si="82">I519&amp;"-"&amp;J519&amp;"-01"</f>
        <v>2020-03-01</v>
      </c>
      <c r="M519" s="11" t="s">
        <v>174</v>
      </c>
      <c r="N519" s="11" t="s">
        <v>1087</v>
      </c>
      <c r="O519" s="9">
        <v>43891</v>
      </c>
      <c r="P519" s="13">
        <v>1709400</v>
      </c>
    </row>
    <row r="520" spans="1:16" x14ac:dyDescent="0.25">
      <c r="A520" s="19" t="str">
        <f>VLOOKUP(LEFT(M520,3),Category!$G$3:$H$73,2,0)</f>
        <v>REFRIGERATOR</v>
      </c>
      <c r="B520" s="7" t="str">
        <f t="shared" si="74"/>
        <v>SJ-N162N-HS</v>
      </c>
      <c r="C520" s="7" t="str">
        <f t="shared" si="75"/>
        <v>1 Door 133 L, Dark Silver Finish Stainless Steel Door, Low Wattage &amp; Low Voltage, HALAL Certified</v>
      </c>
      <c r="D520" s="25" t="str">
        <f t="shared" si="76"/>
        <v>2001-03-01</v>
      </c>
      <c r="E520" s="7">
        <f t="shared" si="77"/>
        <v>1844820</v>
      </c>
      <c r="F520" s="6">
        <f t="shared" si="78"/>
        <v>0</v>
      </c>
      <c r="G520" s="7" t="str">
        <f t="shared" si="79"/>
        <v/>
      </c>
      <c r="I520" s="23">
        <f t="shared" si="80"/>
        <v>2001</v>
      </c>
      <c r="J520" s="23" t="str">
        <f t="shared" si="81"/>
        <v>03</v>
      </c>
      <c r="K520" s="23" t="str">
        <f t="shared" si="82"/>
        <v>2001-03-01</v>
      </c>
      <c r="M520" s="11" t="s">
        <v>198</v>
      </c>
      <c r="N520" s="11" t="s">
        <v>1088</v>
      </c>
      <c r="O520" s="9">
        <v>44621</v>
      </c>
      <c r="P520" s="13">
        <v>1844820</v>
      </c>
    </row>
    <row r="521" spans="1:16" x14ac:dyDescent="0.25">
      <c r="A521" s="19" t="str">
        <f>VLOOKUP(LEFT(M521,3),Category!$G$3:$H$73,2,0)</f>
        <v>REFRIGERATOR</v>
      </c>
      <c r="B521" s="7" t="str">
        <f t="shared" si="74"/>
        <v>SJ-N182D-AB</v>
      </c>
      <c r="C521" s="7" t="str">
        <f t="shared" si="75"/>
        <v>1 Door 166 L, Blue Aurora Stainless Steel Door, Low Voltage, HALAL certified</v>
      </c>
      <c r="D521" s="25" t="str">
        <f t="shared" si="76"/>
        <v>2019-05-01</v>
      </c>
      <c r="E521" s="7">
        <f t="shared" si="77"/>
        <v>2083470</v>
      </c>
      <c r="F521" s="6">
        <f t="shared" si="78"/>
        <v>0</v>
      </c>
      <c r="G521" s="7" t="str">
        <f t="shared" si="79"/>
        <v/>
      </c>
      <c r="I521" s="23">
        <f t="shared" si="80"/>
        <v>2019</v>
      </c>
      <c r="J521" s="23" t="str">
        <f t="shared" si="81"/>
        <v>05</v>
      </c>
      <c r="K521" s="23" t="str">
        <f t="shared" si="82"/>
        <v>2019-05-01</v>
      </c>
      <c r="M521" s="11" t="s">
        <v>276</v>
      </c>
      <c r="N521" s="11" t="s">
        <v>1089</v>
      </c>
      <c r="O521" s="9">
        <v>43586</v>
      </c>
      <c r="P521" s="13">
        <v>2083470</v>
      </c>
    </row>
    <row r="522" spans="1:16" x14ac:dyDescent="0.25">
      <c r="A522" s="19" t="str">
        <f>VLOOKUP(LEFT(M522,3),Category!$G$3:$H$73,2,0)</f>
        <v>REFRIGERATOR</v>
      </c>
      <c r="B522" s="7" t="str">
        <f t="shared" si="74"/>
        <v>SJ-N182D-AP</v>
      </c>
      <c r="C522" s="7" t="str">
        <f t="shared" si="75"/>
        <v>1 Door 166 L, Pink Aurora Stainless Steel Door, Low Voltage, HALAL certified</v>
      </c>
      <c r="D522" s="25" t="str">
        <f t="shared" si="76"/>
        <v>2019-05-01</v>
      </c>
      <c r="E522" s="7">
        <f t="shared" si="77"/>
        <v>2083470</v>
      </c>
      <c r="F522" s="6">
        <f t="shared" si="78"/>
        <v>0</v>
      </c>
      <c r="G522" s="7" t="str">
        <f t="shared" si="79"/>
        <v/>
      </c>
      <c r="I522" s="23">
        <f t="shared" si="80"/>
        <v>2019</v>
      </c>
      <c r="J522" s="23" t="str">
        <f t="shared" si="81"/>
        <v>05</v>
      </c>
      <c r="K522" s="23" t="str">
        <f t="shared" si="82"/>
        <v>2019-05-01</v>
      </c>
      <c r="M522" s="11" t="s">
        <v>277</v>
      </c>
      <c r="N522" s="11" t="s">
        <v>1090</v>
      </c>
      <c r="O522" s="9">
        <v>43586</v>
      </c>
      <c r="P522" s="13">
        <v>2083470</v>
      </c>
    </row>
    <row r="523" spans="1:16" x14ac:dyDescent="0.25">
      <c r="A523" s="19" t="str">
        <f>VLOOKUP(LEFT(M523,3),Category!$G$3:$H$73,2,0)</f>
        <v>REFRIGERATOR</v>
      </c>
      <c r="B523" s="7" t="str">
        <f t="shared" si="74"/>
        <v>SJ-N182D-AS</v>
      </c>
      <c r="C523" s="7" t="str">
        <f t="shared" si="75"/>
        <v>1 Door 166 L, Silver Aurora Stainless Steel Door, Low Voltage, HALAL certified</v>
      </c>
      <c r="D523" s="25" t="str">
        <f t="shared" si="76"/>
        <v>2019-05-01</v>
      </c>
      <c r="E523" s="7">
        <f t="shared" si="77"/>
        <v>2060160</v>
      </c>
      <c r="F523" s="6">
        <f t="shared" si="78"/>
        <v>0</v>
      </c>
      <c r="G523" s="7" t="str">
        <f t="shared" si="79"/>
        <v/>
      </c>
      <c r="I523" s="23">
        <f t="shared" si="80"/>
        <v>2019</v>
      </c>
      <c r="J523" s="23" t="str">
        <f t="shared" si="81"/>
        <v>05</v>
      </c>
      <c r="K523" s="23" t="str">
        <f t="shared" si="82"/>
        <v>2019-05-01</v>
      </c>
      <c r="M523" s="11" t="s">
        <v>278</v>
      </c>
      <c r="N523" s="11" t="s">
        <v>1091</v>
      </c>
      <c r="O523" s="9">
        <v>43586</v>
      </c>
      <c r="P523" s="13">
        <v>2060160</v>
      </c>
    </row>
    <row r="524" spans="1:16" x14ac:dyDescent="0.25">
      <c r="A524" s="19" t="str">
        <f>VLOOKUP(LEFT(M524,3),Category!$G$3:$H$73,2,0)</f>
        <v>REFRIGERATOR</v>
      </c>
      <c r="B524" s="7" t="str">
        <f t="shared" si="74"/>
        <v>SJ-N182D-SB</v>
      </c>
      <c r="C524" s="7" t="str">
        <f t="shared" si="75"/>
        <v>1 Door 166 L, Blue Sakura Stainless Steel Door, Low Voltage, HALAL certified</v>
      </c>
      <c r="D524" s="25" t="str">
        <f t="shared" si="76"/>
        <v>2020-03-01</v>
      </c>
      <c r="E524" s="7">
        <f t="shared" si="77"/>
        <v>2116770</v>
      </c>
      <c r="F524" s="6">
        <f t="shared" si="78"/>
        <v>0</v>
      </c>
      <c r="G524" s="7" t="str">
        <f t="shared" si="79"/>
        <v/>
      </c>
      <c r="I524" s="23">
        <f t="shared" si="80"/>
        <v>2020</v>
      </c>
      <c r="J524" s="23" t="str">
        <f t="shared" si="81"/>
        <v>03</v>
      </c>
      <c r="K524" s="23" t="str">
        <f t="shared" si="82"/>
        <v>2020-03-01</v>
      </c>
      <c r="M524" s="11" t="s">
        <v>175</v>
      </c>
      <c r="N524" s="11" t="s">
        <v>1092</v>
      </c>
      <c r="O524" s="9">
        <v>43891</v>
      </c>
      <c r="P524" s="13">
        <v>2116770</v>
      </c>
    </row>
    <row r="525" spans="1:16" x14ac:dyDescent="0.25">
      <c r="A525" s="19" t="str">
        <f>VLOOKUP(LEFT(M525,3),Category!$G$3:$H$73,2,0)</f>
        <v>REFRIGERATOR</v>
      </c>
      <c r="B525" s="7" t="str">
        <f t="shared" si="74"/>
        <v>SJ-N182D-SH</v>
      </c>
      <c r="C525" s="7" t="str">
        <f t="shared" si="75"/>
        <v>1 Door 166 L, Green Sakura Stainless Steel Door, Low Voltage, HALAL certified</v>
      </c>
      <c r="D525" s="25" t="str">
        <f t="shared" si="76"/>
        <v>2020-03-01</v>
      </c>
      <c r="E525" s="7">
        <f t="shared" si="77"/>
        <v>2116770</v>
      </c>
      <c r="F525" s="6">
        <f t="shared" si="78"/>
        <v>0</v>
      </c>
      <c r="G525" s="7" t="str">
        <f t="shared" si="79"/>
        <v/>
      </c>
      <c r="I525" s="23">
        <f t="shared" si="80"/>
        <v>2020</v>
      </c>
      <c r="J525" s="23" t="str">
        <f t="shared" si="81"/>
        <v>03</v>
      </c>
      <c r="K525" s="23" t="str">
        <f t="shared" si="82"/>
        <v>2020-03-01</v>
      </c>
      <c r="M525" s="11" t="s">
        <v>176</v>
      </c>
      <c r="N525" s="11" t="s">
        <v>1093</v>
      </c>
      <c r="O525" s="9">
        <v>43891</v>
      </c>
      <c r="P525" s="13">
        <v>2116770</v>
      </c>
    </row>
    <row r="526" spans="1:16" x14ac:dyDescent="0.25">
      <c r="A526" s="19" t="str">
        <f>VLOOKUP(LEFT(M526,3),Category!$G$3:$H$73,2,0)</f>
        <v>REFRIGERATOR</v>
      </c>
      <c r="B526" s="7" t="str">
        <f t="shared" si="74"/>
        <v>SJ-N182D-SP</v>
      </c>
      <c r="C526" s="7" t="str">
        <f t="shared" si="75"/>
        <v>1 Door 166 L, Pink Sakura Stainless Steel Door, Low Voltage, HALAL certified</v>
      </c>
      <c r="D526" s="25" t="str">
        <f t="shared" si="76"/>
        <v>2020-03-01</v>
      </c>
      <c r="E526" s="7">
        <f t="shared" si="77"/>
        <v>2116770</v>
      </c>
      <c r="F526" s="6">
        <f t="shared" si="78"/>
        <v>0</v>
      </c>
      <c r="G526" s="7" t="str">
        <f t="shared" si="79"/>
        <v/>
      </c>
      <c r="I526" s="23">
        <f t="shared" si="80"/>
        <v>2020</v>
      </c>
      <c r="J526" s="23" t="str">
        <f t="shared" si="81"/>
        <v>03</v>
      </c>
      <c r="K526" s="23" t="str">
        <f t="shared" si="82"/>
        <v>2020-03-01</v>
      </c>
      <c r="M526" s="11" t="s">
        <v>177</v>
      </c>
      <c r="N526" s="11" t="s">
        <v>1094</v>
      </c>
      <c r="O526" s="9">
        <v>43891</v>
      </c>
      <c r="P526" s="13">
        <v>2116770</v>
      </c>
    </row>
    <row r="527" spans="1:16" x14ac:dyDescent="0.25">
      <c r="A527" s="19" t="str">
        <f>VLOOKUP(LEFT(M527,3),Category!$G$3:$H$73,2,0)</f>
        <v>REFRIGERATOR</v>
      </c>
      <c r="B527" s="7" t="str">
        <f t="shared" si="74"/>
        <v>SJ-N182D-VB</v>
      </c>
      <c r="C527" s="7" t="str">
        <f t="shared" si="75"/>
        <v>1 Door 166 L, Vivid Blue Sakura Stainless Steel Door, Low Voltage, HALAL certified</v>
      </c>
      <c r="D527" s="25" t="str">
        <f t="shared" si="76"/>
        <v>2020-03-01</v>
      </c>
      <c r="E527" s="7">
        <f t="shared" si="77"/>
        <v>2116770</v>
      </c>
      <c r="F527" s="6">
        <f t="shared" si="78"/>
        <v>0</v>
      </c>
      <c r="G527" s="7" t="str">
        <f t="shared" si="79"/>
        <v/>
      </c>
      <c r="I527" s="23">
        <f t="shared" si="80"/>
        <v>2020</v>
      </c>
      <c r="J527" s="23" t="str">
        <f t="shared" si="81"/>
        <v>03</v>
      </c>
      <c r="K527" s="23" t="str">
        <f t="shared" si="82"/>
        <v>2020-03-01</v>
      </c>
      <c r="M527" s="11" t="s">
        <v>178</v>
      </c>
      <c r="N527" s="11" t="s">
        <v>1095</v>
      </c>
      <c r="O527" s="9">
        <v>43891</v>
      </c>
      <c r="P527" s="13">
        <v>2116770</v>
      </c>
    </row>
    <row r="528" spans="1:16" x14ac:dyDescent="0.25">
      <c r="A528" s="19" t="str">
        <f>VLOOKUP(LEFT(M528,3),Category!$G$3:$H$73,2,0)</f>
        <v>REFRIGERATOR</v>
      </c>
      <c r="B528" s="7" t="str">
        <f t="shared" si="74"/>
        <v>SJ-N182D-VR</v>
      </c>
      <c r="C528" s="7" t="str">
        <f t="shared" si="75"/>
        <v>1 Door 166 L, Vivid Red Sakura Stainless Steel Door, Low Voltage, HALAL certified</v>
      </c>
      <c r="D528" s="25" t="str">
        <f t="shared" si="76"/>
        <v>2020-03-01</v>
      </c>
      <c r="E528" s="7">
        <f t="shared" si="77"/>
        <v>2116770</v>
      </c>
      <c r="F528" s="6">
        <f t="shared" si="78"/>
        <v>0</v>
      </c>
      <c r="G528" s="7" t="str">
        <f t="shared" si="79"/>
        <v/>
      </c>
      <c r="I528" s="23">
        <f t="shared" si="80"/>
        <v>2020</v>
      </c>
      <c r="J528" s="23" t="str">
        <f t="shared" si="81"/>
        <v>03</v>
      </c>
      <c r="K528" s="23" t="str">
        <f t="shared" si="82"/>
        <v>2020-03-01</v>
      </c>
      <c r="M528" s="11" t="s">
        <v>179</v>
      </c>
      <c r="N528" s="11" t="s">
        <v>1096</v>
      </c>
      <c r="O528" s="9">
        <v>43891</v>
      </c>
      <c r="P528" s="13">
        <v>2116770</v>
      </c>
    </row>
    <row r="529" spans="1:16" x14ac:dyDescent="0.25">
      <c r="A529" s="19" t="str">
        <f>VLOOKUP(LEFT(M529,3),Category!$G$3:$H$73,2,0)</f>
        <v>REFRIGERATOR</v>
      </c>
      <c r="B529" s="7" t="str">
        <f t="shared" si="74"/>
        <v>SJ-N182N-HS</v>
      </c>
      <c r="C529" s="7" t="str">
        <f t="shared" si="75"/>
        <v>1 Door 166 L, Dark Silver Finish Stainless Steel Door, Low Wattage &amp; Low Voltage, HALAL Certified</v>
      </c>
      <c r="D529" s="25" t="str">
        <f t="shared" si="76"/>
        <v>2021-07-01</v>
      </c>
      <c r="E529" s="7">
        <f t="shared" si="77"/>
        <v>2056830</v>
      </c>
      <c r="F529" s="6">
        <f t="shared" si="78"/>
        <v>0</v>
      </c>
      <c r="G529" s="7" t="str">
        <f t="shared" si="79"/>
        <v/>
      </c>
      <c r="I529" s="23">
        <f t="shared" si="80"/>
        <v>2021</v>
      </c>
      <c r="J529" s="23" t="str">
        <f t="shared" si="81"/>
        <v>07</v>
      </c>
      <c r="K529" s="23" t="str">
        <f t="shared" si="82"/>
        <v>2021-07-01</v>
      </c>
      <c r="M529" s="11" t="s">
        <v>371</v>
      </c>
      <c r="N529" s="11" t="s">
        <v>1097</v>
      </c>
      <c r="O529" s="9">
        <v>44378</v>
      </c>
      <c r="P529" s="13">
        <v>2056830</v>
      </c>
    </row>
    <row r="530" spans="1:16" x14ac:dyDescent="0.25">
      <c r="A530" s="19" t="str">
        <f>VLOOKUP(LEFT(M530,3),Category!$G$3:$H$73,2,0)</f>
        <v>REFRIGERATOR</v>
      </c>
      <c r="B530" s="7" t="str">
        <f t="shared" si="74"/>
        <v>SJ-N192D-AB</v>
      </c>
      <c r="C530" s="7" t="str">
        <f t="shared" si="75"/>
        <v>1 Door 184 L, Blue Aurora Stainless Steel Door, Low Voltage, HALAL certified</v>
      </c>
      <c r="D530" s="25" t="str">
        <f t="shared" si="76"/>
        <v>2019-05-01</v>
      </c>
      <c r="E530" s="7">
        <f t="shared" si="77"/>
        <v>2175600</v>
      </c>
      <c r="F530" s="6">
        <f t="shared" si="78"/>
        <v>0</v>
      </c>
      <c r="G530" s="7" t="str">
        <f t="shared" si="79"/>
        <v/>
      </c>
      <c r="I530" s="23">
        <f t="shared" si="80"/>
        <v>2019</v>
      </c>
      <c r="J530" s="23" t="str">
        <f t="shared" si="81"/>
        <v>05</v>
      </c>
      <c r="K530" s="23" t="str">
        <f t="shared" si="82"/>
        <v>2019-05-01</v>
      </c>
      <c r="M530" s="11" t="s">
        <v>279</v>
      </c>
      <c r="N530" s="11" t="s">
        <v>1098</v>
      </c>
      <c r="O530" s="9">
        <v>43586</v>
      </c>
      <c r="P530" s="13">
        <v>2175600</v>
      </c>
    </row>
    <row r="531" spans="1:16" x14ac:dyDescent="0.25">
      <c r="A531" s="19" t="str">
        <f>VLOOKUP(LEFT(M531,3),Category!$G$3:$H$73,2,0)</f>
        <v>REFRIGERATOR</v>
      </c>
      <c r="B531" s="7" t="str">
        <f t="shared" si="74"/>
        <v>SJ-N192D-AP</v>
      </c>
      <c r="C531" s="7" t="str">
        <f t="shared" si="75"/>
        <v>1 Door 184 L, Pink Aurora Stainless Steel Door, Low Voltage, HALAL certified</v>
      </c>
      <c r="D531" s="25" t="str">
        <f t="shared" si="76"/>
        <v>2019-05-01</v>
      </c>
      <c r="E531" s="7">
        <f t="shared" si="77"/>
        <v>2175600</v>
      </c>
      <c r="F531" s="6">
        <f t="shared" si="78"/>
        <v>0</v>
      </c>
      <c r="G531" s="7" t="str">
        <f t="shared" si="79"/>
        <v/>
      </c>
      <c r="I531" s="23">
        <f t="shared" si="80"/>
        <v>2019</v>
      </c>
      <c r="J531" s="23" t="str">
        <f t="shared" si="81"/>
        <v>05</v>
      </c>
      <c r="K531" s="23" t="str">
        <f t="shared" si="82"/>
        <v>2019-05-01</v>
      </c>
      <c r="M531" s="11" t="s">
        <v>280</v>
      </c>
      <c r="N531" s="11" t="s">
        <v>1099</v>
      </c>
      <c r="O531" s="9">
        <v>43586</v>
      </c>
      <c r="P531" s="13">
        <v>2175600</v>
      </c>
    </row>
    <row r="532" spans="1:16" x14ac:dyDescent="0.25">
      <c r="A532" s="19" t="str">
        <f>VLOOKUP(LEFT(M532,3),Category!$G$3:$H$73,2,0)</f>
        <v>REFRIGERATOR</v>
      </c>
      <c r="B532" s="7" t="str">
        <f t="shared" si="74"/>
        <v>SJ-N192D-AS</v>
      </c>
      <c r="C532" s="7" t="str">
        <f t="shared" si="75"/>
        <v>1 Door 184 L, Silver Aurora Stainless Steel Door, Low Voltage, HALAL certified</v>
      </c>
      <c r="D532" s="25" t="str">
        <f t="shared" si="76"/>
        <v>2019-05-01</v>
      </c>
      <c r="E532" s="7">
        <f t="shared" si="77"/>
        <v>2151180</v>
      </c>
      <c r="F532" s="6">
        <f t="shared" si="78"/>
        <v>0</v>
      </c>
      <c r="G532" s="7" t="str">
        <f t="shared" si="79"/>
        <v/>
      </c>
      <c r="I532" s="23">
        <f t="shared" si="80"/>
        <v>2019</v>
      </c>
      <c r="J532" s="23" t="str">
        <f t="shared" si="81"/>
        <v>05</v>
      </c>
      <c r="K532" s="23" t="str">
        <f t="shared" si="82"/>
        <v>2019-05-01</v>
      </c>
      <c r="M532" s="11" t="s">
        <v>281</v>
      </c>
      <c r="N532" s="11" t="s">
        <v>1100</v>
      </c>
      <c r="O532" s="9">
        <v>43586</v>
      </c>
      <c r="P532" s="13">
        <v>2151180</v>
      </c>
    </row>
    <row r="533" spans="1:16" x14ac:dyDescent="0.25">
      <c r="A533" s="19" t="str">
        <f>VLOOKUP(LEFT(M533,3),Category!$G$3:$H$73,2,0)</f>
        <v>REFRIGERATOR</v>
      </c>
      <c r="B533" s="7" t="str">
        <f t="shared" si="74"/>
        <v>SJ-N192D-SB</v>
      </c>
      <c r="C533" s="7" t="str">
        <f t="shared" si="75"/>
        <v>1 Door 184 L, Blue Sakura Stainless Steel Door, Low Voltage, HALAL certified</v>
      </c>
      <c r="D533" s="25" t="str">
        <f t="shared" si="76"/>
        <v>2020-03-01</v>
      </c>
      <c r="E533" s="7">
        <f t="shared" si="77"/>
        <v>2188920</v>
      </c>
      <c r="F533" s="6">
        <f t="shared" si="78"/>
        <v>0</v>
      </c>
      <c r="G533" s="7" t="str">
        <f t="shared" si="79"/>
        <v/>
      </c>
      <c r="I533" s="23">
        <f t="shared" si="80"/>
        <v>2020</v>
      </c>
      <c r="J533" s="23" t="str">
        <f t="shared" si="81"/>
        <v>03</v>
      </c>
      <c r="K533" s="23" t="str">
        <f t="shared" si="82"/>
        <v>2020-03-01</v>
      </c>
      <c r="M533" s="11" t="s">
        <v>180</v>
      </c>
      <c r="N533" s="11" t="s">
        <v>1101</v>
      </c>
      <c r="O533" s="9">
        <v>43891</v>
      </c>
      <c r="P533" s="13">
        <v>2188920</v>
      </c>
    </row>
    <row r="534" spans="1:16" x14ac:dyDescent="0.25">
      <c r="A534" s="19" t="str">
        <f>VLOOKUP(LEFT(M534,3),Category!$G$3:$H$73,2,0)</f>
        <v>REFRIGERATOR</v>
      </c>
      <c r="B534" s="7" t="str">
        <f t="shared" si="74"/>
        <v>SJ-N192D-SH</v>
      </c>
      <c r="C534" s="7" t="str">
        <f t="shared" si="75"/>
        <v>1 Door 184 L, Green Sakura Stainless Steel Door, Low Voltage, HALAL certified</v>
      </c>
      <c r="D534" s="25" t="str">
        <f t="shared" si="76"/>
        <v>2020-03-01</v>
      </c>
      <c r="E534" s="7">
        <f t="shared" si="77"/>
        <v>2188920</v>
      </c>
      <c r="F534" s="6">
        <f t="shared" si="78"/>
        <v>0</v>
      </c>
      <c r="G534" s="7" t="str">
        <f t="shared" si="79"/>
        <v/>
      </c>
      <c r="I534" s="23">
        <f t="shared" si="80"/>
        <v>2020</v>
      </c>
      <c r="J534" s="23" t="str">
        <f t="shared" si="81"/>
        <v>03</v>
      </c>
      <c r="K534" s="23" t="str">
        <f t="shared" si="82"/>
        <v>2020-03-01</v>
      </c>
      <c r="M534" s="11" t="s">
        <v>181</v>
      </c>
      <c r="N534" s="11" t="s">
        <v>1102</v>
      </c>
      <c r="O534" s="9">
        <v>43891</v>
      </c>
      <c r="P534" s="13">
        <v>2188920</v>
      </c>
    </row>
    <row r="535" spans="1:16" x14ac:dyDescent="0.25">
      <c r="A535" s="19" t="str">
        <f>VLOOKUP(LEFT(M535,3),Category!$G$3:$H$73,2,0)</f>
        <v>REFRIGERATOR</v>
      </c>
      <c r="B535" s="7" t="str">
        <f t="shared" si="74"/>
        <v>SJ-N192D-SP</v>
      </c>
      <c r="C535" s="7" t="str">
        <f t="shared" si="75"/>
        <v>1 Door 184 L, Pink Sakura Stainless Steel Door, Low Voltage, HALAL certified</v>
      </c>
      <c r="D535" s="25" t="str">
        <f t="shared" si="76"/>
        <v>2020-03-01</v>
      </c>
      <c r="E535" s="7">
        <f t="shared" si="77"/>
        <v>2188920</v>
      </c>
      <c r="F535" s="6">
        <f t="shared" si="78"/>
        <v>0</v>
      </c>
      <c r="G535" s="7" t="str">
        <f t="shared" si="79"/>
        <v/>
      </c>
      <c r="I535" s="23">
        <f t="shared" si="80"/>
        <v>2020</v>
      </c>
      <c r="J535" s="23" t="str">
        <f t="shared" si="81"/>
        <v>03</v>
      </c>
      <c r="K535" s="23" t="str">
        <f t="shared" si="82"/>
        <v>2020-03-01</v>
      </c>
      <c r="M535" s="11" t="s">
        <v>182</v>
      </c>
      <c r="N535" s="11" t="s">
        <v>1103</v>
      </c>
      <c r="O535" s="9">
        <v>43891</v>
      </c>
      <c r="P535" s="13">
        <v>2188920</v>
      </c>
    </row>
    <row r="536" spans="1:16" x14ac:dyDescent="0.25">
      <c r="A536" s="19" t="str">
        <f>VLOOKUP(LEFT(M536,3),Category!$G$3:$H$73,2,0)</f>
        <v>REFRIGERATOR</v>
      </c>
      <c r="B536" s="7" t="str">
        <f t="shared" si="74"/>
        <v>SJ-N192D-VB</v>
      </c>
      <c r="C536" s="7" t="str">
        <f t="shared" si="75"/>
        <v>1 Door 184 L, Vivid Blue Sakura Stainless Steel Door, Low Voltage, HALAL certified</v>
      </c>
      <c r="D536" s="25" t="str">
        <f t="shared" si="76"/>
        <v>2020-03-01</v>
      </c>
      <c r="E536" s="7">
        <f t="shared" si="77"/>
        <v>2188920</v>
      </c>
      <c r="F536" s="6">
        <f t="shared" si="78"/>
        <v>0</v>
      </c>
      <c r="G536" s="7" t="str">
        <f t="shared" si="79"/>
        <v/>
      </c>
      <c r="I536" s="23">
        <f t="shared" si="80"/>
        <v>2020</v>
      </c>
      <c r="J536" s="23" t="str">
        <f t="shared" si="81"/>
        <v>03</v>
      </c>
      <c r="K536" s="23" t="str">
        <f t="shared" si="82"/>
        <v>2020-03-01</v>
      </c>
      <c r="M536" s="11" t="s">
        <v>183</v>
      </c>
      <c r="N536" s="11" t="s">
        <v>1104</v>
      </c>
      <c r="O536" s="9">
        <v>43891</v>
      </c>
      <c r="P536" s="13">
        <v>2188920</v>
      </c>
    </row>
    <row r="537" spans="1:16" x14ac:dyDescent="0.25">
      <c r="A537" s="19" t="str">
        <f>VLOOKUP(LEFT(M537,3),Category!$G$3:$H$73,2,0)</f>
        <v>REFRIGERATOR</v>
      </c>
      <c r="B537" s="7" t="str">
        <f t="shared" si="74"/>
        <v>SJ-N192D-VR</v>
      </c>
      <c r="C537" s="7" t="str">
        <f t="shared" si="75"/>
        <v>1 Door 184 L, Vivid Red Sakura Stainless Steel Door, Low Voltage, HALAL certified</v>
      </c>
      <c r="D537" s="25" t="str">
        <f t="shared" si="76"/>
        <v>2020-03-01</v>
      </c>
      <c r="E537" s="7">
        <f t="shared" si="77"/>
        <v>2188920</v>
      </c>
      <c r="F537" s="6">
        <f t="shared" si="78"/>
        <v>0</v>
      </c>
      <c r="G537" s="7" t="str">
        <f t="shared" si="79"/>
        <v/>
      </c>
      <c r="I537" s="23">
        <f t="shared" si="80"/>
        <v>2020</v>
      </c>
      <c r="J537" s="23" t="str">
        <f t="shared" si="81"/>
        <v>03</v>
      </c>
      <c r="K537" s="23" t="str">
        <f t="shared" si="82"/>
        <v>2020-03-01</v>
      </c>
      <c r="M537" s="11" t="s">
        <v>184</v>
      </c>
      <c r="N537" s="11" t="s">
        <v>1105</v>
      </c>
      <c r="O537" s="9">
        <v>43891</v>
      </c>
      <c r="P537" s="13">
        <v>2188920</v>
      </c>
    </row>
    <row r="538" spans="1:16" x14ac:dyDescent="0.25">
      <c r="A538" s="19" t="str">
        <f>VLOOKUP(LEFT(M538,3),Category!$G$3:$H$73,2,0)</f>
        <v>REFRIGERATOR</v>
      </c>
      <c r="B538" s="7" t="str">
        <f t="shared" si="74"/>
        <v>SJ-N192N-HS</v>
      </c>
      <c r="C538" s="7" t="str">
        <f t="shared" si="75"/>
        <v>1 Door 184 L, Dark Silver Finish Stainless Steel Door, Low Wattage &amp; Low Voltage, HALAL Certified</v>
      </c>
      <c r="D538" s="25" t="str">
        <f t="shared" si="76"/>
        <v>2001-03-01</v>
      </c>
      <c r="E538" s="7">
        <f t="shared" si="77"/>
        <v>2141190</v>
      </c>
      <c r="F538" s="6">
        <f t="shared" si="78"/>
        <v>0</v>
      </c>
      <c r="G538" s="7" t="str">
        <f t="shared" si="79"/>
        <v/>
      </c>
      <c r="I538" s="23">
        <f t="shared" si="80"/>
        <v>2001</v>
      </c>
      <c r="J538" s="23" t="str">
        <f t="shared" si="81"/>
        <v>03</v>
      </c>
      <c r="K538" s="23" t="str">
        <f t="shared" si="82"/>
        <v>2001-03-01</v>
      </c>
      <c r="M538" s="11" t="s">
        <v>199</v>
      </c>
      <c r="N538" s="11" t="s">
        <v>1106</v>
      </c>
      <c r="O538" s="9">
        <v>44621</v>
      </c>
      <c r="P538" s="13">
        <v>2141190</v>
      </c>
    </row>
    <row r="539" spans="1:16" x14ac:dyDescent="0.25">
      <c r="A539" s="19" t="str">
        <f>VLOOKUP(LEFT(M539,3),Category!$G$3:$H$73,2,0)</f>
        <v>REFRIGERATOR</v>
      </c>
      <c r="B539" s="7" t="str">
        <f t="shared" si="74"/>
        <v>SJ-V190T-ZS</v>
      </c>
      <c r="C539" s="7" t="str">
        <f t="shared" si="75"/>
        <v>Direct Cooling</v>
      </c>
      <c r="D539" s="25" t="str">
        <f t="shared" si="76"/>
        <v>1900-01-01</v>
      </c>
      <c r="E539" s="7">
        <f t="shared" si="77"/>
        <v>1678875</v>
      </c>
      <c r="F539" s="6">
        <f t="shared" si="78"/>
        <v>0</v>
      </c>
      <c r="G539" s="7" t="str">
        <f t="shared" si="79"/>
        <v/>
      </c>
      <c r="I539" s="23">
        <f t="shared" si="80"/>
        <v>1900</v>
      </c>
      <c r="J539" s="23" t="str">
        <f t="shared" si="81"/>
        <v>01</v>
      </c>
      <c r="K539" s="23" t="str">
        <f t="shared" si="82"/>
        <v>1900-01-01</v>
      </c>
      <c r="M539" s="11" t="s">
        <v>536</v>
      </c>
      <c r="N539" s="11" t="s">
        <v>1050</v>
      </c>
      <c r="P539" s="13">
        <v>1678875</v>
      </c>
    </row>
    <row r="540" spans="1:16" x14ac:dyDescent="0.25">
      <c r="A540" s="19" t="str">
        <f>VLOOKUP(LEFT(M540,3),Category!$G$3:$H$73,2,0)</f>
        <v>REFRIGERATOR</v>
      </c>
      <c r="B540" s="7" t="str">
        <f t="shared" si="74"/>
        <v>SJ-X165MG-GB</v>
      </c>
      <c r="C540" s="7" t="str">
        <f t="shared" si="75"/>
        <v>1 Door 133 L, Blue Geometric Flat MagneGlass Steel Door, Low Voltage System, HALAL certified</v>
      </c>
      <c r="D540" s="25" t="str">
        <f t="shared" si="76"/>
        <v>2016-10-01</v>
      </c>
      <c r="E540" s="7">
        <f t="shared" si="77"/>
        <v>1889220</v>
      </c>
      <c r="F540" s="6">
        <f t="shared" si="78"/>
        <v>0</v>
      </c>
      <c r="G540" s="7" t="str">
        <f t="shared" si="79"/>
        <v/>
      </c>
      <c r="I540" s="23">
        <f t="shared" si="80"/>
        <v>2016</v>
      </c>
      <c r="J540" s="23">
        <f t="shared" si="81"/>
        <v>10</v>
      </c>
      <c r="K540" s="23" t="str">
        <f t="shared" si="82"/>
        <v>2016-10-01</v>
      </c>
      <c r="M540" s="11" t="s">
        <v>446</v>
      </c>
      <c r="N540" s="11" t="s">
        <v>1107</v>
      </c>
      <c r="O540" s="9">
        <v>42644</v>
      </c>
      <c r="P540" s="13">
        <v>1889220</v>
      </c>
    </row>
    <row r="541" spans="1:16" x14ac:dyDescent="0.25">
      <c r="A541" s="19" t="str">
        <f>VLOOKUP(LEFT(M541,3),Category!$G$3:$H$73,2,0)</f>
        <v>REFRIGERATOR</v>
      </c>
      <c r="B541" s="7" t="str">
        <f t="shared" si="74"/>
        <v>SJ-X165MG-GR</v>
      </c>
      <c r="C541" s="7" t="str">
        <f t="shared" si="75"/>
        <v>1 Door 133 L, RED Geometric Flat MagneGlass Steel Door, Low Voltage System, HALAL certified</v>
      </c>
      <c r="D541" s="25" t="str">
        <f t="shared" si="76"/>
        <v>2016-10-01</v>
      </c>
      <c r="E541" s="7">
        <f t="shared" si="77"/>
        <v>1889220</v>
      </c>
      <c r="F541" s="6">
        <f t="shared" si="78"/>
        <v>0</v>
      </c>
      <c r="G541" s="7" t="str">
        <f t="shared" si="79"/>
        <v/>
      </c>
      <c r="I541" s="23">
        <f t="shared" si="80"/>
        <v>2016</v>
      </c>
      <c r="J541" s="23">
        <f t="shared" si="81"/>
        <v>10</v>
      </c>
      <c r="K541" s="23" t="str">
        <f t="shared" si="82"/>
        <v>2016-10-01</v>
      </c>
      <c r="M541" s="11" t="s">
        <v>447</v>
      </c>
      <c r="N541" s="11" t="s">
        <v>1108</v>
      </c>
      <c r="O541" s="9">
        <v>42644</v>
      </c>
      <c r="P541" s="13">
        <v>1889220</v>
      </c>
    </row>
    <row r="542" spans="1:16" x14ac:dyDescent="0.25">
      <c r="A542" s="19" t="str">
        <f>VLOOKUP(LEFT(M542,3),Category!$G$3:$H$73,2,0)</f>
        <v>REFRIGERATOR</v>
      </c>
      <c r="B542" s="7" t="str">
        <f t="shared" si="74"/>
        <v>SJ-X165M-SG</v>
      </c>
      <c r="C542" s="7" t="str">
        <f t="shared" si="75"/>
        <v>1 Door 133 L, Silver Gray Hairline Stainless Steel Door, Low Voltage, HALAL certified</v>
      </c>
      <c r="D542" s="25" t="str">
        <f t="shared" si="76"/>
        <v>2016-09-01</v>
      </c>
      <c r="E542" s="7">
        <f t="shared" si="77"/>
        <v>1871460</v>
      </c>
      <c r="F542" s="6">
        <f t="shared" si="78"/>
        <v>0</v>
      </c>
      <c r="G542" s="7" t="str">
        <f t="shared" si="79"/>
        <v/>
      </c>
      <c r="I542" s="23">
        <f t="shared" si="80"/>
        <v>2016</v>
      </c>
      <c r="J542" s="23" t="str">
        <f t="shared" si="81"/>
        <v>09</v>
      </c>
      <c r="K542" s="23" t="str">
        <f t="shared" si="82"/>
        <v>2016-09-01</v>
      </c>
      <c r="M542" s="11" t="s">
        <v>421</v>
      </c>
      <c r="N542" s="11" t="s">
        <v>1109</v>
      </c>
      <c r="O542" s="9">
        <v>42614</v>
      </c>
      <c r="P542" s="13">
        <v>1871460</v>
      </c>
    </row>
    <row r="543" spans="1:16" x14ac:dyDescent="0.25">
      <c r="A543" s="19" t="str">
        <f>VLOOKUP(LEFT(M543,3),Category!$G$3:$H$73,2,0)</f>
        <v>REFRIGERATOR</v>
      </c>
      <c r="B543" s="7" t="str">
        <f t="shared" si="74"/>
        <v>SJ-X165M-SR</v>
      </c>
      <c r="C543" s="7" t="str">
        <f t="shared" si="75"/>
        <v>1 Door 133 L, RED Hairline Stainless Steel Door, Low Voltage, HALAL certified</v>
      </c>
      <c r="D543" s="25" t="str">
        <f t="shared" si="76"/>
        <v>2016-09-01</v>
      </c>
      <c r="E543" s="7">
        <f t="shared" si="77"/>
        <v>1871460</v>
      </c>
      <c r="F543" s="6">
        <f t="shared" si="78"/>
        <v>0</v>
      </c>
      <c r="G543" s="7" t="str">
        <f t="shared" si="79"/>
        <v/>
      </c>
      <c r="I543" s="23">
        <f t="shared" si="80"/>
        <v>2016</v>
      </c>
      <c r="J543" s="23" t="str">
        <f t="shared" si="81"/>
        <v>09</v>
      </c>
      <c r="K543" s="23" t="str">
        <f t="shared" si="82"/>
        <v>2016-09-01</v>
      </c>
      <c r="M543" s="11" t="s">
        <v>422</v>
      </c>
      <c r="N543" s="11" t="s">
        <v>1110</v>
      </c>
      <c r="O543" s="9">
        <v>42614</v>
      </c>
      <c r="P543" s="13">
        <v>1871460</v>
      </c>
    </row>
    <row r="544" spans="1:16" x14ac:dyDescent="0.25">
      <c r="A544" s="19" t="str">
        <f>VLOOKUP(LEFT(M544,3),Category!$G$3:$H$73,2,0)</f>
        <v>REFRIGERATOR</v>
      </c>
      <c r="B544" s="7" t="str">
        <f t="shared" si="74"/>
        <v>SJ-X167MG-DB</v>
      </c>
      <c r="C544" s="7" t="str">
        <f t="shared" si="75"/>
        <v>1 Door 133 L, Blue Dandelion MagneGlass Steel Door, Low Voltage System, HALAL certified</v>
      </c>
      <c r="D544" s="25" t="str">
        <f t="shared" si="76"/>
        <v>2019-05-01</v>
      </c>
      <c r="E544" s="7">
        <f t="shared" si="77"/>
        <v>1889220</v>
      </c>
      <c r="F544" s="6">
        <f t="shared" si="78"/>
        <v>0</v>
      </c>
      <c r="G544" s="7" t="str">
        <f t="shared" si="79"/>
        <v/>
      </c>
      <c r="I544" s="23">
        <f t="shared" si="80"/>
        <v>2019</v>
      </c>
      <c r="J544" s="23" t="str">
        <f t="shared" si="81"/>
        <v>05</v>
      </c>
      <c r="K544" s="23" t="str">
        <f t="shared" si="82"/>
        <v>2019-05-01</v>
      </c>
      <c r="M544" s="11" t="s">
        <v>282</v>
      </c>
      <c r="N544" s="11" t="s">
        <v>1111</v>
      </c>
      <c r="O544" s="9">
        <v>43586</v>
      </c>
      <c r="P544" s="13">
        <v>1889220</v>
      </c>
    </row>
    <row r="545" spans="1:16" x14ac:dyDescent="0.25">
      <c r="A545" s="19" t="str">
        <f>VLOOKUP(LEFT(M545,3),Category!$G$3:$H$73,2,0)</f>
        <v>REFRIGERATOR</v>
      </c>
      <c r="B545" s="7" t="str">
        <f t="shared" si="74"/>
        <v>SJ-X167MG-DP</v>
      </c>
      <c r="C545" s="7" t="str">
        <f t="shared" si="75"/>
        <v>1 Door 133 L, Purple Dandelion MagneGlass Steel Door, Low Voltage System, HALAL certified</v>
      </c>
      <c r="D545" s="25" t="str">
        <f t="shared" si="76"/>
        <v>2019-05-01</v>
      </c>
      <c r="E545" s="7">
        <f t="shared" si="77"/>
        <v>1889220</v>
      </c>
      <c r="F545" s="6">
        <f t="shared" si="78"/>
        <v>0</v>
      </c>
      <c r="G545" s="7" t="str">
        <f t="shared" si="79"/>
        <v/>
      </c>
      <c r="I545" s="23">
        <f t="shared" si="80"/>
        <v>2019</v>
      </c>
      <c r="J545" s="23" t="str">
        <f t="shared" si="81"/>
        <v>05</v>
      </c>
      <c r="K545" s="23" t="str">
        <f t="shared" si="82"/>
        <v>2019-05-01</v>
      </c>
      <c r="M545" s="11" t="s">
        <v>283</v>
      </c>
      <c r="N545" s="11" t="s">
        <v>1112</v>
      </c>
      <c r="O545" s="9">
        <v>43586</v>
      </c>
      <c r="P545" s="13">
        <v>1889220</v>
      </c>
    </row>
    <row r="546" spans="1:16" x14ac:dyDescent="0.25">
      <c r="A546" s="19" t="str">
        <f>VLOOKUP(LEFT(M546,3),Category!$G$3:$H$73,2,0)</f>
        <v>REFRIGERATOR</v>
      </c>
      <c r="B546" s="7" t="str">
        <f t="shared" si="74"/>
        <v>SJ-X185MG-GB</v>
      </c>
      <c r="C546" s="7" t="str">
        <f t="shared" si="75"/>
        <v>1 Door 166 L, RED Geometric Flat MagneGlass Steel Door, Low Voltage System, HALAL certified</v>
      </c>
      <c r="D546" s="25" t="str">
        <f t="shared" si="76"/>
        <v>2016-03-01</v>
      </c>
      <c r="E546" s="7">
        <f t="shared" si="77"/>
        <v>2085690</v>
      </c>
      <c r="F546" s="6">
        <f t="shared" si="78"/>
        <v>0</v>
      </c>
      <c r="G546" s="7" t="str">
        <f t="shared" si="79"/>
        <v/>
      </c>
      <c r="I546" s="23">
        <f t="shared" si="80"/>
        <v>2016</v>
      </c>
      <c r="J546" s="23" t="str">
        <f t="shared" si="81"/>
        <v>03</v>
      </c>
      <c r="K546" s="23" t="str">
        <f t="shared" si="82"/>
        <v>2016-03-01</v>
      </c>
      <c r="M546" s="11" t="s">
        <v>158</v>
      </c>
      <c r="N546" s="11" t="s">
        <v>1113</v>
      </c>
      <c r="O546" s="9">
        <v>42430</v>
      </c>
      <c r="P546" s="13">
        <v>2085690</v>
      </c>
    </row>
    <row r="547" spans="1:16" x14ac:dyDescent="0.25">
      <c r="A547" s="19" t="str">
        <f>VLOOKUP(LEFT(M547,3),Category!$G$3:$H$73,2,0)</f>
        <v>REFRIGERATOR</v>
      </c>
      <c r="B547" s="7" t="str">
        <f t="shared" si="74"/>
        <v>SJ-X185MG-GR</v>
      </c>
      <c r="C547" s="7" t="str">
        <f t="shared" si="75"/>
        <v>1 Door 166 L, Blue Geometric Flat MagneGlass Steel Door, Low Voltage System, HALAL certified</v>
      </c>
      <c r="D547" s="25" t="str">
        <f t="shared" si="76"/>
        <v>2016-03-01</v>
      </c>
      <c r="E547" s="7">
        <f t="shared" si="77"/>
        <v>2085690</v>
      </c>
      <c r="F547" s="6">
        <f t="shared" si="78"/>
        <v>0</v>
      </c>
      <c r="G547" s="7" t="str">
        <f t="shared" si="79"/>
        <v/>
      </c>
      <c r="I547" s="23">
        <f t="shared" si="80"/>
        <v>2016</v>
      </c>
      <c r="J547" s="23" t="str">
        <f t="shared" si="81"/>
        <v>03</v>
      </c>
      <c r="K547" s="23" t="str">
        <f t="shared" si="82"/>
        <v>2016-03-01</v>
      </c>
      <c r="M547" s="11" t="s">
        <v>159</v>
      </c>
      <c r="N547" s="11" t="s">
        <v>1114</v>
      </c>
      <c r="O547" s="9">
        <v>42430</v>
      </c>
      <c r="P547" s="13">
        <v>2085690</v>
      </c>
    </row>
    <row r="548" spans="1:16" x14ac:dyDescent="0.25">
      <c r="A548" s="19" t="str">
        <f>VLOOKUP(LEFT(M548,3),Category!$G$3:$H$73,2,0)</f>
        <v>REFRIGERATOR</v>
      </c>
      <c r="B548" s="7" t="str">
        <f t="shared" si="74"/>
        <v>SJ-X185M-SG</v>
      </c>
      <c r="C548" s="7" t="str">
        <f t="shared" si="75"/>
        <v>1 Door 166 L, Silver Gray Hairline Stainless Steel Door, Low Voltage, HALAL certified</v>
      </c>
      <c r="D548" s="25" t="str">
        <f t="shared" si="76"/>
        <v>2016-09-01</v>
      </c>
      <c r="E548" s="7">
        <f t="shared" si="77"/>
        <v>2117880</v>
      </c>
      <c r="F548" s="6">
        <f t="shared" si="78"/>
        <v>0</v>
      </c>
      <c r="G548" s="7" t="str">
        <f t="shared" si="79"/>
        <v/>
      </c>
      <c r="I548" s="23">
        <f t="shared" si="80"/>
        <v>2016</v>
      </c>
      <c r="J548" s="23" t="str">
        <f t="shared" si="81"/>
        <v>09</v>
      </c>
      <c r="K548" s="23" t="str">
        <f t="shared" si="82"/>
        <v>2016-09-01</v>
      </c>
      <c r="M548" s="11" t="s">
        <v>423</v>
      </c>
      <c r="N548" s="11" t="s">
        <v>1115</v>
      </c>
      <c r="O548" s="9">
        <v>42614</v>
      </c>
      <c r="P548" s="13">
        <v>2117880</v>
      </c>
    </row>
    <row r="549" spans="1:16" x14ac:dyDescent="0.25">
      <c r="A549" s="19" t="str">
        <f>VLOOKUP(LEFT(M549,3),Category!$G$3:$H$73,2,0)</f>
        <v>REFRIGERATOR</v>
      </c>
      <c r="B549" s="7" t="str">
        <f t="shared" si="74"/>
        <v>SJ-X185M-SR</v>
      </c>
      <c r="C549" s="7" t="str">
        <f t="shared" si="75"/>
        <v>1 Door 166 L, RED Hairline Stainless Steel Door, Low Voltage, HALAL certified</v>
      </c>
      <c r="D549" s="25" t="str">
        <f t="shared" si="76"/>
        <v>2016-09-01</v>
      </c>
      <c r="E549" s="7">
        <f t="shared" si="77"/>
        <v>2117880</v>
      </c>
      <c r="F549" s="6">
        <f t="shared" si="78"/>
        <v>0</v>
      </c>
      <c r="G549" s="7" t="str">
        <f t="shared" si="79"/>
        <v/>
      </c>
      <c r="I549" s="23">
        <f t="shared" si="80"/>
        <v>2016</v>
      </c>
      <c r="J549" s="23" t="str">
        <f t="shared" si="81"/>
        <v>09</v>
      </c>
      <c r="K549" s="23" t="str">
        <f t="shared" si="82"/>
        <v>2016-09-01</v>
      </c>
      <c r="M549" s="11" t="s">
        <v>424</v>
      </c>
      <c r="N549" s="11" t="s">
        <v>1116</v>
      </c>
      <c r="O549" s="9">
        <v>42614</v>
      </c>
      <c r="P549" s="13">
        <v>2117880</v>
      </c>
    </row>
    <row r="550" spans="1:16" x14ac:dyDescent="0.25">
      <c r="A550" s="19" t="str">
        <f>VLOOKUP(LEFT(M550,3),Category!$G$3:$H$73,2,0)</f>
        <v>REFRIGERATOR</v>
      </c>
      <c r="B550" s="7" t="str">
        <f t="shared" si="74"/>
        <v>SJ-X187MG-DB</v>
      </c>
      <c r="C550" s="7" t="str">
        <f t="shared" si="75"/>
        <v>1 Door 166 L, Purple Dandelion MagneGlass Steel Door, Low Voltage System, HALAL certified</v>
      </c>
      <c r="D550" s="25" t="str">
        <f t="shared" si="76"/>
        <v>2019-05-01</v>
      </c>
      <c r="E550" s="7">
        <f t="shared" si="77"/>
        <v>2085690</v>
      </c>
      <c r="F550" s="6">
        <f t="shared" si="78"/>
        <v>0</v>
      </c>
      <c r="G550" s="7" t="str">
        <f t="shared" si="79"/>
        <v/>
      </c>
      <c r="I550" s="23">
        <f t="shared" si="80"/>
        <v>2019</v>
      </c>
      <c r="J550" s="23" t="str">
        <f t="shared" si="81"/>
        <v>05</v>
      </c>
      <c r="K550" s="23" t="str">
        <f t="shared" si="82"/>
        <v>2019-05-01</v>
      </c>
      <c r="M550" s="11" t="s">
        <v>284</v>
      </c>
      <c r="N550" s="11" t="s">
        <v>1117</v>
      </c>
      <c r="O550" s="9">
        <v>43586</v>
      </c>
      <c r="P550" s="13">
        <v>2085690</v>
      </c>
    </row>
    <row r="551" spans="1:16" x14ac:dyDescent="0.25">
      <c r="A551" s="19" t="str">
        <f>VLOOKUP(LEFT(M551,3),Category!$G$3:$H$73,2,0)</f>
        <v>REFRIGERATOR</v>
      </c>
      <c r="B551" s="7" t="str">
        <f t="shared" si="74"/>
        <v>SJ-X187MG-DP</v>
      </c>
      <c r="C551" s="7" t="str">
        <f t="shared" si="75"/>
        <v>1 Door 166 L, Blue Dandelion MagneGlass Steel Door, Low Voltage System, HALAL certified</v>
      </c>
      <c r="D551" s="25" t="str">
        <f t="shared" si="76"/>
        <v>2019-05-01</v>
      </c>
      <c r="E551" s="7">
        <f t="shared" si="77"/>
        <v>2085690</v>
      </c>
      <c r="F551" s="6">
        <f t="shared" si="78"/>
        <v>0</v>
      </c>
      <c r="G551" s="7" t="str">
        <f t="shared" si="79"/>
        <v/>
      </c>
      <c r="I551" s="23">
        <f t="shared" si="80"/>
        <v>2019</v>
      </c>
      <c r="J551" s="23" t="str">
        <f t="shared" si="81"/>
        <v>05</v>
      </c>
      <c r="K551" s="23" t="str">
        <f t="shared" si="82"/>
        <v>2019-05-01</v>
      </c>
      <c r="M551" s="11" t="s">
        <v>285</v>
      </c>
      <c r="N551" s="11" t="s">
        <v>1118</v>
      </c>
      <c r="O551" s="9">
        <v>43586</v>
      </c>
      <c r="P551" s="13">
        <v>2085690</v>
      </c>
    </row>
    <row r="552" spans="1:16" x14ac:dyDescent="0.25">
      <c r="A552" s="19" t="str">
        <f>VLOOKUP(LEFT(M552,3),Category!$G$3:$H$73,2,0)</f>
        <v>REFRIGERATOR</v>
      </c>
      <c r="B552" s="7" t="str">
        <f t="shared" si="74"/>
        <v>SJ-X195MG-GB</v>
      </c>
      <c r="C552" s="7" t="str">
        <f t="shared" si="75"/>
        <v>1 Door 184 L, Blue Geometric Flat MagneGlass Steel Door, Low Voltage System, HALAL certified</v>
      </c>
      <c r="D552" s="25" t="str">
        <f t="shared" si="76"/>
        <v>2016-09-01</v>
      </c>
      <c r="E552" s="7">
        <f t="shared" si="77"/>
        <v>2251080</v>
      </c>
      <c r="F552" s="6">
        <f t="shared" si="78"/>
        <v>0</v>
      </c>
      <c r="G552" s="7" t="str">
        <f t="shared" si="79"/>
        <v/>
      </c>
      <c r="I552" s="23">
        <f t="shared" si="80"/>
        <v>2016</v>
      </c>
      <c r="J552" s="23" t="str">
        <f t="shared" si="81"/>
        <v>09</v>
      </c>
      <c r="K552" s="23" t="str">
        <f t="shared" si="82"/>
        <v>2016-09-01</v>
      </c>
      <c r="M552" s="11" t="s">
        <v>425</v>
      </c>
      <c r="N552" s="11" t="s">
        <v>1119</v>
      </c>
      <c r="O552" s="9">
        <v>42614</v>
      </c>
      <c r="P552" s="13">
        <v>2251080</v>
      </c>
    </row>
    <row r="553" spans="1:16" x14ac:dyDescent="0.25">
      <c r="A553" s="19" t="str">
        <f>VLOOKUP(LEFT(M553,3),Category!$G$3:$H$73,2,0)</f>
        <v>REFRIGERATOR</v>
      </c>
      <c r="B553" s="7" t="str">
        <f t="shared" si="74"/>
        <v>SJ-X195MG-GR</v>
      </c>
      <c r="C553" s="7" t="str">
        <f t="shared" si="75"/>
        <v>1 Door 184 L, RED Geometric Flat MagneGlass Steel Door, Low Voltage System, HALAL certified</v>
      </c>
      <c r="D553" s="25" t="str">
        <f t="shared" si="76"/>
        <v>2016-09-01</v>
      </c>
      <c r="E553" s="7">
        <f t="shared" si="77"/>
        <v>2251080</v>
      </c>
      <c r="F553" s="6">
        <f t="shared" si="78"/>
        <v>0</v>
      </c>
      <c r="G553" s="7" t="str">
        <f t="shared" si="79"/>
        <v/>
      </c>
      <c r="I553" s="23">
        <f t="shared" si="80"/>
        <v>2016</v>
      </c>
      <c r="J553" s="23" t="str">
        <f t="shared" si="81"/>
        <v>09</v>
      </c>
      <c r="K553" s="23" t="str">
        <f t="shared" si="82"/>
        <v>2016-09-01</v>
      </c>
      <c r="M553" s="11" t="s">
        <v>426</v>
      </c>
      <c r="N553" s="11" t="s">
        <v>1120</v>
      </c>
      <c r="O553" s="9">
        <v>42614</v>
      </c>
      <c r="P553" s="13">
        <v>2251080</v>
      </c>
    </row>
    <row r="554" spans="1:16" x14ac:dyDescent="0.25">
      <c r="A554" s="19" t="str">
        <f>VLOOKUP(LEFT(M554,3),Category!$G$3:$H$73,2,0)</f>
        <v>REFRIGERATOR</v>
      </c>
      <c r="B554" s="7" t="str">
        <f t="shared" si="74"/>
        <v>SJ-X197MG-DB</v>
      </c>
      <c r="C554" s="7" t="str">
        <f t="shared" si="75"/>
        <v>1 Door 184 L, Purple Dandelion MagneGlass Steel Door, Low Voltage System, HALAL certified</v>
      </c>
      <c r="D554" s="25" t="str">
        <f t="shared" si="76"/>
        <v>2019-05-01</v>
      </c>
      <c r="E554" s="7">
        <f t="shared" si="77"/>
        <v>2251080</v>
      </c>
      <c r="F554" s="6">
        <f t="shared" si="78"/>
        <v>0</v>
      </c>
      <c r="G554" s="7" t="str">
        <f t="shared" si="79"/>
        <v/>
      </c>
      <c r="I554" s="23">
        <f t="shared" si="80"/>
        <v>2019</v>
      </c>
      <c r="J554" s="23" t="str">
        <f t="shared" si="81"/>
        <v>05</v>
      </c>
      <c r="K554" s="23" t="str">
        <f t="shared" si="82"/>
        <v>2019-05-01</v>
      </c>
      <c r="M554" s="11" t="s">
        <v>286</v>
      </c>
      <c r="N554" s="11" t="s">
        <v>1121</v>
      </c>
      <c r="O554" s="9">
        <v>43586</v>
      </c>
      <c r="P554" s="13">
        <v>2251080</v>
      </c>
    </row>
    <row r="555" spans="1:16" x14ac:dyDescent="0.25">
      <c r="A555" s="19" t="str">
        <f>VLOOKUP(LEFT(M555,3),Category!$G$3:$H$73,2,0)</f>
        <v>REFRIGERATOR</v>
      </c>
      <c r="B555" s="7" t="str">
        <f t="shared" si="74"/>
        <v>SJ-X197MG-DP</v>
      </c>
      <c r="C555" s="7" t="str">
        <f t="shared" si="75"/>
        <v>1 Door 184 L, Blue Dandelion MagneGlass Steel Door, Low Voltage System, HALAL certified</v>
      </c>
      <c r="D555" s="25" t="str">
        <f t="shared" si="76"/>
        <v>2019-05-01</v>
      </c>
      <c r="E555" s="7">
        <f t="shared" si="77"/>
        <v>2251080</v>
      </c>
      <c r="F555" s="6">
        <f t="shared" si="78"/>
        <v>0</v>
      </c>
      <c r="G555" s="7" t="str">
        <f t="shared" si="79"/>
        <v/>
      </c>
      <c r="I555" s="23">
        <f t="shared" si="80"/>
        <v>2019</v>
      </c>
      <c r="J555" s="23" t="str">
        <f t="shared" si="81"/>
        <v>05</v>
      </c>
      <c r="K555" s="23" t="str">
        <f t="shared" si="82"/>
        <v>2019-05-01</v>
      </c>
      <c r="M555" s="11" t="s">
        <v>287</v>
      </c>
      <c r="N555" s="11" t="s">
        <v>1122</v>
      </c>
      <c r="O555" s="9">
        <v>43586</v>
      </c>
      <c r="P555" s="13">
        <v>2251080</v>
      </c>
    </row>
    <row r="556" spans="1:16" x14ac:dyDescent="0.25">
      <c r="A556" s="19" t="str">
        <f>VLOOKUP(LEFT(M556,3),Category!$G$3:$H$73,2,0)</f>
        <v>REFRIGERATOR</v>
      </c>
      <c r="B556" s="7" t="str">
        <f t="shared" si="74"/>
        <v>SJ-X197W-DW</v>
      </c>
      <c r="C556" s="7" t="str">
        <f t="shared" si="75"/>
        <v>1 Door 184 L, Dandelion Design Stainless Steel Door, DOUBLE Freezer, Low Voltage, HALAL certified</v>
      </c>
      <c r="D556" s="25" t="str">
        <f t="shared" si="76"/>
        <v>2019-05-01</v>
      </c>
      <c r="E556" s="7">
        <f t="shared" si="77"/>
        <v>2364300</v>
      </c>
      <c r="F556" s="6">
        <f t="shared" si="78"/>
        <v>0</v>
      </c>
      <c r="G556" s="7" t="str">
        <f t="shared" si="79"/>
        <v/>
      </c>
      <c r="I556" s="23">
        <f t="shared" si="80"/>
        <v>2019</v>
      </c>
      <c r="J556" s="23" t="str">
        <f t="shared" si="81"/>
        <v>05</v>
      </c>
      <c r="K556" s="23" t="str">
        <f t="shared" si="82"/>
        <v>2019-05-01</v>
      </c>
      <c r="M556" s="11" t="s">
        <v>288</v>
      </c>
      <c r="N556" s="11" t="s">
        <v>1123</v>
      </c>
      <c r="O556" s="9">
        <v>43586</v>
      </c>
      <c r="P556" s="13">
        <v>2364300</v>
      </c>
    </row>
    <row r="557" spans="1:16" x14ac:dyDescent="0.25">
      <c r="A557" s="19" t="str">
        <f>VLOOKUP(LEFT(M557,3),Category!$G$3:$H$73,2,0)</f>
        <v>WATER PUMP</v>
      </c>
      <c r="B557" s="7" t="str">
        <f t="shared" si="74"/>
        <v>SPS-101SN</v>
      </c>
      <c r="C557" s="7" t="str">
        <f t="shared" si="75"/>
        <v>Pompa non otomatis, total head 33m, Impeller dari kuningan, gulungan motor dari tembaga</v>
      </c>
      <c r="D557" s="25" t="str">
        <f t="shared" si="76"/>
        <v>2020-07-01</v>
      </c>
      <c r="E557" s="7">
        <f t="shared" si="77"/>
        <v>507270</v>
      </c>
      <c r="F557" s="6">
        <f t="shared" si="78"/>
        <v>0</v>
      </c>
      <c r="G557" s="7" t="str">
        <f t="shared" si="79"/>
        <v/>
      </c>
      <c r="I557" s="23">
        <f t="shared" si="80"/>
        <v>2020</v>
      </c>
      <c r="J557" s="23" t="str">
        <f t="shared" si="81"/>
        <v>07</v>
      </c>
      <c r="K557" s="23" t="str">
        <f t="shared" si="82"/>
        <v>2020-07-01</v>
      </c>
      <c r="M557" s="11" t="s">
        <v>361</v>
      </c>
      <c r="N557" s="11" t="s">
        <v>1124</v>
      </c>
      <c r="O557" s="9">
        <v>44013</v>
      </c>
      <c r="P557" s="13">
        <v>507270</v>
      </c>
    </row>
    <row r="558" spans="1:16" x14ac:dyDescent="0.25">
      <c r="A558" s="19" t="str">
        <f>VLOOKUP(LEFT(M558,3),Category!$G$3:$H$73,2,0)</f>
        <v>WATER PUMP</v>
      </c>
      <c r="B558" s="7" t="str">
        <f t="shared" si="74"/>
        <v>SPS-109SN</v>
      </c>
      <c r="C558" s="7" t="str">
        <f t="shared" si="75"/>
        <v/>
      </c>
      <c r="D558" s="25" t="str">
        <f t="shared" si="76"/>
        <v>2018-05-01</v>
      </c>
      <c r="E558" s="7">
        <f t="shared" si="77"/>
        <v>555000</v>
      </c>
      <c r="F558" s="6">
        <f t="shared" si="78"/>
        <v>0</v>
      </c>
      <c r="G558" s="7" t="str">
        <f t="shared" si="79"/>
        <v/>
      </c>
      <c r="I558" s="23">
        <f t="shared" si="80"/>
        <v>2018</v>
      </c>
      <c r="J558" s="23" t="str">
        <f t="shared" si="81"/>
        <v>05</v>
      </c>
      <c r="K558" s="23" t="str">
        <f t="shared" si="82"/>
        <v>2018-05-01</v>
      </c>
      <c r="M558" s="11" t="s">
        <v>266</v>
      </c>
      <c r="N558" s="11">
        <v>0</v>
      </c>
      <c r="O558" s="9">
        <v>43221</v>
      </c>
      <c r="P558" s="13">
        <v>555000</v>
      </c>
    </row>
    <row r="559" spans="1:16" x14ac:dyDescent="0.25">
      <c r="A559" s="19" t="str">
        <f>VLOOKUP(LEFT(M559,3),Category!$G$3:$H$73,2,0)</f>
        <v>WATER PUMP</v>
      </c>
      <c r="B559" s="7" t="str">
        <f t="shared" si="74"/>
        <v>SPS-127SA</v>
      </c>
      <c r="C559" s="7" t="str">
        <f t="shared" si="75"/>
        <v>Pompa otomatis, total head 33m, Impeller dari kuningan, gulungan motor dari tembaga</v>
      </c>
      <c r="D559" s="25" t="str">
        <f t="shared" si="76"/>
        <v>2020-07-01</v>
      </c>
      <c r="E559" s="7">
        <f t="shared" si="77"/>
        <v>670440</v>
      </c>
      <c r="F559" s="6">
        <f t="shared" si="78"/>
        <v>0</v>
      </c>
      <c r="G559" s="7" t="str">
        <f t="shared" si="79"/>
        <v/>
      </c>
      <c r="I559" s="23">
        <f t="shared" si="80"/>
        <v>2020</v>
      </c>
      <c r="J559" s="23" t="str">
        <f t="shared" si="81"/>
        <v>07</v>
      </c>
      <c r="K559" s="23" t="str">
        <f t="shared" si="82"/>
        <v>2020-07-01</v>
      </c>
      <c r="M559" s="11" t="s">
        <v>362</v>
      </c>
      <c r="N559" s="11" t="s">
        <v>1125</v>
      </c>
      <c r="O559" s="9">
        <v>44013</v>
      </c>
      <c r="P559" s="13">
        <v>670440</v>
      </c>
    </row>
    <row r="560" spans="1:16" x14ac:dyDescent="0.25">
      <c r="A560" s="19" t="str">
        <f>VLOOKUP(LEFT(M560,3),Category!$G$3:$H$73,2,0)</f>
        <v>WATER PUMP</v>
      </c>
      <c r="B560" s="7" t="str">
        <f t="shared" si="74"/>
        <v>SPS-129SA</v>
      </c>
      <c r="C560" s="7" t="str">
        <f t="shared" si="75"/>
        <v/>
      </c>
      <c r="D560" s="25" t="str">
        <f t="shared" si="76"/>
        <v>2018-05-01</v>
      </c>
      <c r="E560" s="7">
        <f t="shared" si="77"/>
        <v>734820</v>
      </c>
      <c r="F560" s="6">
        <f t="shared" si="78"/>
        <v>0</v>
      </c>
      <c r="G560" s="7" t="str">
        <f t="shared" si="79"/>
        <v/>
      </c>
      <c r="I560" s="23">
        <f t="shared" si="80"/>
        <v>2018</v>
      </c>
      <c r="J560" s="23" t="str">
        <f t="shared" si="81"/>
        <v>05</v>
      </c>
      <c r="K560" s="23" t="str">
        <f t="shared" si="82"/>
        <v>2018-05-01</v>
      </c>
      <c r="M560" s="11" t="s">
        <v>267</v>
      </c>
      <c r="N560" s="11">
        <v>0</v>
      </c>
      <c r="O560" s="9">
        <v>43221</v>
      </c>
      <c r="P560" s="13">
        <v>734820</v>
      </c>
    </row>
    <row r="561" spans="1:17" x14ac:dyDescent="0.25">
      <c r="A561" s="19" t="str">
        <f>VLOOKUP(LEFT(M561,3),Category!$G$3:$H$73,2,0)</f>
        <v>WATER PUMP</v>
      </c>
      <c r="B561" s="7" t="str">
        <f t="shared" si="74"/>
        <v>SPS-150SJ</v>
      </c>
      <c r="C561" s="7" t="str">
        <f t="shared" si="75"/>
        <v>SemiJet pump, total head 30m, gulungan Motor dari tembaga</v>
      </c>
      <c r="D561" s="25" t="str">
        <f t="shared" si="76"/>
        <v>2020-07-01</v>
      </c>
      <c r="E561" s="7">
        <f t="shared" si="77"/>
        <v>874680</v>
      </c>
      <c r="F561" s="6">
        <f t="shared" si="78"/>
        <v>0</v>
      </c>
      <c r="G561" s="7" t="str">
        <f t="shared" si="79"/>
        <v/>
      </c>
      <c r="I561" s="23">
        <f t="shared" si="80"/>
        <v>2020</v>
      </c>
      <c r="J561" s="23" t="str">
        <f t="shared" si="81"/>
        <v>07</v>
      </c>
      <c r="K561" s="23" t="str">
        <f t="shared" si="82"/>
        <v>2020-07-01</v>
      </c>
      <c r="M561" s="11" t="s">
        <v>363</v>
      </c>
      <c r="N561" s="11" t="s">
        <v>1126</v>
      </c>
      <c r="O561" s="9">
        <v>44013</v>
      </c>
      <c r="P561" s="13">
        <v>874680</v>
      </c>
    </row>
    <row r="562" spans="1:17" x14ac:dyDescent="0.25">
      <c r="A562" s="19" t="str">
        <f>VLOOKUP(LEFT(M562,3),Category!$G$3:$H$73,2,0)</f>
        <v>WATER PUMP</v>
      </c>
      <c r="B562" s="7" t="str">
        <f t="shared" si="74"/>
        <v>SPS-155SJ</v>
      </c>
      <c r="C562" s="7" t="str">
        <f t="shared" si="75"/>
        <v>SemiJet pump, total head 29m,gulungan motor Made tembaga</v>
      </c>
      <c r="D562" s="25" t="str">
        <f t="shared" si="76"/>
        <v>2020-07-01</v>
      </c>
      <c r="E562" s="7">
        <f t="shared" si="77"/>
        <v>915750</v>
      </c>
      <c r="F562" s="6">
        <f t="shared" si="78"/>
        <v>0</v>
      </c>
      <c r="G562" s="7" t="str">
        <f t="shared" si="79"/>
        <v/>
      </c>
      <c r="I562" s="23">
        <f t="shared" si="80"/>
        <v>2020</v>
      </c>
      <c r="J562" s="23" t="str">
        <f t="shared" si="81"/>
        <v>07</v>
      </c>
      <c r="K562" s="23" t="str">
        <f t="shared" si="82"/>
        <v>2020-07-01</v>
      </c>
      <c r="M562" s="11" t="s">
        <v>364</v>
      </c>
      <c r="N562" s="11" t="s">
        <v>1127</v>
      </c>
      <c r="O562" s="9">
        <v>44013</v>
      </c>
      <c r="P562" s="13">
        <v>915750</v>
      </c>
    </row>
    <row r="563" spans="1:17" x14ac:dyDescent="0.25">
      <c r="A563" s="19" t="str">
        <f>VLOOKUP(LEFT(M563,3),Category!$G$3:$H$73,2,0)</f>
        <v>WATER PUMP</v>
      </c>
      <c r="B563" s="7" t="str">
        <f t="shared" si="74"/>
        <v>SPS-19PT</v>
      </c>
      <c r="C563" s="7" t="str">
        <f t="shared" si="75"/>
        <v>Pressure tank model SPS-255JP</v>
      </c>
      <c r="D563" s="25" t="str">
        <f t="shared" si="76"/>
        <v>2020-07-01</v>
      </c>
      <c r="E563" s="7">
        <f t="shared" si="77"/>
        <v>116550</v>
      </c>
      <c r="F563" s="6">
        <f t="shared" si="78"/>
        <v>0</v>
      </c>
      <c r="G563" s="7" t="str">
        <f t="shared" si="79"/>
        <v/>
      </c>
      <c r="I563" s="23">
        <f t="shared" si="80"/>
        <v>2020</v>
      </c>
      <c r="J563" s="23" t="str">
        <f t="shared" si="81"/>
        <v>07</v>
      </c>
      <c r="K563" s="23" t="str">
        <f t="shared" si="82"/>
        <v>2020-07-01</v>
      </c>
      <c r="M563" s="11" t="s">
        <v>365</v>
      </c>
      <c r="N563" s="11" t="s">
        <v>1128</v>
      </c>
      <c r="O563" s="9">
        <v>44013</v>
      </c>
      <c r="P563" s="13">
        <v>116550</v>
      </c>
    </row>
    <row r="564" spans="1:17" x14ac:dyDescent="0.25">
      <c r="A564" s="19" t="str">
        <f>VLOOKUP(LEFT(M564,3),Category!$G$3:$H$73,2,0)</f>
        <v>WATER PUMP</v>
      </c>
      <c r="B564" s="7" t="str">
        <f t="shared" si="74"/>
        <v>SPS-255JP</v>
      </c>
      <c r="C564" s="7" t="str">
        <f t="shared" si="75"/>
        <v>Jet pump, Total Head 60 m, gulungan motor tembaga</v>
      </c>
      <c r="D564" s="25" t="str">
        <f t="shared" si="76"/>
        <v>2020-07-01</v>
      </c>
      <c r="E564" s="7">
        <f t="shared" si="77"/>
        <v>1941390</v>
      </c>
      <c r="F564" s="6">
        <f t="shared" si="78"/>
        <v>0</v>
      </c>
      <c r="G564" s="7" t="str">
        <f t="shared" si="79"/>
        <v/>
      </c>
      <c r="I564" s="23">
        <f t="shared" si="80"/>
        <v>2020</v>
      </c>
      <c r="J564" s="23" t="str">
        <f t="shared" si="81"/>
        <v>07</v>
      </c>
      <c r="K564" s="23" t="str">
        <f t="shared" si="82"/>
        <v>2020-07-01</v>
      </c>
      <c r="M564" s="11" t="s">
        <v>366</v>
      </c>
      <c r="N564" s="11" t="s">
        <v>1129</v>
      </c>
      <c r="O564" s="9">
        <v>44013</v>
      </c>
      <c r="P564" s="13">
        <v>1941390</v>
      </c>
    </row>
    <row r="565" spans="1:17" x14ac:dyDescent="0.25">
      <c r="A565" s="19" t="str">
        <f>VLOOKUP(LEFT(M565,3),Category!$G$3:$H$73,2,0)</f>
        <v>TELEVISION</v>
      </c>
      <c r="B565" s="7" t="str">
        <f t="shared" si="74"/>
        <v>STB-DD001I</v>
      </c>
      <c r="C565" s="7" t="str">
        <f t="shared" si="75"/>
        <v>DVB-T2 Receiver . USB Movie . HDMI &amp; RCA Slot . RCA Cable Includes</v>
      </c>
      <c r="D565" s="25" t="str">
        <f t="shared" si="76"/>
        <v>2001-04-01</v>
      </c>
      <c r="E565" s="7">
        <f t="shared" si="77"/>
        <v>268620</v>
      </c>
      <c r="F565" s="6">
        <f t="shared" si="78"/>
        <v>0</v>
      </c>
      <c r="G565" s="7" t="str">
        <f t="shared" si="79"/>
        <v/>
      </c>
      <c r="I565" s="23">
        <f t="shared" si="80"/>
        <v>2001</v>
      </c>
      <c r="J565" s="23" t="str">
        <f t="shared" si="81"/>
        <v>04</v>
      </c>
      <c r="K565" s="23" t="str">
        <f t="shared" si="82"/>
        <v>2001-04-01</v>
      </c>
      <c r="M565" s="11" t="s">
        <v>248</v>
      </c>
      <c r="N565" s="11" t="s">
        <v>1130</v>
      </c>
      <c r="O565" s="9">
        <v>44652</v>
      </c>
      <c r="P565" s="13">
        <v>268620</v>
      </c>
    </row>
    <row r="566" spans="1:17" x14ac:dyDescent="0.25">
      <c r="A566" s="19" t="str">
        <f>VLOOKUP(LEFT(M566,3),Category!$G$3:$H$73,2,0)</f>
        <v>WATER DISPENSER</v>
      </c>
      <c r="B566" s="7" t="str">
        <f t="shared" si="74"/>
        <v>SWD-289</v>
      </c>
      <c r="C566" s="7" t="str">
        <f t="shared" si="75"/>
        <v>with extra hot</v>
      </c>
      <c r="D566" s="25" t="str">
        <f t="shared" si="76"/>
        <v/>
      </c>
      <c r="E566" s="7">
        <f t="shared" si="77"/>
        <v>198690</v>
      </c>
      <c r="F566" s="6">
        <f t="shared" si="78"/>
        <v>1</v>
      </c>
      <c r="G566" s="7" t="str">
        <f t="shared" si="79"/>
        <v/>
      </c>
      <c r="I566" s="23" t="e">
        <f t="shared" si="80"/>
        <v>#VALUE!</v>
      </c>
      <c r="J566" s="23" t="e">
        <f t="shared" si="81"/>
        <v>#VALUE!</v>
      </c>
      <c r="K566" s="23" t="e">
        <f t="shared" si="82"/>
        <v>#VALUE!</v>
      </c>
      <c r="M566" s="11" t="s">
        <v>511</v>
      </c>
      <c r="N566" s="11" t="s">
        <v>1131</v>
      </c>
      <c r="O566" s="9" t="s">
        <v>617</v>
      </c>
      <c r="P566" s="13">
        <v>198690</v>
      </c>
      <c r="Q566" s="1">
        <v>1</v>
      </c>
    </row>
    <row r="567" spans="1:17" x14ac:dyDescent="0.25">
      <c r="A567" s="19" t="str">
        <f>VLOOKUP(LEFT(M567,3),Category!$G$3:$H$73,2,0)</f>
        <v>WATER DISPENSER</v>
      </c>
      <c r="B567" s="7" t="str">
        <f t="shared" si="74"/>
        <v>SWD-66EHL-BP</v>
      </c>
      <c r="C567" s="7" t="str">
        <f t="shared" si="75"/>
        <v>Dispenser bottom loading, 2 wattage heater (185&amp;385 W), 5 LED Display</v>
      </c>
      <c r="D567" s="25" t="str">
        <f t="shared" si="76"/>
        <v>2017-05-01</v>
      </c>
      <c r="E567" s="7">
        <f t="shared" si="77"/>
        <v>2713950</v>
      </c>
      <c r="F567" s="6">
        <f t="shared" si="78"/>
        <v>0</v>
      </c>
      <c r="G567" s="7" t="str">
        <f t="shared" si="79"/>
        <v/>
      </c>
      <c r="I567" s="23">
        <f t="shared" si="80"/>
        <v>2017</v>
      </c>
      <c r="J567" s="23" t="str">
        <f t="shared" si="81"/>
        <v>05</v>
      </c>
      <c r="K567" s="23" t="str">
        <f t="shared" si="82"/>
        <v>2017-05-01</v>
      </c>
      <c r="M567" s="11" t="s">
        <v>252</v>
      </c>
      <c r="N567" s="11" t="s">
        <v>1132</v>
      </c>
      <c r="O567" s="9">
        <v>42856</v>
      </c>
      <c r="P567" s="13">
        <v>2713950</v>
      </c>
    </row>
    <row r="568" spans="1:17" x14ac:dyDescent="0.25">
      <c r="A568" s="19" t="str">
        <f>VLOOKUP(LEFT(M568,3),Category!$G$3:$H$73,2,0)</f>
        <v>WATER DISPENSER</v>
      </c>
      <c r="B568" s="7" t="str">
        <f t="shared" si="74"/>
        <v>SWD-66EHL-BS</v>
      </c>
      <c r="C568" s="7" t="str">
        <f t="shared" si="75"/>
        <v>Dispenser bottom loading, 2 wattage heater (185&amp;385 W), 5 LED Display</v>
      </c>
      <c r="D568" s="25" t="str">
        <f t="shared" si="76"/>
        <v>2017-05-01</v>
      </c>
      <c r="E568" s="7">
        <f t="shared" si="77"/>
        <v>2713950</v>
      </c>
      <c r="F568" s="6">
        <f t="shared" si="78"/>
        <v>0</v>
      </c>
      <c r="G568" s="7" t="str">
        <f t="shared" si="79"/>
        <v/>
      </c>
      <c r="I568" s="23">
        <f t="shared" si="80"/>
        <v>2017</v>
      </c>
      <c r="J568" s="23" t="str">
        <f t="shared" si="81"/>
        <v>05</v>
      </c>
      <c r="K568" s="23" t="str">
        <f t="shared" si="82"/>
        <v>2017-05-01</v>
      </c>
      <c r="M568" s="11" t="s">
        <v>253</v>
      </c>
      <c r="N568" s="11" t="s">
        <v>1132</v>
      </c>
      <c r="O568" s="9">
        <v>42856</v>
      </c>
      <c r="P568" s="13">
        <v>2713950</v>
      </c>
    </row>
    <row r="569" spans="1:17" x14ac:dyDescent="0.25">
      <c r="A569" s="19" t="str">
        <f>VLOOKUP(LEFT(M569,3),Category!$G$3:$H$73,2,0)</f>
        <v>WATER DISPENSER</v>
      </c>
      <c r="B569" s="7" t="str">
        <f t="shared" si="74"/>
        <v>SWD-70EH-BK</v>
      </c>
      <c r="C569" s="7" t="str">
        <f t="shared" si="75"/>
        <v>with extra hot</v>
      </c>
      <c r="D569" s="25" t="str">
        <f t="shared" si="76"/>
        <v/>
      </c>
      <c r="E569" s="7">
        <f t="shared" si="77"/>
        <v>2079474</v>
      </c>
      <c r="F569" s="6">
        <f t="shared" si="78"/>
        <v>1</v>
      </c>
      <c r="G569" s="7" t="str">
        <f t="shared" si="79"/>
        <v/>
      </c>
      <c r="I569" s="23" t="e">
        <f t="shared" si="80"/>
        <v>#VALUE!</v>
      </c>
      <c r="J569" s="23" t="e">
        <f t="shared" si="81"/>
        <v>#VALUE!</v>
      </c>
      <c r="K569" s="23" t="e">
        <f t="shared" si="82"/>
        <v>#VALUE!</v>
      </c>
      <c r="M569" s="11" t="s">
        <v>512</v>
      </c>
      <c r="N569" s="11" t="s">
        <v>1131</v>
      </c>
      <c r="O569" s="9" t="s">
        <v>617</v>
      </c>
      <c r="P569" s="13">
        <v>2079474</v>
      </c>
      <c r="Q569" s="1">
        <v>1</v>
      </c>
    </row>
    <row r="570" spans="1:17" x14ac:dyDescent="0.25">
      <c r="A570" s="19" t="str">
        <f>VLOOKUP(LEFT(M570,3),Category!$G$3:$H$73,2,0)</f>
        <v>WATER DISPENSER</v>
      </c>
      <c r="B570" s="7" t="str">
        <f t="shared" si="74"/>
        <v>SWD-72EHL-BK</v>
      </c>
      <c r="C570" s="7" t="str">
        <f t="shared" si="75"/>
        <v/>
      </c>
      <c r="D570" s="25" t="str">
        <f t="shared" si="76"/>
        <v>2015-06-01</v>
      </c>
      <c r="E570" s="7">
        <f t="shared" si="77"/>
        <v>2881560</v>
      </c>
      <c r="F570" s="6">
        <f t="shared" si="78"/>
        <v>0</v>
      </c>
      <c r="G570" s="7" t="str">
        <f t="shared" si="79"/>
        <v/>
      </c>
      <c r="I570" s="23">
        <f t="shared" si="80"/>
        <v>2015</v>
      </c>
      <c r="J570" s="23" t="str">
        <f t="shared" si="81"/>
        <v>06</v>
      </c>
      <c r="K570" s="23" t="str">
        <f t="shared" si="82"/>
        <v>2015-06-01</v>
      </c>
      <c r="M570" s="11" t="s">
        <v>315</v>
      </c>
      <c r="N570" s="11">
        <v>0</v>
      </c>
      <c r="O570" s="9">
        <v>42156</v>
      </c>
      <c r="P570" s="13">
        <v>2881560</v>
      </c>
    </row>
    <row r="571" spans="1:17" x14ac:dyDescent="0.25">
      <c r="A571" s="19" t="str">
        <f>VLOOKUP(LEFT(M571,3),Category!$G$3:$H$73,2,0)</f>
        <v>WATER DISPENSER</v>
      </c>
      <c r="B571" s="7" t="str">
        <f t="shared" si="74"/>
        <v>SWD-72EHL-WH</v>
      </c>
      <c r="C571" s="7" t="str">
        <f t="shared" si="75"/>
        <v/>
      </c>
      <c r="D571" s="25" t="str">
        <f t="shared" si="76"/>
        <v>2015-06-01</v>
      </c>
      <c r="E571" s="7">
        <f t="shared" si="77"/>
        <v>2881560</v>
      </c>
      <c r="F571" s="6">
        <f t="shared" si="78"/>
        <v>0</v>
      </c>
      <c r="G571" s="7" t="str">
        <f t="shared" si="79"/>
        <v/>
      </c>
      <c r="I571" s="23">
        <f t="shared" si="80"/>
        <v>2015</v>
      </c>
      <c r="J571" s="23" t="str">
        <f t="shared" si="81"/>
        <v>06</v>
      </c>
      <c r="K571" s="23" t="str">
        <f t="shared" si="82"/>
        <v>2015-06-01</v>
      </c>
      <c r="M571" s="11" t="s">
        <v>316</v>
      </c>
      <c r="N571" s="11">
        <v>0</v>
      </c>
      <c r="O571" s="9">
        <v>42156</v>
      </c>
      <c r="P571" s="13">
        <v>2881560</v>
      </c>
    </row>
    <row r="572" spans="1:17" x14ac:dyDescent="0.25">
      <c r="A572" s="19" t="str">
        <f>VLOOKUP(LEFT(M572,3),Category!$G$3:$H$73,2,0)</f>
        <v>WATER DISPENSER</v>
      </c>
      <c r="B572" s="7" t="str">
        <f t="shared" si="74"/>
        <v>SWD-73EHL-BK</v>
      </c>
      <c r="C572" s="7" t="str">
        <f t="shared" si="75"/>
        <v/>
      </c>
      <c r="D572" s="25" t="str">
        <f t="shared" si="76"/>
        <v>2015-06-01</v>
      </c>
      <c r="E572" s="7">
        <f t="shared" si="77"/>
        <v>3264510</v>
      </c>
      <c r="F572" s="6">
        <f t="shared" si="78"/>
        <v>0</v>
      </c>
      <c r="G572" s="7" t="str">
        <f t="shared" si="79"/>
        <v/>
      </c>
      <c r="I572" s="23">
        <f t="shared" si="80"/>
        <v>2015</v>
      </c>
      <c r="J572" s="23" t="str">
        <f t="shared" si="81"/>
        <v>06</v>
      </c>
      <c r="K572" s="23" t="str">
        <f t="shared" si="82"/>
        <v>2015-06-01</v>
      </c>
      <c r="M572" s="11" t="s">
        <v>317</v>
      </c>
      <c r="N572" s="11">
        <v>0</v>
      </c>
      <c r="O572" s="9">
        <v>42156</v>
      </c>
      <c r="P572" s="13">
        <v>3264510</v>
      </c>
    </row>
    <row r="573" spans="1:17" x14ac:dyDescent="0.25">
      <c r="A573" s="19" t="str">
        <f>VLOOKUP(LEFT(M573,3),Category!$G$3:$H$73,2,0)</f>
        <v>WATER DISPENSER</v>
      </c>
      <c r="B573" s="7" t="str">
        <f t="shared" si="74"/>
        <v>SWD-75EHL-SL</v>
      </c>
      <c r="C573" s="7" t="str">
        <f t="shared" si="75"/>
        <v/>
      </c>
      <c r="D573" s="25" t="str">
        <f t="shared" si="76"/>
        <v>2015-06-01</v>
      </c>
      <c r="E573" s="7">
        <f t="shared" si="77"/>
        <v>3607500</v>
      </c>
      <c r="F573" s="6">
        <f t="shared" si="78"/>
        <v>0</v>
      </c>
      <c r="G573" s="7" t="str">
        <f t="shared" si="79"/>
        <v/>
      </c>
      <c r="I573" s="23">
        <f t="shared" si="80"/>
        <v>2015</v>
      </c>
      <c r="J573" s="23" t="str">
        <f t="shared" si="81"/>
        <v>06</v>
      </c>
      <c r="K573" s="23" t="str">
        <f t="shared" si="82"/>
        <v>2015-06-01</v>
      </c>
      <c r="M573" s="11" t="s">
        <v>318</v>
      </c>
      <c r="N573" s="11">
        <v>0</v>
      </c>
      <c r="O573" s="9">
        <v>42156</v>
      </c>
      <c r="P573" s="13">
        <v>3607500</v>
      </c>
    </row>
    <row r="574" spans="1:17" x14ac:dyDescent="0.25">
      <c r="A574" s="19" t="str">
        <f>VLOOKUP(LEFT(M574,3),Category!$G$3:$H$73,2,0)</f>
        <v>WATER DISPENSER</v>
      </c>
      <c r="B574" s="7" t="str">
        <f t="shared" si="74"/>
        <v>SWD-78EHL-SL</v>
      </c>
      <c r="C574" s="7" t="str">
        <f t="shared" si="75"/>
        <v/>
      </c>
      <c r="D574" s="25" t="str">
        <f t="shared" si="76"/>
        <v>2015-06-01</v>
      </c>
      <c r="E574" s="7">
        <f t="shared" si="77"/>
        <v>3730710</v>
      </c>
      <c r="F574" s="6">
        <f t="shared" si="78"/>
        <v>0</v>
      </c>
      <c r="G574" s="7" t="str">
        <f t="shared" si="79"/>
        <v/>
      </c>
      <c r="I574" s="23">
        <f t="shared" si="80"/>
        <v>2015</v>
      </c>
      <c r="J574" s="23" t="str">
        <f t="shared" si="81"/>
        <v>06</v>
      </c>
      <c r="K574" s="23" t="str">
        <f t="shared" si="82"/>
        <v>2015-06-01</v>
      </c>
      <c r="M574" s="11" t="s">
        <v>319</v>
      </c>
      <c r="N574" s="11">
        <v>0</v>
      </c>
      <c r="O574" s="9">
        <v>42156</v>
      </c>
      <c r="P574" s="13">
        <v>3730710</v>
      </c>
    </row>
    <row r="575" spans="1:17" x14ac:dyDescent="0.25">
      <c r="A575" s="19" t="str">
        <f>VLOOKUP(LEFT(M575,3),Category!$G$3:$H$73,2,0)</f>
        <v>WATER DISPENSER</v>
      </c>
      <c r="B575" s="7" t="str">
        <f t="shared" si="74"/>
        <v>SWD-80EHL-BK</v>
      </c>
      <c r="C575" s="7" t="str">
        <f t="shared" si="75"/>
        <v/>
      </c>
      <c r="D575" s="25" t="str">
        <f t="shared" si="76"/>
        <v>2015-08-01</v>
      </c>
      <c r="E575" s="7">
        <f t="shared" si="77"/>
        <v>2994780</v>
      </c>
      <c r="F575" s="6">
        <f t="shared" si="78"/>
        <v>0</v>
      </c>
      <c r="G575" s="7" t="str">
        <f t="shared" si="79"/>
        <v/>
      </c>
      <c r="I575" s="23">
        <f t="shared" si="80"/>
        <v>2015</v>
      </c>
      <c r="J575" s="23" t="str">
        <f t="shared" si="81"/>
        <v>08</v>
      </c>
      <c r="K575" s="23" t="str">
        <f t="shared" si="82"/>
        <v>2015-08-01</v>
      </c>
      <c r="M575" s="11" t="s">
        <v>379</v>
      </c>
      <c r="N575" s="11">
        <v>0</v>
      </c>
      <c r="O575" s="9">
        <v>42217</v>
      </c>
      <c r="P575" s="13">
        <v>2994780</v>
      </c>
    </row>
    <row r="576" spans="1:17" x14ac:dyDescent="0.25">
      <c r="A576" s="19" t="str">
        <f>VLOOKUP(LEFT(M576,3),Category!$G$3:$H$73,2,0)</f>
        <v>WATER DISPENSER</v>
      </c>
      <c r="B576" s="7" t="str">
        <f t="shared" si="74"/>
        <v>SWD-82EHL-PB</v>
      </c>
      <c r="C576" s="7" t="str">
        <f t="shared" si="75"/>
        <v>3 WATTAGE (ECO, NORMAL, FAST), 3 FAUCETS (COLD, NORMAL, HOT), NIGHT LIGHT</v>
      </c>
      <c r="D576" s="25" t="str">
        <f t="shared" si="76"/>
        <v>2021-12-01</v>
      </c>
      <c r="E576" s="7">
        <f t="shared" si="77"/>
        <v>2910420</v>
      </c>
      <c r="F576" s="6">
        <f t="shared" si="78"/>
        <v>0</v>
      </c>
      <c r="G576" s="7" t="str">
        <f t="shared" si="79"/>
        <v/>
      </c>
      <c r="I576" s="23">
        <f t="shared" si="80"/>
        <v>2021</v>
      </c>
      <c r="J576" s="23">
        <f t="shared" si="81"/>
        <v>12</v>
      </c>
      <c r="K576" s="23" t="str">
        <f t="shared" si="82"/>
        <v>2021-12-01</v>
      </c>
      <c r="M576" s="11" t="s">
        <v>80</v>
      </c>
      <c r="N576" s="11" t="s">
        <v>1133</v>
      </c>
      <c r="O576" s="9">
        <v>44531</v>
      </c>
      <c r="P576" s="13">
        <v>2910420</v>
      </c>
    </row>
    <row r="577" spans="1:20" x14ac:dyDescent="0.25">
      <c r="A577" s="19" t="str">
        <f>VLOOKUP(LEFT(M577,3),Category!$G$3:$H$73,2,0)</f>
        <v>WATER DISPENSER</v>
      </c>
      <c r="B577" s="7" t="str">
        <f t="shared" si="74"/>
        <v>SWD-83EHL-SL</v>
      </c>
      <c r="C577" s="7" t="str">
        <f t="shared" si="75"/>
        <v>3 WATTAGE (ECO, NORMAL, FAST), 3 FAUCETS (COLD, NORMAL, HOT), NIGHT LIGHT, SELF-CLEANING</v>
      </c>
      <c r="D577" s="25" t="str">
        <f t="shared" si="76"/>
        <v>2021-12-01</v>
      </c>
      <c r="E577" s="7">
        <f t="shared" si="77"/>
        <v>3294480</v>
      </c>
      <c r="F577" s="6">
        <f t="shared" si="78"/>
        <v>0</v>
      </c>
      <c r="G577" s="7" t="str">
        <f t="shared" si="79"/>
        <v/>
      </c>
      <c r="I577" s="23">
        <f t="shared" si="80"/>
        <v>2021</v>
      </c>
      <c r="J577" s="23">
        <f t="shared" si="81"/>
        <v>12</v>
      </c>
      <c r="K577" s="23" t="str">
        <f t="shared" si="82"/>
        <v>2021-12-01</v>
      </c>
      <c r="M577" s="11" t="s">
        <v>81</v>
      </c>
      <c r="N577" s="11" t="s">
        <v>1134</v>
      </c>
      <c r="O577" s="9">
        <v>44531</v>
      </c>
      <c r="P577" s="13">
        <v>3294480</v>
      </c>
    </row>
    <row r="578" spans="1:20" x14ac:dyDescent="0.25">
      <c r="A578" s="19" t="str">
        <f>VLOOKUP(LEFT(M578,3),Category!$G$3:$H$73,2,0)</f>
        <v>WATER DISPENSER</v>
      </c>
      <c r="B578" s="7" t="str">
        <f t="shared" si="74"/>
        <v>SWD-88EHL-SL</v>
      </c>
      <c r="C578" s="7" t="str">
        <f t="shared" si="75"/>
        <v>3 WATTAGE (ECO, NORMAL, FAST), 3 FAUCETS (COLD, NORMAL, HOT), NIGHT LIGHT, SELF-CLEANING, ALKALINE FILTER</v>
      </c>
      <c r="D578" s="25" t="str">
        <f t="shared" si="76"/>
        <v>2021-12-01</v>
      </c>
      <c r="E578" s="7">
        <f t="shared" si="77"/>
        <v>3766230</v>
      </c>
      <c r="F578" s="6">
        <f t="shared" si="78"/>
        <v>0</v>
      </c>
      <c r="G578" s="7" t="str">
        <f t="shared" si="79"/>
        <v/>
      </c>
      <c r="I578" s="23">
        <f t="shared" si="80"/>
        <v>2021</v>
      </c>
      <c r="J578" s="23">
        <f t="shared" si="81"/>
        <v>12</v>
      </c>
      <c r="K578" s="23" t="str">
        <f t="shared" si="82"/>
        <v>2021-12-01</v>
      </c>
      <c r="M578" s="11" t="s">
        <v>82</v>
      </c>
      <c r="N578" s="11" t="s">
        <v>1135</v>
      </c>
      <c r="O578" s="9">
        <v>44531</v>
      </c>
      <c r="P578" s="13">
        <v>3766230</v>
      </c>
    </row>
    <row r="579" spans="1:20" x14ac:dyDescent="0.25">
      <c r="A579" s="19" t="str">
        <f>VLOOKUP(LEFT(M579,3),Category!$G$3:$H$73,2,0)</f>
        <v>NOTEBOOK/DYNABOOK</v>
      </c>
      <c r="B579" s="7" t="str">
        <f t="shared" ref="B579:B601" si="83">UPPER(M579)</f>
        <v>PYS46L-04102E</v>
      </c>
      <c r="C579" s="7" t="str">
        <f t="shared" ref="C579:C601" si="84">IF(OR(N579="",N579=0),"",N579)</f>
        <v>Satellite Pro C40-J Intel I3/RAM 4GB/SSD 256GB/ Intel® Iris ® Xe Graphics/Win 11 Home</v>
      </c>
      <c r="D579" s="25" t="str">
        <f t="shared" ref="D579:D601" si="85">IFERROR(K579,"")</f>
        <v>2001-06-01</v>
      </c>
      <c r="E579" s="7">
        <f t="shared" ref="E579:E601" si="86">P579</f>
        <v>9018750</v>
      </c>
      <c r="F579" s="6">
        <f t="shared" ref="F579:F601" si="87">IF(O579="DISC",1,0)</f>
        <v>0</v>
      </c>
      <c r="G579" s="7" t="str">
        <f t="shared" ref="G579:G601" si="88">IF(R579="","",R579)</f>
        <v/>
      </c>
      <c r="I579" s="23">
        <f t="shared" si="80"/>
        <v>2001</v>
      </c>
      <c r="J579" s="23" t="str">
        <f t="shared" si="81"/>
        <v>06</v>
      </c>
      <c r="K579" s="23" t="str">
        <f t="shared" si="82"/>
        <v>2001-06-01</v>
      </c>
      <c r="M579" s="11" t="s">
        <v>1139</v>
      </c>
      <c r="N579" s="11" t="s">
        <v>1160</v>
      </c>
      <c r="O579" s="31">
        <v>44713</v>
      </c>
      <c r="P579" s="13">
        <v>9018750</v>
      </c>
    </row>
    <row r="580" spans="1:20" x14ac:dyDescent="0.25">
      <c r="A580" s="19" t="str">
        <f>VLOOKUP(LEFT(M580,3),Category!$G$3:$H$73,2,0)</f>
        <v>NOTEBOOK/DYNABOOK</v>
      </c>
      <c r="B580" s="7" t="str">
        <f t="shared" si="83"/>
        <v>PYS46L-04202E</v>
      </c>
      <c r="C580" s="7" t="str">
        <f t="shared" si="84"/>
        <v>Satellite Pro C40-J Intel I3/RAM 8GB/SSD 256GB/ Intel® Iris ® Xe Graphics/Win 11 Home</v>
      </c>
      <c r="D580" s="25" t="str">
        <f t="shared" si="85"/>
        <v>2001-06-01</v>
      </c>
      <c r="E580" s="7">
        <f t="shared" si="86"/>
        <v>9573750</v>
      </c>
      <c r="F580" s="6">
        <f t="shared" si="87"/>
        <v>0</v>
      </c>
      <c r="G580" s="7" t="str">
        <f t="shared" si="88"/>
        <v/>
      </c>
      <c r="I580" s="23">
        <f t="shared" si="80"/>
        <v>2001</v>
      </c>
      <c r="J580" s="23" t="str">
        <f t="shared" si="81"/>
        <v>06</v>
      </c>
      <c r="K580" s="23" t="str">
        <f t="shared" si="82"/>
        <v>2001-06-01</v>
      </c>
      <c r="M580" s="11" t="s">
        <v>1140</v>
      </c>
      <c r="N580" s="11" t="s">
        <v>1161</v>
      </c>
      <c r="O580" s="31">
        <v>44713</v>
      </c>
      <c r="P580" s="13">
        <v>9573750</v>
      </c>
      <c r="S580" s="1" t="s">
        <v>1169</v>
      </c>
      <c r="T580" s="1" t="str">
        <f>$S$580&amp;N580</f>
        <v>Portege X30W-J Satellite Pro C40-J Intel I3/RAM 8GB/SSD 256GB/ Intel® Iris ® Xe Graphics/Win 11 Home</v>
      </c>
    </row>
    <row r="581" spans="1:20" x14ac:dyDescent="0.25">
      <c r="A581" s="19" t="str">
        <f>VLOOKUP(LEFT(M581,3),Category!$G$3:$H$73,2,0)</f>
        <v>NOTEBOOK/DYNABOOK</v>
      </c>
      <c r="B581" s="7" t="str">
        <f t="shared" si="83"/>
        <v>PYS46L-04302E</v>
      </c>
      <c r="C581" s="7" t="str">
        <f t="shared" si="84"/>
        <v>Satellite Pro C40-J Intel I5/RAM 8GB/SSD 256GB/ Intel® Iris ® Xe Graphics/Win 11 Home</v>
      </c>
      <c r="D581" s="25" t="str">
        <f t="shared" si="85"/>
        <v>2001-06-01</v>
      </c>
      <c r="E581" s="7">
        <f t="shared" si="86"/>
        <v>11766000</v>
      </c>
      <c r="F581" s="6">
        <f t="shared" si="87"/>
        <v>0</v>
      </c>
      <c r="G581" s="7" t="str">
        <f t="shared" si="88"/>
        <v/>
      </c>
      <c r="I581" s="23">
        <f t="shared" si="80"/>
        <v>2001</v>
      </c>
      <c r="J581" s="23" t="str">
        <f t="shared" si="81"/>
        <v>06</v>
      </c>
      <c r="K581" s="23" t="str">
        <f t="shared" si="82"/>
        <v>2001-06-01</v>
      </c>
      <c r="M581" s="11" t="s">
        <v>1141</v>
      </c>
      <c r="N581" s="11" t="s">
        <v>1162</v>
      </c>
      <c r="O581" s="31">
        <v>44713</v>
      </c>
      <c r="P581" s="13">
        <v>11766000</v>
      </c>
      <c r="T581" s="1" t="str">
        <f t="shared" ref="T581:T590" si="89">$S$580&amp;N581</f>
        <v>Portege X30W-J Satellite Pro C40-J Intel I5/RAM 8GB/SSD 256GB/ Intel® Iris ® Xe Graphics/Win 11 Home</v>
      </c>
    </row>
    <row r="582" spans="1:20" x14ac:dyDescent="0.25">
      <c r="A582" s="19" t="str">
        <f>VLOOKUP(LEFT(M582,3),Category!$G$3:$H$73,2,0)</f>
        <v>NOTEBOOK/DYNABOOK</v>
      </c>
      <c r="B582" s="7" t="str">
        <f t="shared" si="83"/>
        <v>PYS46L-04402E</v>
      </c>
      <c r="C582" s="7" t="str">
        <f t="shared" si="84"/>
        <v>Satellite Pro C40-J Intel I5/RAM 8GB/SSD 512GB/ Intel® Iris ® Xe Graphics/Win 11 Home</v>
      </c>
      <c r="D582" s="25" t="str">
        <f t="shared" si="85"/>
        <v>2001-06-01</v>
      </c>
      <c r="E582" s="7">
        <f t="shared" si="86"/>
        <v>12348750</v>
      </c>
      <c r="F582" s="6">
        <f t="shared" si="87"/>
        <v>0</v>
      </c>
      <c r="G582" s="7" t="str">
        <f t="shared" si="88"/>
        <v/>
      </c>
      <c r="I582" s="23">
        <f t="shared" si="80"/>
        <v>2001</v>
      </c>
      <c r="J582" s="23" t="str">
        <f t="shared" si="81"/>
        <v>06</v>
      </c>
      <c r="K582" s="23" t="str">
        <f t="shared" si="82"/>
        <v>2001-06-01</v>
      </c>
      <c r="M582" s="11" t="s">
        <v>1142</v>
      </c>
      <c r="N582" s="11" t="s">
        <v>1163</v>
      </c>
      <c r="O582" s="31">
        <v>44713</v>
      </c>
      <c r="P582" s="13">
        <v>12348750</v>
      </c>
      <c r="T582" s="1" t="str">
        <f t="shared" si="89"/>
        <v>Portege X30W-J Satellite Pro C40-J Intel I5/RAM 8GB/SSD 512GB/ Intel® Iris ® Xe Graphics/Win 11 Home</v>
      </c>
    </row>
    <row r="583" spans="1:20" x14ac:dyDescent="0.25">
      <c r="A583" s="19" t="str">
        <f>VLOOKUP(LEFT(M583,3),Category!$G$3:$H$73,2,0)</f>
        <v>NOTEBOOK/DYNABOOK</v>
      </c>
      <c r="B583" s="7" t="str">
        <f t="shared" si="83"/>
        <v>PYS46L-04502E</v>
      </c>
      <c r="C583" s="7" t="str">
        <f t="shared" si="84"/>
        <v>Satellite Pro C40-J Intel I5/RAM 16GB/SSD 512GB/ Intel® Iris ® Xe Graphics/Win 11 Home</v>
      </c>
      <c r="D583" s="25" t="str">
        <f t="shared" si="85"/>
        <v>2001-06-01</v>
      </c>
      <c r="E583" s="7">
        <f t="shared" si="86"/>
        <v>13575300</v>
      </c>
      <c r="F583" s="6">
        <f t="shared" si="87"/>
        <v>0</v>
      </c>
      <c r="G583" s="7" t="str">
        <f t="shared" si="88"/>
        <v/>
      </c>
      <c r="I583" s="23">
        <f t="shared" ref="I583:I601" si="90">IF(YEAR(O583)=2022,2000+DAY(O583),YEAR(O583))</f>
        <v>2001</v>
      </c>
      <c r="J583" s="23" t="str">
        <f t="shared" ref="J583:J601" si="91">IF(MONTH(O583)&lt;10,"0"&amp;MONTH(O583),MONTH(O583))</f>
        <v>06</v>
      </c>
      <c r="K583" s="23" t="str">
        <f t="shared" ref="K583:K601" si="92">I583&amp;"-"&amp;J583&amp;"-01"</f>
        <v>2001-06-01</v>
      </c>
      <c r="M583" s="11" t="s">
        <v>1143</v>
      </c>
      <c r="N583" s="11" t="s">
        <v>1164</v>
      </c>
      <c r="O583" s="31">
        <v>44713</v>
      </c>
      <c r="P583" s="13">
        <v>13575300</v>
      </c>
      <c r="T583" s="1" t="str">
        <f t="shared" si="89"/>
        <v>Portege X30W-J Satellite Pro C40-J Intel I5/RAM 16GB/SSD 512GB/ Intel® Iris ® Xe Graphics/Win 11 Home</v>
      </c>
    </row>
    <row r="584" spans="1:20" x14ac:dyDescent="0.25">
      <c r="A584" s="19" t="str">
        <f>VLOOKUP(LEFT(M584,3),Category!$G$3:$H$73,2,0)</f>
        <v>NOTEBOOK/DYNABOOK</v>
      </c>
      <c r="B584" s="7" t="str">
        <f t="shared" si="83"/>
        <v>PYS46L-03H02F</v>
      </c>
      <c r="C584" s="7" t="str">
        <f t="shared" si="84"/>
        <v>Satellite Pro C40-J Intel I5/RAM 8GB/SSD 512GB/ Intel® Iris ® Xe Graphics/Win 11 Home</v>
      </c>
      <c r="D584" s="25" t="str">
        <f t="shared" si="85"/>
        <v>2001-06-01</v>
      </c>
      <c r="E584" s="7">
        <f t="shared" si="86"/>
        <v>13974900</v>
      </c>
      <c r="F584" s="6">
        <f t="shared" si="87"/>
        <v>0</v>
      </c>
      <c r="G584" s="7" t="str">
        <f t="shared" si="88"/>
        <v/>
      </c>
      <c r="I584" s="23">
        <f t="shared" si="90"/>
        <v>2001</v>
      </c>
      <c r="J584" s="23" t="str">
        <f t="shared" si="91"/>
        <v>06</v>
      </c>
      <c r="K584" s="23" t="str">
        <f t="shared" si="92"/>
        <v>2001-06-01</v>
      </c>
      <c r="M584" s="11" t="s">
        <v>1144</v>
      </c>
      <c r="N584" s="11" t="s">
        <v>1163</v>
      </c>
      <c r="O584" s="31">
        <v>44713</v>
      </c>
      <c r="P584" s="13">
        <v>13974900</v>
      </c>
      <c r="T584" s="1" t="str">
        <f t="shared" si="89"/>
        <v>Portege X30W-J Satellite Pro C40-J Intel I5/RAM 8GB/SSD 512GB/ Intel® Iris ® Xe Graphics/Win 11 Home</v>
      </c>
    </row>
    <row r="585" spans="1:20" x14ac:dyDescent="0.25">
      <c r="A585" s="19" t="str">
        <f>VLOOKUP(LEFT(M585,3),Category!$G$3:$H$73,2,0)</f>
        <v>NOTEBOOK/DYNABOOK</v>
      </c>
      <c r="B585" s="7" t="str">
        <f t="shared" si="83"/>
        <v>PYS46L-04602F</v>
      </c>
      <c r="C585" s="7" t="str">
        <f t="shared" si="84"/>
        <v>Satellite Pro C40-J Intel I7/RAM 16GB/SSD 512GB/ Intel® Iris ® Xe Graphics/Win 10 Home</v>
      </c>
      <c r="D585" s="25" t="str">
        <f t="shared" si="85"/>
        <v>2001-06-01</v>
      </c>
      <c r="E585" s="7">
        <f t="shared" si="86"/>
        <v>17316000</v>
      </c>
      <c r="F585" s="6">
        <f t="shared" si="87"/>
        <v>0</v>
      </c>
      <c r="G585" s="7" t="str">
        <f t="shared" si="88"/>
        <v/>
      </c>
      <c r="I585" s="23">
        <f t="shared" si="90"/>
        <v>2001</v>
      </c>
      <c r="J585" s="23" t="str">
        <f t="shared" si="91"/>
        <v>06</v>
      </c>
      <c r="K585" s="23" t="str">
        <f t="shared" si="92"/>
        <v>2001-06-01</v>
      </c>
      <c r="M585" s="11" t="s">
        <v>1145</v>
      </c>
      <c r="N585" s="11" t="s">
        <v>1165</v>
      </c>
      <c r="O585" s="31">
        <v>44713</v>
      </c>
      <c r="P585" s="13">
        <v>17316000</v>
      </c>
      <c r="T585" s="1" t="str">
        <f t="shared" si="89"/>
        <v>Portege X30W-J Satellite Pro C40-J Intel I7/RAM 16GB/SSD 512GB/ Intel® Iris ® Xe Graphics/Win 10 Home</v>
      </c>
    </row>
    <row r="586" spans="1:20" x14ac:dyDescent="0.25">
      <c r="A586" s="19" t="str">
        <f>VLOOKUP(LEFT(M586,3),Category!$G$3:$H$73,2,0)</f>
        <v>NOTEBOOK/DYNABOOK</v>
      </c>
      <c r="B586" s="7" t="str">
        <f t="shared" si="83"/>
        <v>PMM10L-0VP060</v>
      </c>
      <c r="C586" s="7" t="str">
        <f t="shared" si="84"/>
        <v>Tecra A40-J Intel I5/RAM 8GB/SSD 512GB/ Intel® Iris ® Xe Graphics/Win 10 Home</v>
      </c>
      <c r="D586" s="25" t="str">
        <f t="shared" si="85"/>
        <v>2001-06-01</v>
      </c>
      <c r="E586" s="7">
        <f t="shared" si="86"/>
        <v>17427000</v>
      </c>
      <c r="F586" s="6">
        <f t="shared" si="87"/>
        <v>0</v>
      </c>
      <c r="G586" s="7" t="str">
        <f t="shared" si="88"/>
        <v/>
      </c>
      <c r="I586" s="23">
        <f t="shared" si="90"/>
        <v>2001</v>
      </c>
      <c r="J586" s="23" t="str">
        <f t="shared" si="91"/>
        <v>06</v>
      </c>
      <c r="K586" s="23" t="str">
        <f t="shared" si="92"/>
        <v>2001-06-01</v>
      </c>
      <c r="M586" s="11" t="s">
        <v>1146</v>
      </c>
      <c r="N586" s="11" t="s">
        <v>1166</v>
      </c>
      <c r="O586" s="31">
        <v>44713</v>
      </c>
      <c r="P586" s="13">
        <v>17427000</v>
      </c>
      <c r="T586" s="1" t="str">
        <f t="shared" si="89"/>
        <v>Portege X30W-J Tecra A40-J Intel I5/RAM 8GB/SSD 512GB/ Intel® Iris ® Xe Graphics/Win 10 Home</v>
      </c>
    </row>
    <row r="587" spans="1:20" x14ac:dyDescent="0.25">
      <c r="A587" s="19" t="str">
        <f>VLOOKUP(LEFT(M587,3),Category!$G$3:$H$73,2,0)</f>
        <v>NOTEBOOK/DYNABOOK</v>
      </c>
      <c r="B587" s="7" t="str">
        <f t="shared" si="83"/>
        <v>PMM10L-0Y4060</v>
      </c>
      <c r="C587" s="7" t="str">
        <f t="shared" si="84"/>
        <v>Tecra A40-J Intel I7/RAM 8GB/SSD 512GB/ Intel® Iris ® Xe Graphics/Win 10 Pro 64-bit</v>
      </c>
      <c r="D587" s="25" t="str">
        <f t="shared" si="85"/>
        <v>2001-06-01</v>
      </c>
      <c r="E587" s="7">
        <f t="shared" si="86"/>
        <v>19353960</v>
      </c>
      <c r="F587" s="6">
        <f t="shared" si="87"/>
        <v>0</v>
      </c>
      <c r="G587" s="7" t="str">
        <f t="shared" si="88"/>
        <v/>
      </c>
      <c r="I587" s="23">
        <f t="shared" si="90"/>
        <v>2001</v>
      </c>
      <c r="J587" s="23" t="str">
        <f t="shared" si="91"/>
        <v>06</v>
      </c>
      <c r="K587" s="23" t="str">
        <f t="shared" si="92"/>
        <v>2001-06-01</v>
      </c>
      <c r="M587" s="11" t="s">
        <v>1147</v>
      </c>
      <c r="N587" s="11" t="s">
        <v>1167</v>
      </c>
      <c r="O587" s="31">
        <v>44713</v>
      </c>
      <c r="P587" s="13">
        <v>19353960</v>
      </c>
      <c r="T587" s="1" t="str">
        <f t="shared" si="89"/>
        <v>Portege X30W-J Tecra A40-J Intel I7/RAM 8GB/SSD 512GB/ Intel® Iris ® Xe Graphics/Win 10 Pro 64-bit</v>
      </c>
    </row>
    <row r="588" spans="1:20" x14ac:dyDescent="0.25">
      <c r="A588" s="19" t="str">
        <f>VLOOKUP(LEFT(M588,3),Category!$G$3:$H$73,2,0)</f>
        <v>NOTEBOOK/DYNABOOK</v>
      </c>
      <c r="B588" s="7" t="str">
        <f t="shared" si="83"/>
        <v>PMM10L-0Y5060</v>
      </c>
      <c r="C588" s="7" t="str">
        <f t="shared" si="84"/>
        <v>Tecra A40-J Intel I7/RAM 16GB/SSD 1TB/ Intel® Iris ® Xe Graphics/Win 10 Pro 64-bit</v>
      </c>
      <c r="D588" s="25" t="str">
        <f t="shared" si="85"/>
        <v>2001-06-01</v>
      </c>
      <c r="E588" s="7">
        <f t="shared" si="86"/>
        <v>25514460</v>
      </c>
      <c r="F588" s="6">
        <f t="shared" si="87"/>
        <v>0</v>
      </c>
      <c r="G588" s="7" t="str">
        <f t="shared" si="88"/>
        <v/>
      </c>
      <c r="I588" s="23">
        <f t="shared" si="90"/>
        <v>2001</v>
      </c>
      <c r="J588" s="23" t="str">
        <f t="shared" si="91"/>
        <v>06</v>
      </c>
      <c r="K588" s="23" t="str">
        <f t="shared" si="92"/>
        <v>2001-06-01</v>
      </c>
      <c r="M588" s="11" t="s">
        <v>1148</v>
      </c>
      <c r="N588" s="11" t="s">
        <v>1168</v>
      </c>
      <c r="O588" s="31">
        <v>44713</v>
      </c>
      <c r="P588" s="13">
        <v>25514460</v>
      </c>
      <c r="T588" s="1" t="str">
        <f t="shared" si="89"/>
        <v>Portege X30W-J Tecra A40-J Intel I7/RAM 16GB/SSD 1TB/ Intel® Iris ® Xe Graphics/Win 10 Pro 64-bit</v>
      </c>
    </row>
    <row r="589" spans="1:20" x14ac:dyDescent="0.25">
      <c r="A589" s="19" t="str">
        <f>VLOOKUP(LEFT(M589,3),Category!$G$3:$H$73,2,0)</f>
        <v>NOTEBOOK/DYNABOOK</v>
      </c>
      <c r="B589" s="7" t="str">
        <f t="shared" si="83"/>
        <v>PDA11L-01G06E</v>
      </c>
      <c r="C589" s="7" t="str">
        <f t="shared" ref="C589:C590" si="93">IF(OR(N589="",N589=0),"",N589)</f>
        <v>Portege X30W-J Intel core i7/RAM 32GB/SSD 1TB / Intel® Iris ® Xe Graphics/Win 10 Pro 64-bit</v>
      </c>
      <c r="D589" s="25" t="str">
        <f t="shared" ref="D589:D590" si="94">IFERROR(K589,"")</f>
        <v>1900-01-01</v>
      </c>
      <c r="E589" s="7">
        <f t="shared" ref="E589:E590" si="95">P589</f>
        <v>38850000</v>
      </c>
      <c r="F589" s="6">
        <f t="shared" ref="F589:F590" si="96">IF(O589="DISC",1,0)</f>
        <v>0</v>
      </c>
      <c r="G589" s="7"/>
      <c r="I589" s="23">
        <f t="shared" ref="I589:I590" si="97">IF(YEAR(O589)=2022,2000+DAY(O589),YEAR(O589))</f>
        <v>1900</v>
      </c>
      <c r="J589" s="23" t="str">
        <f t="shared" ref="J589:J590" si="98">IF(MONTH(O589)&lt;10,"0"&amp;MONTH(O589),MONTH(O589))</f>
        <v>01</v>
      </c>
      <c r="K589" s="23" t="str">
        <f t="shared" ref="K589:K590" si="99">I589&amp;"-"&amp;J589&amp;"-01"</f>
        <v>1900-01-01</v>
      </c>
      <c r="M589" s="11" t="s">
        <v>1173</v>
      </c>
      <c r="N589" s="11" t="s">
        <v>1175</v>
      </c>
      <c r="O589" s="31"/>
      <c r="P589" s="13">
        <v>38850000</v>
      </c>
      <c r="T589" s="1" t="str">
        <f t="shared" si="89"/>
        <v>Portege X30W-J Portege X30W-J Intel core i7/RAM 32GB/SSD 1TB / Intel® Iris ® Xe Graphics/Win 10 Pro 64-bit</v>
      </c>
    </row>
    <row r="590" spans="1:20" x14ac:dyDescent="0.25">
      <c r="A590" s="19" t="str">
        <f>VLOOKUP(LEFT(M590,3),Category!$G$3:$H$73,2,0)</f>
        <v>NOTEBOOK/DYNABOOK</v>
      </c>
      <c r="B590" s="7" t="str">
        <f t="shared" ref="B590" si="100">UPPER(M590)</f>
        <v>PDA11L-0NR06E</v>
      </c>
      <c r="C590" s="7" t="str">
        <f t="shared" si="93"/>
        <v>Portege X30W-J Intel core i5/RAM 8GB/SSD 512GB / Intel® Iris ® Xe Graphics/Win 10 Pro 64-bit</v>
      </c>
      <c r="D590" s="25" t="str">
        <f t="shared" si="94"/>
        <v>1900-01-01</v>
      </c>
      <c r="E590" s="7">
        <f t="shared" si="95"/>
        <v>32862700</v>
      </c>
      <c r="F590" s="6">
        <f t="shared" si="96"/>
        <v>0</v>
      </c>
      <c r="G590" s="7"/>
      <c r="I590" s="23">
        <f t="shared" si="97"/>
        <v>1900</v>
      </c>
      <c r="J590" s="23" t="str">
        <f t="shared" si="98"/>
        <v>01</v>
      </c>
      <c r="K590" s="23" t="str">
        <f t="shared" si="99"/>
        <v>1900-01-01</v>
      </c>
      <c r="M590" s="11" t="s">
        <v>1174</v>
      </c>
      <c r="N590" s="11" t="s">
        <v>1176</v>
      </c>
      <c r="O590" s="31"/>
      <c r="P590" s="13">
        <v>32862700</v>
      </c>
      <c r="T590" s="1" t="str">
        <f t="shared" si="89"/>
        <v>Portege X30W-J Portege X30W-J Intel core i5/RAM 8GB/SSD 512GB / Intel® Iris ® Xe Graphics/Win 10 Pro 64-bit</v>
      </c>
    </row>
    <row r="591" spans="1:20" x14ac:dyDescent="0.25">
      <c r="A591" s="19" t="str">
        <f>VLOOKUP(LEFT(M591,3),Category!$G$3:$H$73,2,0)</f>
        <v>SMARTPHONE</v>
      </c>
      <c r="B591" s="7" t="str">
        <f t="shared" si="83"/>
        <v>SH-C03(B)</v>
      </c>
      <c r="C591" s="7" t="str">
        <f t="shared" si="84"/>
        <v>Front camera (5 MP),Triple camera (13 MP/2MP/2MP),Memory /storage : RAM 3 GB/ROM 32GB,battery : 5000 mAh, Android 12, Mediatek Helio G25, NFC Feature ,Display 6,5"</v>
      </c>
      <c r="D591" s="25" t="str">
        <f t="shared" si="85"/>
        <v>2001-02-01</v>
      </c>
      <c r="E591" s="7">
        <f t="shared" si="86"/>
        <v>2104560</v>
      </c>
      <c r="F591" s="6">
        <f t="shared" si="87"/>
        <v>0</v>
      </c>
      <c r="G591" s="7" t="str">
        <f t="shared" si="88"/>
        <v/>
      </c>
      <c r="I591" s="23">
        <f t="shared" si="90"/>
        <v>2001</v>
      </c>
      <c r="J591" s="23" t="str">
        <f t="shared" si="91"/>
        <v>02</v>
      </c>
      <c r="K591" s="23" t="str">
        <f t="shared" si="92"/>
        <v>2001-02-01</v>
      </c>
      <c r="M591" s="11" t="s">
        <v>147</v>
      </c>
      <c r="N591" s="11" t="s">
        <v>1017</v>
      </c>
      <c r="O591" s="31">
        <v>44593</v>
      </c>
      <c r="P591" s="13">
        <v>2104560</v>
      </c>
    </row>
    <row r="592" spans="1:20" x14ac:dyDescent="0.25">
      <c r="A592" s="19" t="str">
        <f>VLOOKUP(LEFT(M592,3),Category!$G$3:$H$73,2,0)</f>
        <v>SMARTPHONE</v>
      </c>
      <c r="B592" s="7" t="str">
        <f t="shared" si="83"/>
        <v>SH-C03(G)</v>
      </c>
      <c r="C592" s="7" t="str">
        <f t="shared" si="84"/>
        <v>Front camera (5 MP),Triple camera (13 MP/2MP/2MP),Memory /storage : RAM 3 GB/ROM 32GB,battery : 5000 mAh, Android 12, Mediatek Helio G25, NFC Feature ,Display 6,5"</v>
      </c>
      <c r="D592" s="25" t="str">
        <f t="shared" si="85"/>
        <v>2001-02-01</v>
      </c>
      <c r="E592" s="7">
        <f t="shared" si="86"/>
        <v>2104560</v>
      </c>
      <c r="F592" s="6">
        <f t="shared" si="87"/>
        <v>0</v>
      </c>
      <c r="G592" s="7" t="str">
        <f t="shared" si="88"/>
        <v/>
      </c>
      <c r="I592" s="23">
        <f t="shared" si="90"/>
        <v>2001</v>
      </c>
      <c r="J592" s="23" t="str">
        <f t="shared" si="91"/>
        <v>02</v>
      </c>
      <c r="K592" s="23" t="str">
        <f t="shared" si="92"/>
        <v>2001-02-01</v>
      </c>
      <c r="M592" s="11" t="s">
        <v>148</v>
      </c>
      <c r="N592" s="11" t="s">
        <v>1017</v>
      </c>
      <c r="O592" s="31">
        <v>44593</v>
      </c>
      <c r="P592" s="13">
        <v>2104560</v>
      </c>
    </row>
    <row r="593" spans="1:16" x14ac:dyDescent="0.25">
      <c r="A593" s="19" t="str">
        <f>VLOOKUP(LEFT(M593,3),Category!$G$3:$H$73,2,0)</f>
        <v>SMARTPHONE</v>
      </c>
      <c r="B593" s="7" t="str">
        <f t="shared" si="83"/>
        <v>SH-C04(B)</v>
      </c>
      <c r="C593" s="7" t="str">
        <f t="shared" si="84"/>
        <v>Front camera (8 MP), Triple camera (50 MP/2MP/2MP), Memory /storage : RAM 4 GB/ROM 64GB, battery : 5000 mAh, Android 12, Mediatek Helio G25, NFC Feature , Display 6,5"</v>
      </c>
      <c r="D593" s="25" t="str">
        <f t="shared" si="85"/>
        <v>2001-02-01</v>
      </c>
      <c r="E593" s="7">
        <f t="shared" si="86"/>
        <v>2572980</v>
      </c>
      <c r="F593" s="6">
        <f t="shared" si="87"/>
        <v>0</v>
      </c>
      <c r="G593" s="7" t="str">
        <f t="shared" si="88"/>
        <v/>
      </c>
      <c r="I593" s="23">
        <f t="shared" si="90"/>
        <v>2001</v>
      </c>
      <c r="J593" s="23" t="str">
        <f t="shared" si="91"/>
        <v>02</v>
      </c>
      <c r="K593" s="23" t="str">
        <f t="shared" si="92"/>
        <v>2001-02-01</v>
      </c>
      <c r="M593" s="11" t="s">
        <v>149</v>
      </c>
      <c r="N593" s="11" t="s">
        <v>1018</v>
      </c>
      <c r="O593" s="31">
        <v>44593</v>
      </c>
      <c r="P593" s="13">
        <v>2572980</v>
      </c>
    </row>
    <row r="594" spans="1:16" x14ac:dyDescent="0.25">
      <c r="A594" s="19" t="str">
        <f>VLOOKUP(LEFT(M594,3),Category!$G$3:$H$73,2,0)</f>
        <v>SMARTPHONE</v>
      </c>
      <c r="B594" s="7" t="str">
        <f t="shared" si="83"/>
        <v>SH-C04(G)</v>
      </c>
      <c r="C594" s="7" t="str">
        <f t="shared" si="84"/>
        <v>Front camera (8 MP), Triple camera (50 MP/2MP/2MP), Memory /storage : RAM 4 GB/ROM 64GB, battery : 5000 mAh, Android 12, Mediatek Helio G25, NFC Feature , Display 6,5"</v>
      </c>
      <c r="D594" s="25" t="str">
        <f t="shared" si="85"/>
        <v>2001-02-01</v>
      </c>
      <c r="E594" s="7">
        <f t="shared" si="86"/>
        <v>2572980</v>
      </c>
      <c r="F594" s="6">
        <f t="shared" si="87"/>
        <v>0</v>
      </c>
      <c r="G594" s="7" t="str">
        <f t="shared" si="88"/>
        <v/>
      </c>
      <c r="I594" s="23">
        <f t="shared" si="90"/>
        <v>2001</v>
      </c>
      <c r="J594" s="23" t="str">
        <f t="shared" si="91"/>
        <v>02</v>
      </c>
      <c r="K594" s="23" t="str">
        <f t="shared" si="92"/>
        <v>2001-02-01</v>
      </c>
      <c r="M594" s="11" t="s">
        <v>150</v>
      </c>
      <c r="N594" s="11" t="s">
        <v>1018</v>
      </c>
      <c r="O594" s="31">
        <v>44593</v>
      </c>
      <c r="P594" s="13">
        <v>2572980</v>
      </c>
    </row>
    <row r="595" spans="1:16" x14ac:dyDescent="0.25">
      <c r="A595" s="19" t="str">
        <f>VLOOKUP(LEFT(M595,3),Category!$G$3:$H$73,2,0)</f>
        <v>FACE SHIELD</v>
      </c>
      <c r="B595" s="7" t="str">
        <f t="shared" si="83"/>
        <v>FG-F10M</v>
      </c>
      <c r="C595" s="7" t="str">
        <f t="shared" si="84"/>
        <v>FACE SHIELD</v>
      </c>
      <c r="D595" s="25" t="str">
        <f t="shared" si="85"/>
        <v>1900-01-01</v>
      </c>
      <c r="E595" s="7">
        <f t="shared" si="86"/>
        <v>271950</v>
      </c>
      <c r="F595" s="6">
        <f t="shared" si="87"/>
        <v>0</v>
      </c>
      <c r="G595" s="7" t="str">
        <f t="shared" si="88"/>
        <v/>
      </c>
      <c r="I595" s="23">
        <f t="shared" si="90"/>
        <v>1900</v>
      </c>
      <c r="J595" s="23" t="str">
        <f t="shared" si="91"/>
        <v>01</v>
      </c>
      <c r="K595" s="23" t="str">
        <f t="shared" si="92"/>
        <v>1900-01-01</v>
      </c>
      <c r="M595" s="11" t="s">
        <v>1149</v>
      </c>
      <c r="N595" s="11" t="s">
        <v>1155</v>
      </c>
      <c r="P595" s="13">
        <v>271950</v>
      </c>
    </row>
    <row r="596" spans="1:16" x14ac:dyDescent="0.25">
      <c r="A596" s="19" t="str">
        <f>VLOOKUP(LEFT(M596,3),Category!$G$3:$H$73,2,0)</f>
        <v>FACE MASK</v>
      </c>
      <c r="B596" s="7" t="str">
        <f t="shared" si="83"/>
        <v>MA-9501-ID</v>
      </c>
      <c r="C596" s="7" t="str">
        <f t="shared" si="84"/>
        <v>MEDICAL MASK</v>
      </c>
      <c r="D596" s="25" t="str">
        <f t="shared" si="85"/>
        <v>1900-01-01</v>
      </c>
      <c r="E596" s="7">
        <f t="shared" si="86"/>
        <v>44400</v>
      </c>
      <c r="F596" s="6">
        <f t="shared" si="87"/>
        <v>0</v>
      </c>
      <c r="G596" s="7" t="str">
        <f t="shared" si="88"/>
        <v/>
      </c>
      <c r="I596" s="23">
        <f t="shared" si="90"/>
        <v>1900</v>
      </c>
      <c r="J596" s="23" t="str">
        <f t="shared" si="91"/>
        <v>01</v>
      </c>
      <c r="K596" s="23" t="str">
        <f t="shared" si="92"/>
        <v>1900-01-01</v>
      </c>
      <c r="M596" s="11" t="s">
        <v>1150</v>
      </c>
      <c r="N596" s="11" t="s">
        <v>1156</v>
      </c>
      <c r="P596" s="13">
        <v>44400</v>
      </c>
    </row>
    <row r="597" spans="1:16" x14ac:dyDescent="0.25">
      <c r="A597" s="19" t="str">
        <f>VLOOKUP(LEFT(M597,3),Category!$G$3:$H$73,2,0)</f>
        <v>FACE MASK</v>
      </c>
      <c r="B597" s="7" t="str">
        <f t="shared" si="83"/>
        <v>MA-950I</v>
      </c>
      <c r="C597" s="7" t="str">
        <f t="shared" si="84"/>
        <v>MEDICAL MASK</v>
      </c>
      <c r="D597" s="25" t="str">
        <f t="shared" si="85"/>
        <v>1900-01-01</v>
      </c>
      <c r="E597" s="7">
        <f t="shared" si="86"/>
        <v>22200</v>
      </c>
      <c r="F597" s="6">
        <f t="shared" si="87"/>
        <v>0</v>
      </c>
      <c r="G597" s="7" t="str">
        <f t="shared" si="88"/>
        <v/>
      </c>
      <c r="I597" s="23">
        <f t="shared" si="90"/>
        <v>1900</v>
      </c>
      <c r="J597" s="23" t="str">
        <f t="shared" si="91"/>
        <v>01</v>
      </c>
      <c r="K597" s="23" t="str">
        <f t="shared" si="92"/>
        <v>1900-01-01</v>
      </c>
      <c r="M597" s="11" t="s">
        <v>1151</v>
      </c>
      <c r="N597" s="11" t="s">
        <v>1156</v>
      </c>
      <c r="P597" s="13">
        <v>22200</v>
      </c>
    </row>
    <row r="598" spans="1:16" x14ac:dyDescent="0.25">
      <c r="A598" s="19" t="str">
        <f>VLOOKUP(LEFT(M598,3),Category!$G$3:$H$73,2,0)</f>
        <v>FACE MASK</v>
      </c>
      <c r="B598" s="7" t="str">
        <f t="shared" si="83"/>
        <v>MA-950I-IDR</v>
      </c>
      <c r="C598" s="7" t="str">
        <f t="shared" si="84"/>
        <v>MEDICAL MASK</v>
      </c>
      <c r="D598" s="25" t="str">
        <f t="shared" si="85"/>
        <v>1900-01-01</v>
      </c>
      <c r="E598" s="7">
        <f t="shared" si="86"/>
        <v>6660</v>
      </c>
      <c r="F598" s="6">
        <f t="shared" si="87"/>
        <v>0</v>
      </c>
      <c r="G598" s="7" t="str">
        <f t="shared" si="88"/>
        <v/>
      </c>
      <c r="I598" s="23">
        <f t="shared" si="90"/>
        <v>1900</v>
      </c>
      <c r="J598" s="23" t="str">
        <f t="shared" si="91"/>
        <v>01</v>
      </c>
      <c r="K598" s="23" t="str">
        <f t="shared" si="92"/>
        <v>1900-01-01</v>
      </c>
      <c r="M598" s="11" t="s">
        <v>526</v>
      </c>
      <c r="N598" s="11" t="s">
        <v>1156</v>
      </c>
      <c r="P598" s="13">
        <v>6660</v>
      </c>
    </row>
    <row r="599" spans="1:16" x14ac:dyDescent="0.25">
      <c r="A599" s="19" t="str">
        <f>VLOOKUP(LEFT(M599,3),Category!$G$3:$H$73,2,0)</f>
        <v>BICYCLE</v>
      </c>
      <c r="B599" s="7" t="str">
        <f t="shared" si="83"/>
        <v>BC-01EB</v>
      </c>
      <c r="C599" s="7" t="str">
        <f t="shared" si="84"/>
        <v>BICYCLE ELECTRIC BIKE</v>
      </c>
      <c r="D599" s="25" t="str">
        <f t="shared" si="85"/>
        <v>1900-01-01</v>
      </c>
      <c r="E599" s="7">
        <f t="shared" si="86"/>
        <v>6054544.9500000002</v>
      </c>
      <c r="F599" s="6">
        <f t="shared" si="87"/>
        <v>0</v>
      </c>
      <c r="G599" s="7" t="str">
        <f t="shared" si="88"/>
        <v/>
      </c>
      <c r="I599" s="23">
        <f t="shared" si="90"/>
        <v>1900</v>
      </c>
      <c r="J599" s="23" t="str">
        <f t="shared" si="91"/>
        <v>01</v>
      </c>
      <c r="K599" s="23" t="str">
        <f t="shared" si="92"/>
        <v>1900-01-01</v>
      </c>
      <c r="M599" s="11" t="s">
        <v>1152</v>
      </c>
      <c r="N599" s="11" t="s">
        <v>1157</v>
      </c>
      <c r="P599" s="32">
        <v>6054544.9500000002</v>
      </c>
    </row>
    <row r="600" spans="1:16" x14ac:dyDescent="0.25">
      <c r="A600" s="19" t="str">
        <f>VLOOKUP(LEFT(M600,3),Category!$G$3:$H$73,2,0)</f>
        <v>BICYCLE</v>
      </c>
      <c r="B600" s="7" t="str">
        <f t="shared" si="83"/>
        <v>BC-01FB</v>
      </c>
      <c r="C600" s="7" t="str">
        <f t="shared" si="84"/>
        <v>BICYCLE FOLDING BIKE BLACK</v>
      </c>
      <c r="D600" s="25" t="str">
        <f t="shared" si="85"/>
        <v>1900-01-01</v>
      </c>
      <c r="E600" s="7">
        <f t="shared" si="86"/>
        <v>4218000</v>
      </c>
      <c r="F600" s="6">
        <f t="shared" si="87"/>
        <v>0</v>
      </c>
      <c r="G600" s="7" t="str">
        <f t="shared" si="88"/>
        <v/>
      </c>
      <c r="I600" s="23">
        <f t="shared" si="90"/>
        <v>1900</v>
      </c>
      <c r="J600" s="23" t="str">
        <f t="shared" si="91"/>
        <v>01</v>
      </c>
      <c r="K600" s="23" t="str">
        <f t="shared" si="92"/>
        <v>1900-01-01</v>
      </c>
      <c r="M600" s="11" t="s">
        <v>1153</v>
      </c>
      <c r="N600" s="11" t="s">
        <v>1158</v>
      </c>
      <c r="P600" s="13">
        <v>4218000</v>
      </c>
    </row>
    <row r="601" spans="1:16" x14ac:dyDescent="0.25">
      <c r="A601" s="19" t="str">
        <f>VLOOKUP(LEFT(M601,3),Category!$G$3:$H$73,2,0)</f>
        <v>BICYCLE</v>
      </c>
      <c r="B601" s="7" t="str">
        <f t="shared" si="83"/>
        <v>BC-01FR</v>
      </c>
      <c r="C601" s="7" t="str">
        <f t="shared" si="84"/>
        <v>BICYCLE FOLDING BIKE RED</v>
      </c>
      <c r="D601" s="25" t="str">
        <f t="shared" si="85"/>
        <v>1900-01-01</v>
      </c>
      <c r="E601" s="7">
        <f t="shared" si="86"/>
        <v>4218000</v>
      </c>
      <c r="F601" s="6">
        <f t="shared" si="87"/>
        <v>0</v>
      </c>
      <c r="G601" s="7" t="str">
        <f t="shared" si="88"/>
        <v/>
      </c>
      <c r="I601" s="23">
        <f t="shared" si="90"/>
        <v>1900</v>
      </c>
      <c r="J601" s="23" t="str">
        <f t="shared" si="91"/>
        <v>01</v>
      </c>
      <c r="K601" s="23" t="str">
        <f t="shared" si="92"/>
        <v>1900-01-01</v>
      </c>
      <c r="M601" s="11" t="s">
        <v>1154</v>
      </c>
      <c r="N601" s="11" t="s">
        <v>1159</v>
      </c>
      <c r="P601" s="13">
        <v>4218000</v>
      </c>
    </row>
  </sheetData>
  <mergeCells count="1">
    <mergeCell ref="I3:K3"/>
  </mergeCells>
  <pageMargins left="0.7" right="0.7" top="0.75" bottom="0.75" header="0.3" footer="0.3"/>
  <pageSetup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526"/>
  <sheetViews>
    <sheetView tabSelected="1" topLeftCell="A43" workbookViewId="0">
      <selection activeCell="H56" sqref="H56:H59"/>
    </sheetView>
  </sheetViews>
  <sheetFormatPr defaultRowHeight="15" x14ac:dyDescent="0.25"/>
  <cols>
    <col min="1" max="1" width="5.140625" customWidth="1"/>
    <col min="2" max="2" width="17.85546875" bestFit="1" customWidth="1"/>
    <col min="3" max="3" width="12.140625" customWidth="1"/>
    <col min="4" max="4" width="24.28515625" customWidth="1"/>
    <col min="7" max="7" width="14.5703125" customWidth="1"/>
    <col min="8" max="8" width="27.28515625" bestFit="1" customWidth="1"/>
  </cols>
  <sheetData>
    <row r="2" spans="2:8" x14ac:dyDescent="0.25">
      <c r="B2" s="14" t="s">
        <v>20</v>
      </c>
      <c r="C2" s="14" t="s">
        <v>539</v>
      </c>
      <c r="D2" s="14" t="s">
        <v>19</v>
      </c>
      <c r="G2" s="15" t="s">
        <v>539</v>
      </c>
      <c r="H2" s="15" t="s">
        <v>19</v>
      </c>
    </row>
    <row r="3" spans="2:8" x14ac:dyDescent="0.25">
      <c r="B3" t="s">
        <v>169</v>
      </c>
      <c r="C3" t="str">
        <f t="shared" ref="C3:C66" si="0">LEFT(B3,3)</f>
        <v>2T-</v>
      </c>
      <c r="D3" t="s">
        <v>538</v>
      </c>
      <c r="G3" s="16" t="s">
        <v>559</v>
      </c>
      <c r="H3" s="16" t="s">
        <v>538</v>
      </c>
    </row>
    <row r="4" spans="2:8" x14ac:dyDescent="0.25">
      <c r="B4" t="s">
        <v>221</v>
      </c>
      <c r="C4" t="str">
        <f t="shared" si="0"/>
        <v>2T-</v>
      </c>
      <c r="D4" t="s">
        <v>538</v>
      </c>
      <c r="G4" s="17" t="s">
        <v>560</v>
      </c>
      <c r="H4" s="17" t="s">
        <v>538</v>
      </c>
    </row>
    <row r="5" spans="2:8" x14ac:dyDescent="0.25">
      <c r="B5" t="s">
        <v>222</v>
      </c>
      <c r="C5" t="str">
        <f t="shared" si="0"/>
        <v>2T-</v>
      </c>
      <c r="D5" t="s">
        <v>538</v>
      </c>
      <c r="G5" s="17" t="s">
        <v>561</v>
      </c>
      <c r="H5" s="17" t="s">
        <v>538</v>
      </c>
    </row>
    <row r="6" spans="2:8" x14ac:dyDescent="0.25">
      <c r="B6" t="s">
        <v>223</v>
      </c>
      <c r="C6" t="str">
        <f t="shared" si="0"/>
        <v>2T-</v>
      </c>
      <c r="D6" t="s">
        <v>538</v>
      </c>
      <c r="G6" s="17" t="s">
        <v>562</v>
      </c>
      <c r="H6" s="17" t="s">
        <v>540</v>
      </c>
    </row>
    <row r="7" spans="2:8" x14ac:dyDescent="0.25">
      <c r="B7" t="s">
        <v>140</v>
      </c>
      <c r="C7" t="str">
        <f t="shared" si="0"/>
        <v>2T-</v>
      </c>
      <c r="D7" t="s">
        <v>538</v>
      </c>
      <c r="G7" s="17" t="s">
        <v>563</v>
      </c>
      <c r="H7" s="17" t="s">
        <v>541</v>
      </c>
    </row>
    <row r="8" spans="2:8" x14ac:dyDescent="0.25">
      <c r="B8" t="s">
        <v>141</v>
      </c>
      <c r="C8" t="str">
        <f t="shared" si="0"/>
        <v>2T-</v>
      </c>
      <c r="D8" t="s">
        <v>538</v>
      </c>
      <c r="G8" s="17" t="s">
        <v>564</v>
      </c>
      <c r="H8" s="17" t="s">
        <v>542</v>
      </c>
    </row>
    <row r="9" spans="2:8" x14ac:dyDescent="0.25">
      <c r="B9" t="s">
        <v>102</v>
      </c>
      <c r="C9" t="str">
        <f t="shared" si="0"/>
        <v>2T-</v>
      </c>
      <c r="D9" t="s">
        <v>538</v>
      </c>
      <c r="G9" s="17" t="s">
        <v>1171</v>
      </c>
      <c r="H9" s="17" t="s">
        <v>1172</v>
      </c>
    </row>
    <row r="10" spans="2:8" x14ac:dyDescent="0.25">
      <c r="B10" t="s">
        <v>224</v>
      </c>
      <c r="C10" t="str">
        <f t="shared" si="0"/>
        <v>2T-</v>
      </c>
      <c r="D10" t="s">
        <v>538</v>
      </c>
      <c r="G10" s="17" t="s">
        <v>565</v>
      </c>
      <c r="H10" s="17" t="s">
        <v>541</v>
      </c>
    </row>
    <row r="11" spans="2:8" x14ac:dyDescent="0.25">
      <c r="B11" t="s">
        <v>225</v>
      </c>
      <c r="C11" t="str">
        <f t="shared" si="0"/>
        <v>2T-</v>
      </c>
      <c r="D11" t="s">
        <v>538</v>
      </c>
      <c r="G11" s="17" t="s">
        <v>566</v>
      </c>
      <c r="H11" s="17" t="s">
        <v>541</v>
      </c>
    </row>
    <row r="12" spans="2:8" x14ac:dyDescent="0.25">
      <c r="B12" t="s">
        <v>226</v>
      </c>
      <c r="C12" t="str">
        <f t="shared" si="0"/>
        <v>2T-</v>
      </c>
      <c r="D12" t="s">
        <v>538</v>
      </c>
      <c r="G12" s="17" t="s">
        <v>623</v>
      </c>
      <c r="H12" s="17" t="s">
        <v>540</v>
      </c>
    </row>
    <row r="13" spans="2:8" x14ac:dyDescent="0.25">
      <c r="B13" t="s">
        <v>122</v>
      </c>
      <c r="C13" t="str">
        <f t="shared" si="0"/>
        <v>2T-</v>
      </c>
      <c r="D13" t="s">
        <v>538</v>
      </c>
      <c r="G13" s="17" t="s">
        <v>567</v>
      </c>
      <c r="H13" s="17" t="s">
        <v>543</v>
      </c>
    </row>
    <row r="14" spans="2:8" x14ac:dyDescent="0.25">
      <c r="B14" t="s">
        <v>434</v>
      </c>
      <c r="C14" t="str">
        <f t="shared" si="0"/>
        <v>2T-</v>
      </c>
      <c r="D14" t="s">
        <v>538</v>
      </c>
      <c r="G14" s="17" t="s">
        <v>568</v>
      </c>
      <c r="H14" s="17" t="s">
        <v>543</v>
      </c>
    </row>
    <row r="15" spans="2:8" x14ac:dyDescent="0.25">
      <c r="B15" t="s">
        <v>435</v>
      </c>
      <c r="C15" t="str">
        <f t="shared" si="0"/>
        <v>2T-</v>
      </c>
      <c r="D15" t="s">
        <v>538</v>
      </c>
      <c r="G15" s="17" t="s">
        <v>632</v>
      </c>
      <c r="H15" s="17" t="s">
        <v>633</v>
      </c>
    </row>
    <row r="16" spans="2:8" x14ac:dyDescent="0.25">
      <c r="B16" t="s">
        <v>103</v>
      </c>
      <c r="C16" t="str">
        <f t="shared" si="0"/>
        <v>2T-</v>
      </c>
      <c r="D16" t="s">
        <v>538</v>
      </c>
      <c r="G16" s="17" t="s">
        <v>569</v>
      </c>
      <c r="H16" s="17" t="s">
        <v>544</v>
      </c>
    </row>
    <row r="17" spans="2:8" x14ac:dyDescent="0.25">
      <c r="B17" t="s">
        <v>191</v>
      </c>
      <c r="C17" t="str">
        <f t="shared" si="0"/>
        <v>2T-</v>
      </c>
      <c r="D17" t="s">
        <v>538</v>
      </c>
      <c r="G17" s="17" t="s">
        <v>570</v>
      </c>
      <c r="H17" s="17" t="s">
        <v>545</v>
      </c>
    </row>
    <row r="18" spans="2:8" x14ac:dyDescent="0.25">
      <c r="B18" t="s">
        <v>123</v>
      </c>
      <c r="C18" t="str">
        <f t="shared" si="0"/>
        <v>2T-</v>
      </c>
      <c r="D18" t="s">
        <v>538</v>
      </c>
      <c r="G18" s="17" t="s">
        <v>571</v>
      </c>
      <c r="H18" s="17" t="s">
        <v>545</v>
      </c>
    </row>
    <row r="19" spans="2:8" x14ac:dyDescent="0.25">
      <c r="B19" t="s">
        <v>433</v>
      </c>
      <c r="C19" t="str">
        <f t="shared" si="0"/>
        <v>2T-</v>
      </c>
      <c r="D19" t="s">
        <v>538</v>
      </c>
      <c r="G19" s="17" t="s">
        <v>572</v>
      </c>
      <c r="H19" s="17" t="s">
        <v>545</v>
      </c>
    </row>
    <row r="20" spans="2:8" x14ac:dyDescent="0.25">
      <c r="B20" t="s">
        <v>104</v>
      </c>
      <c r="C20" t="str">
        <f t="shared" si="0"/>
        <v>2T-</v>
      </c>
      <c r="D20" t="s">
        <v>538</v>
      </c>
      <c r="G20" s="17" t="s">
        <v>573</v>
      </c>
      <c r="H20" s="17" t="s">
        <v>545</v>
      </c>
    </row>
    <row r="21" spans="2:8" x14ac:dyDescent="0.25">
      <c r="B21" t="s">
        <v>124</v>
      </c>
      <c r="C21" t="str">
        <f t="shared" si="0"/>
        <v>2T-</v>
      </c>
      <c r="D21" t="s">
        <v>538</v>
      </c>
      <c r="G21" s="17" t="s">
        <v>574</v>
      </c>
      <c r="H21" s="17" t="s">
        <v>545</v>
      </c>
    </row>
    <row r="22" spans="2:8" x14ac:dyDescent="0.25">
      <c r="B22" t="s">
        <v>451</v>
      </c>
      <c r="C22" t="str">
        <f t="shared" si="0"/>
        <v>4T-</v>
      </c>
      <c r="D22" t="s">
        <v>538</v>
      </c>
      <c r="G22" s="17" t="s">
        <v>575</v>
      </c>
      <c r="H22" s="17" t="s">
        <v>546</v>
      </c>
    </row>
    <row r="23" spans="2:8" x14ac:dyDescent="0.25">
      <c r="B23" t="s">
        <v>333</v>
      </c>
      <c r="C23" t="str">
        <f t="shared" si="0"/>
        <v>4T-</v>
      </c>
      <c r="D23" t="s">
        <v>538</v>
      </c>
      <c r="G23" s="17" t="s">
        <v>1170</v>
      </c>
      <c r="H23" s="17" t="s">
        <v>1155</v>
      </c>
    </row>
    <row r="24" spans="2:8" x14ac:dyDescent="0.25">
      <c r="B24" t="s">
        <v>246</v>
      </c>
      <c r="C24" t="str">
        <f t="shared" si="0"/>
        <v>4T-</v>
      </c>
      <c r="D24" t="s">
        <v>538</v>
      </c>
      <c r="G24" s="17" t="s">
        <v>576</v>
      </c>
      <c r="H24" s="17" t="s">
        <v>547</v>
      </c>
    </row>
    <row r="25" spans="2:8" x14ac:dyDescent="0.25">
      <c r="B25" t="s">
        <v>125</v>
      </c>
      <c r="C25" t="str">
        <f t="shared" si="0"/>
        <v>4T-</v>
      </c>
      <c r="D25" t="s">
        <v>538</v>
      </c>
      <c r="G25" s="17" t="s">
        <v>577</v>
      </c>
      <c r="H25" s="17" t="s">
        <v>548</v>
      </c>
    </row>
    <row r="26" spans="2:8" x14ac:dyDescent="0.25">
      <c r="B26" t="s">
        <v>392</v>
      </c>
      <c r="C26" t="str">
        <f t="shared" si="0"/>
        <v>4T-</v>
      </c>
      <c r="D26" t="s">
        <v>538</v>
      </c>
      <c r="G26" s="17" t="s">
        <v>578</v>
      </c>
      <c r="H26" s="17" t="s">
        <v>547</v>
      </c>
    </row>
    <row r="27" spans="2:8" x14ac:dyDescent="0.25">
      <c r="B27" t="s">
        <v>334</v>
      </c>
      <c r="C27" t="str">
        <f t="shared" si="0"/>
        <v>4T-</v>
      </c>
      <c r="D27" t="s">
        <v>538</v>
      </c>
      <c r="G27" s="17" t="s">
        <v>579</v>
      </c>
      <c r="H27" s="17" t="s">
        <v>547</v>
      </c>
    </row>
    <row r="28" spans="2:8" x14ac:dyDescent="0.25">
      <c r="B28" t="s">
        <v>247</v>
      </c>
      <c r="C28" t="str">
        <f t="shared" si="0"/>
        <v>4T-</v>
      </c>
      <c r="D28" t="s">
        <v>538</v>
      </c>
      <c r="G28" s="17" t="s">
        <v>580</v>
      </c>
      <c r="H28" s="17" t="s">
        <v>538</v>
      </c>
    </row>
    <row r="29" spans="2:8" x14ac:dyDescent="0.25">
      <c r="B29" t="s">
        <v>126</v>
      </c>
      <c r="C29" t="str">
        <f t="shared" si="0"/>
        <v>4T-</v>
      </c>
      <c r="D29" t="s">
        <v>538</v>
      </c>
      <c r="G29" s="17" t="s">
        <v>581</v>
      </c>
      <c r="H29" s="17" t="s">
        <v>548</v>
      </c>
    </row>
    <row r="30" spans="2:8" x14ac:dyDescent="0.25">
      <c r="B30" t="s">
        <v>118</v>
      </c>
      <c r="C30" t="str">
        <f t="shared" si="0"/>
        <v>4T-</v>
      </c>
      <c r="D30" t="s">
        <v>538</v>
      </c>
      <c r="G30" s="17" t="s">
        <v>582</v>
      </c>
      <c r="H30" s="17" t="s">
        <v>548</v>
      </c>
    </row>
    <row r="31" spans="2:8" x14ac:dyDescent="0.25">
      <c r="B31" t="s">
        <v>335</v>
      </c>
      <c r="C31" t="str">
        <f t="shared" si="0"/>
        <v>4T-</v>
      </c>
      <c r="D31" t="s">
        <v>538</v>
      </c>
      <c r="G31" s="17" t="s">
        <v>583</v>
      </c>
      <c r="H31" s="17" t="s">
        <v>540</v>
      </c>
    </row>
    <row r="32" spans="2:8" x14ac:dyDescent="0.25">
      <c r="B32" t="s">
        <v>336</v>
      </c>
      <c r="C32" t="str">
        <f t="shared" si="0"/>
        <v>4T-</v>
      </c>
      <c r="D32" t="s">
        <v>538</v>
      </c>
      <c r="G32" s="17" t="s">
        <v>584</v>
      </c>
      <c r="H32" s="17" t="s">
        <v>540</v>
      </c>
    </row>
    <row r="33" spans="2:8" x14ac:dyDescent="0.25">
      <c r="B33" t="s">
        <v>337</v>
      </c>
      <c r="C33" t="str">
        <f t="shared" si="0"/>
        <v>8T-</v>
      </c>
      <c r="D33" t="s">
        <v>538</v>
      </c>
      <c r="G33" s="17" t="s">
        <v>585</v>
      </c>
      <c r="H33" s="17" t="s">
        <v>540</v>
      </c>
    </row>
    <row r="34" spans="2:8" x14ac:dyDescent="0.25">
      <c r="B34" t="s">
        <v>338</v>
      </c>
      <c r="C34" t="str">
        <f t="shared" si="0"/>
        <v>8T-</v>
      </c>
      <c r="D34" t="s">
        <v>538</v>
      </c>
      <c r="G34" s="17" t="s">
        <v>586</v>
      </c>
      <c r="H34" s="17" t="s">
        <v>545</v>
      </c>
    </row>
    <row r="35" spans="2:8" x14ac:dyDescent="0.25">
      <c r="B35" t="s">
        <v>139</v>
      </c>
      <c r="C35" t="str">
        <f t="shared" si="0"/>
        <v>8T-</v>
      </c>
      <c r="D35" t="s">
        <v>538</v>
      </c>
      <c r="G35" s="17" t="s">
        <v>587</v>
      </c>
      <c r="H35" s="17" t="s">
        <v>541</v>
      </c>
    </row>
    <row r="36" spans="2:8" x14ac:dyDescent="0.25">
      <c r="B36" t="s">
        <v>498</v>
      </c>
      <c r="C36" t="str">
        <f t="shared" si="0"/>
        <v>AH-</v>
      </c>
      <c r="D36" t="s">
        <v>540</v>
      </c>
      <c r="G36" s="17" t="s">
        <v>588</v>
      </c>
      <c r="H36" s="17" t="s">
        <v>549</v>
      </c>
    </row>
    <row r="37" spans="2:8" x14ac:dyDescent="0.25">
      <c r="B37" t="s">
        <v>321</v>
      </c>
      <c r="C37" t="str">
        <f t="shared" si="0"/>
        <v>AH-</v>
      </c>
      <c r="D37" t="s">
        <v>540</v>
      </c>
      <c r="G37" s="17" t="s">
        <v>589</v>
      </c>
      <c r="H37" s="17" t="s">
        <v>548</v>
      </c>
    </row>
    <row r="38" spans="2:8" x14ac:dyDescent="0.25">
      <c r="B38" t="s">
        <v>427</v>
      </c>
      <c r="C38" t="str">
        <f t="shared" si="0"/>
        <v>AH-</v>
      </c>
      <c r="D38" t="s">
        <v>540</v>
      </c>
      <c r="G38" s="17" t="s">
        <v>590</v>
      </c>
      <c r="H38" s="17" t="s">
        <v>548</v>
      </c>
    </row>
    <row r="39" spans="2:8" x14ac:dyDescent="0.25">
      <c r="B39" t="s">
        <v>227</v>
      </c>
      <c r="C39" t="str">
        <f t="shared" si="0"/>
        <v>AH-</v>
      </c>
      <c r="D39" t="s">
        <v>540</v>
      </c>
      <c r="G39" s="17" t="s">
        <v>591</v>
      </c>
      <c r="H39" s="17" t="s">
        <v>546</v>
      </c>
    </row>
    <row r="40" spans="2:8" x14ac:dyDescent="0.25">
      <c r="B40" t="s">
        <v>322</v>
      </c>
      <c r="C40" t="str">
        <f t="shared" si="0"/>
        <v>AH-</v>
      </c>
      <c r="D40" t="s">
        <v>540</v>
      </c>
      <c r="G40" s="17" t="s">
        <v>1137</v>
      </c>
      <c r="H40" s="17" t="s">
        <v>627</v>
      </c>
    </row>
    <row r="41" spans="2:8" x14ac:dyDescent="0.25">
      <c r="B41" t="s">
        <v>474</v>
      </c>
      <c r="C41" t="str">
        <f t="shared" si="0"/>
        <v>AH-</v>
      </c>
      <c r="D41" t="s">
        <v>540</v>
      </c>
      <c r="G41" s="17" t="s">
        <v>592</v>
      </c>
      <c r="H41" s="17" t="s">
        <v>548</v>
      </c>
    </row>
    <row r="42" spans="2:8" x14ac:dyDescent="0.25">
      <c r="B42" t="s">
        <v>5</v>
      </c>
      <c r="C42" t="str">
        <f t="shared" si="0"/>
        <v>AH-</v>
      </c>
      <c r="D42" t="s">
        <v>540</v>
      </c>
      <c r="G42" s="17" t="s">
        <v>593</v>
      </c>
      <c r="H42" s="17" t="s">
        <v>550</v>
      </c>
    </row>
    <row r="43" spans="2:8" x14ac:dyDescent="0.25">
      <c r="B43" t="s">
        <v>323</v>
      </c>
      <c r="C43" t="str">
        <f t="shared" si="0"/>
        <v>AH-</v>
      </c>
      <c r="D43" t="s">
        <v>540</v>
      </c>
      <c r="G43" s="17" t="s">
        <v>594</v>
      </c>
      <c r="H43" s="17" t="s">
        <v>551</v>
      </c>
    </row>
    <row r="44" spans="2:8" x14ac:dyDescent="0.25">
      <c r="B44" t="s">
        <v>142</v>
      </c>
      <c r="C44" t="str">
        <f t="shared" si="0"/>
        <v>AH-</v>
      </c>
      <c r="D44" t="s">
        <v>540</v>
      </c>
      <c r="G44" s="17" t="s">
        <v>595</v>
      </c>
      <c r="H44" s="17" t="s">
        <v>551</v>
      </c>
    </row>
    <row r="45" spans="2:8" x14ac:dyDescent="0.25">
      <c r="B45" t="s">
        <v>129</v>
      </c>
      <c r="C45" t="str">
        <f t="shared" si="0"/>
        <v>AH-</v>
      </c>
      <c r="D45" t="s">
        <v>540</v>
      </c>
      <c r="G45" s="17" t="s">
        <v>596</v>
      </c>
      <c r="H45" s="17" t="s">
        <v>545</v>
      </c>
    </row>
    <row r="46" spans="2:8" x14ac:dyDescent="0.25">
      <c r="B46" t="s">
        <v>3</v>
      </c>
      <c r="C46" t="str">
        <f t="shared" si="0"/>
        <v>AH-</v>
      </c>
      <c r="D46" t="s">
        <v>540</v>
      </c>
      <c r="G46" s="17" t="s">
        <v>597</v>
      </c>
      <c r="H46" s="17" t="s">
        <v>545</v>
      </c>
    </row>
    <row r="47" spans="2:8" x14ac:dyDescent="0.25">
      <c r="B47" t="s">
        <v>499</v>
      </c>
      <c r="C47" t="str">
        <f t="shared" si="0"/>
        <v>AH-</v>
      </c>
      <c r="D47" t="s">
        <v>540</v>
      </c>
      <c r="G47" s="17" t="s">
        <v>598</v>
      </c>
      <c r="H47" s="17" t="s">
        <v>538</v>
      </c>
    </row>
    <row r="48" spans="2:8" x14ac:dyDescent="0.25">
      <c r="B48" t="s">
        <v>324</v>
      </c>
      <c r="C48" t="str">
        <f t="shared" si="0"/>
        <v>AH-</v>
      </c>
      <c r="D48" t="s">
        <v>540</v>
      </c>
      <c r="G48" s="17" t="s">
        <v>599</v>
      </c>
      <c r="H48" s="17" t="s">
        <v>552</v>
      </c>
    </row>
    <row r="49" spans="2:8" x14ac:dyDescent="0.25">
      <c r="B49" t="s">
        <v>143</v>
      </c>
      <c r="C49" t="str">
        <f t="shared" si="0"/>
        <v>AH-</v>
      </c>
      <c r="D49" t="s">
        <v>540</v>
      </c>
      <c r="G49" s="17" t="s">
        <v>600</v>
      </c>
      <c r="H49" s="17" t="s">
        <v>553</v>
      </c>
    </row>
    <row r="50" spans="2:8" x14ac:dyDescent="0.25">
      <c r="B50" t="s">
        <v>130</v>
      </c>
      <c r="C50" t="str">
        <f t="shared" si="0"/>
        <v>AH-</v>
      </c>
      <c r="D50" t="s">
        <v>540</v>
      </c>
      <c r="G50" s="17" t="s">
        <v>601</v>
      </c>
      <c r="H50" s="17" t="s">
        <v>553</v>
      </c>
    </row>
    <row r="51" spans="2:8" x14ac:dyDescent="0.25">
      <c r="B51" t="s">
        <v>2</v>
      </c>
      <c r="C51" t="str">
        <f t="shared" si="0"/>
        <v>AH-</v>
      </c>
      <c r="D51" t="s">
        <v>540</v>
      </c>
      <c r="G51" s="17" t="s">
        <v>1138</v>
      </c>
      <c r="H51" s="17" t="s">
        <v>553</v>
      </c>
    </row>
    <row r="52" spans="2:8" x14ac:dyDescent="0.25">
      <c r="B52" t="s">
        <v>12</v>
      </c>
      <c r="C52" t="str">
        <f t="shared" si="0"/>
        <v>AH-</v>
      </c>
      <c r="D52" t="s">
        <v>540</v>
      </c>
      <c r="G52" s="17" t="s">
        <v>602</v>
      </c>
      <c r="H52" s="17" t="s">
        <v>540</v>
      </c>
    </row>
    <row r="53" spans="2:8" x14ac:dyDescent="0.25">
      <c r="B53" t="s">
        <v>325</v>
      </c>
      <c r="C53" t="str">
        <f t="shared" si="0"/>
        <v>AH-</v>
      </c>
      <c r="D53" t="s">
        <v>540</v>
      </c>
      <c r="G53" s="17" t="s">
        <v>603</v>
      </c>
      <c r="H53" s="17" t="s">
        <v>540</v>
      </c>
    </row>
    <row r="54" spans="2:8" x14ac:dyDescent="0.25">
      <c r="B54" t="s">
        <v>144</v>
      </c>
      <c r="C54" t="str">
        <f t="shared" si="0"/>
        <v>AH-</v>
      </c>
      <c r="D54" t="s">
        <v>540</v>
      </c>
      <c r="G54" s="17" t="s">
        <v>604</v>
      </c>
      <c r="H54" s="17" t="s">
        <v>554</v>
      </c>
    </row>
    <row r="55" spans="2:8" x14ac:dyDescent="0.25">
      <c r="B55" t="s">
        <v>131</v>
      </c>
      <c r="C55" t="str">
        <f t="shared" si="0"/>
        <v>AH-</v>
      </c>
      <c r="D55" t="s">
        <v>540</v>
      </c>
      <c r="G55" s="17" t="s">
        <v>605</v>
      </c>
      <c r="H55" s="17" t="s">
        <v>541</v>
      </c>
    </row>
    <row r="56" spans="2:8" x14ac:dyDescent="0.25">
      <c r="B56" t="s">
        <v>1</v>
      </c>
      <c r="C56" t="str">
        <f t="shared" si="0"/>
        <v>AH-</v>
      </c>
      <c r="D56" t="s">
        <v>540</v>
      </c>
      <c r="G56" s="17" t="s">
        <v>628</v>
      </c>
      <c r="H56" s="17" t="s">
        <v>1177</v>
      </c>
    </row>
    <row r="57" spans="2:8" x14ac:dyDescent="0.25">
      <c r="B57" t="s">
        <v>127</v>
      </c>
      <c r="C57" t="str">
        <f t="shared" si="0"/>
        <v>AH-</v>
      </c>
      <c r="D57" t="s">
        <v>540</v>
      </c>
      <c r="G57" s="17" t="s">
        <v>629</v>
      </c>
      <c r="H57" s="17" t="s">
        <v>1177</v>
      </c>
    </row>
    <row r="58" spans="2:8" x14ac:dyDescent="0.25">
      <c r="B58" t="s">
        <v>326</v>
      </c>
      <c r="C58" t="str">
        <f t="shared" si="0"/>
        <v>AH-</v>
      </c>
      <c r="D58" t="s">
        <v>540</v>
      </c>
      <c r="G58" s="17" t="s">
        <v>630</v>
      </c>
      <c r="H58" s="17" t="s">
        <v>1177</v>
      </c>
    </row>
    <row r="59" spans="2:8" x14ac:dyDescent="0.25">
      <c r="B59" t="s">
        <v>6</v>
      </c>
      <c r="C59" t="str">
        <f t="shared" si="0"/>
        <v>AH-</v>
      </c>
      <c r="D59" t="s">
        <v>540</v>
      </c>
      <c r="G59" s="17" t="s">
        <v>631</v>
      </c>
      <c r="H59" s="17" t="s">
        <v>1177</v>
      </c>
    </row>
    <row r="60" spans="2:8" x14ac:dyDescent="0.25">
      <c r="B60" t="s">
        <v>4</v>
      </c>
      <c r="C60" t="str">
        <f t="shared" si="0"/>
        <v>AH-</v>
      </c>
      <c r="D60" t="s">
        <v>540</v>
      </c>
      <c r="G60" s="17" t="s">
        <v>606</v>
      </c>
      <c r="H60" s="17" t="s">
        <v>555</v>
      </c>
    </row>
    <row r="61" spans="2:8" x14ac:dyDescent="0.25">
      <c r="B61" t="s">
        <v>9</v>
      </c>
      <c r="C61" t="str">
        <f t="shared" si="0"/>
        <v>AH-</v>
      </c>
      <c r="D61" t="s">
        <v>540</v>
      </c>
      <c r="G61" s="17" t="s">
        <v>624</v>
      </c>
      <c r="H61" s="17" t="s">
        <v>555</v>
      </c>
    </row>
    <row r="62" spans="2:8" x14ac:dyDescent="0.25">
      <c r="B62" t="s">
        <v>327</v>
      </c>
      <c r="C62" t="str">
        <f t="shared" si="0"/>
        <v>AH-</v>
      </c>
      <c r="D62" t="s">
        <v>540</v>
      </c>
      <c r="G62" s="17" t="s">
        <v>625</v>
      </c>
      <c r="H62" s="17" t="s">
        <v>555</v>
      </c>
    </row>
    <row r="63" spans="2:8" x14ac:dyDescent="0.25">
      <c r="B63" t="s">
        <v>10</v>
      </c>
      <c r="C63" t="str">
        <f t="shared" si="0"/>
        <v>AH-</v>
      </c>
      <c r="D63" t="s">
        <v>540</v>
      </c>
      <c r="G63" s="17" t="s">
        <v>607</v>
      </c>
      <c r="H63" s="17" t="s">
        <v>555</v>
      </c>
    </row>
    <row r="64" spans="2:8" x14ac:dyDescent="0.25">
      <c r="B64" t="s">
        <v>8</v>
      </c>
      <c r="C64" t="str">
        <f t="shared" si="0"/>
        <v>AH-</v>
      </c>
      <c r="D64" t="s">
        <v>540</v>
      </c>
      <c r="G64" s="17" t="s">
        <v>608</v>
      </c>
      <c r="H64" s="17" t="s">
        <v>555</v>
      </c>
    </row>
    <row r="65" spans="2:8" x14ac:dyDescent="0.25">
      <c r="B65" t="s">
        <v>192</v>
      </c>
      <c r="C65" t="str">
        <f t="shared" si="0"/>
        <v>AH-</v>
      </c>
      <c r="D65" t="s">
        <v>540</v>
      </c>
      <c r="G65" s="17" t="s">
        <v>609</v>
      </c>
      <c r="H65" s="17" t="s">
        <v>555</v>
      </c>
    </row>
    <row r="66" spans="2:8" x14ac:dyDescent="0.25">
      <c r="B66" t="s">
        <v>208</v>
      </c>
      <c r="C66" t="str">
        <f t="shared" si="0"/>
        <v>AH-</v>
      </c>
      <c r="D66" t="s">
        <v>540</v>
      </c>
      <c r="G66" s="17" t="s">
        <v>626</v>
      </c>
      <c r="H66" s="17" t="s">
        <v>555</v>
      </c>
    </row>
    <row r="67" spans="2:8" x14ac:dyDescent="0.25">
      <c r="B67" t="s">
        <v>193</v>
      </c>
      <c r="C67" t="str">
        <f t="shared" ref="C67:C130" si="1">LEFT(B67,3)</f>
        <v>AH-</v>
      </c>
      <c r="D67" t="s">
        <v>540</v>
      </c>
      <c r="G67" s="17" t="s">
        <v>610</v>
      </c>
      <c r="H67" s="17" t="s">
        <v>545</v>
      </c>
    </row>
    <row r="68" spans="2:8" x14ac:dyDescent="0.25">
      <c r="B68" t="s">
        <v>209</v>
      </c>
      <c r="C68" t="str">
        <f t="shared" si="1"/>
        <v>AH-</v>
      </c>
      <c r="D68" t="s">
        <v>540</v>
      </c>
      <c r="G68" s="17" t="s">
        <v>611</v>
      </c>
      <c r="H68" s="17" t="s">
        <v>547</v>
      </c>
    </row>
    <row r="69" spans="2:8" x14ac:dyDescent="0.25">
      <c r="B69" t="s">
        <v>194</v>
      </c>
      <c r="C69" t="str">
        <f t="shared" si="1"/>
        <v>AH-</v>
      </c>
      <c r="D69" t="s">
        <v>540</v>
      </c>
      <c r="G69" s="17" t="s">
        <v>612</v>
      </c>
      <c r="H69" s="17" t="s">
        <v>556</v>
      </c>
    </row>
    <row r="70" spans="2:8" x14ac:dyDescent="0.25">
      <c r="B70" t="s">
        <v>210</v>
      </c>
      <c r="C70" t="str">
        <f t="shared" si="1"/>
        <v>AH-</v>
      </c>
      <c r="D70" t="s">
        <v>540</v>
      </c>
      <c r="G70" s="17" t="s">
        <v>613</v>
      </c>
      <c r="H70" s="17" t="s">
        <v>547</v>
      </c>
    </row>
    <row r="71" spans="2:8" x14ac:dyDescent="0.25">
      <c r="B71" t="s">
        <v>7</v>
      </c>
      <c r="C71" t="str">
        <f t="shared" si="1"/>
        <v>AH-</v>
      </c>
      <c r="D71" t="s">
        <v>540</v>
      </c>
      <c r="G71" s="17" t="s">
        <v>614</v>
      </c>
      <c r="H71" s="17" t="s">
        <v>557</v>
      </c>
    </row>
    <row r="72" spans="2:8" x14ac:dyDescent="0.25">
      <c r="B72" t="s">
        <v>211</v>
      </c>
      <c r="C72" t="str">
        <f t="shared" si="1"/>
        <v>AH-</v>
      </c>
      <c r="D72" t="s">
        <v>540</v>
      </c>
      <c r="G72" s="17" t="s">
        <v>615</v>
      </c>
      <c r="H72" s="17" t="s">
        <v>538</v>
      </c>
    </row>
    <row r="73" spans="2:8" x14ac:dyDescent="0.25">
      <c r="B73" t="s">
        <v>250</v>
      </c>
      <c r="C73" t="str">
        <f t="shared" si="1"/>
        <v>AH-</v>
      </c>
      <c r="D73" t="s">
        <v>540</v>
      </c>
      <c r="G73" s="18" t="s">
        <v>616</v>
      </c>
      <c r="H73" s="18" t="s">
        <v>558</v>
      </c>
    </row>
    <row r="74" spans="2:8" x14ac:dyDescent="0.25">
      <c r="B74" t="s">
        <v>254</v>
      </c>
      <c r="C74" t="str">
        <f t="shared" si="1"/>
        <v>AH-</v>
      </c>
      <c r="D74" t="s">
        <v>540</v>
      </c>
    </row>
    <row r="75" spans="2:8" x14ac:dyDescent="0.25">
      <c r="B75" t="s">
        <v>412</v>
      </c>
      <c r="C75" t="str">
        <f t="shared" si="1"/>
        <v>AH-</v>
      </c>
      <c r="D75" t="s">
        <v>540</v>
      </c>
    </row>
    <row r="76" spans="2:8" x14ac:dyDescent="0.25">
      <c r="B76" t="s">
        <v>255</v>
      </c>
      <c r="C76" t="str">
        <f t="shared" si="1"/>
        <v>AH-</v>
      </c>
      <c r="D76" t="s">
        <v>540</v>
      </c>
    </row>
    <row r="77" spans="2:8" x14ac:dyDescent="0.25">
      <c r="B77" t="s">
        <v>413</v>
      </c>
      <c r="C77" t="str">
        <f t="shared" si="1"/>
        <v>AH-</v>
      </c>
      <c r="D77" t="s">
        <v>540</v>
      </c>
    </row>
    <row r="78" spans="2:8" x14ac:dyDescent="0.25">
      <c r="B78" t="s">
        <v>11</v>
      </c>
      <c r="C78" t="str">
        <f t="shared" si="1"/>
        <v>AH-</v>
      </c>
      <c r="D78" t="s">
        <v>540</v>
      </c>
    </row>
    <row r="79" spans="2:8" x14ac:dyDescent="0.25">
      <c r="B79" t="s">
        <v>414</v>
      </c>
      <c r="C79" t="str">
        <f t="shared" si="1"/>
        <v>AH-</v>
      </c>
      <c r="D79" t="s">
        <v>540</v>
      </c>
    </row>
    <row r="80" spans="2:8" x14ac:dyDescent="0.25">
      <c r="B80" t="s">
        <v>452</v>
      </c>
      <c r="C80" t="str">
        <f t="shared" si="1"/>
        <v>AN-</v>
      </c>
      <c r="D80" t="s">
        <v>541</v>
      </c>
    </row>
    <row r="81" spans="2:4" x14ac:dyDescent="0.25">
      <c r="B81" t="s">
        <v>453</v>
      </c>
      <c r="C81" t="str">
        <f t="shared" si="1"/>
        <v>AN-</v>
      </c>
      <c r="D81" t="s">
        <v>541</v>
      </c>
    </row>
    <row r="82" spans="2:4" x14ac:dyDescent="0.25">
      <c r="B82" t="s">
        <v>454</v>
      </c>
      <c r="C82" t="str">
        <f t="shared" si="1"/>
        <v>AN-</v>
      </c>
      <c r="D82" t="s">
        <v>541</v>
      </c>
    </row>
    <row r="83" spans="2:4" x14ac:dyDescent="0.25">
      <c r="B83" t="s">
        <v>455</v>
      </c>
      <c r="C83" t="str">
        <f t="shared" si="1"/>
        <v>AN-</v>
      </c>
      <c r="D83" t="s">
        <v>541</v>
      </c>
    </row>
    <row r="84" spans="2:4" x14ac:dyDescent="0.25">
      <c r="B84" t="s">
        <v>510</v>
      </c>
      <c r="C84" t="str">
        <f t="shared" si="1"/>
        <v>AX-</v>
      </c>
      <c r="D84" t="s">
        <v>542</v>
      </c>
    </row>
    <row r="85" spans="2:4" x14ac:dyDescent="0.25">
      <c r="B85" t="s">
        <v>484</v>
      </c>
      <c r="C85" t="str">
        <f t="shared" si="1"/>
        <v>AX-</v>
      </c>
      <c r="D85" t="s">
        <v>542</v>
      </c>
    </row>
    <row r="86" spans="2:4" x14ac:dyDescent="0.25">
      <c r="B86" t="s">
        <v>151</v>
      </c>
      <c r="C86" t="str">
        <f t="shared" si="1"/>
        <v>CBO</v>
      </c>
      <c r="D86" t="s">
        <v>541</v>
      </c>
    </row>
    <row r="87" spans="2:4" x14ac:dyDescent="0.25">
      <c r="B87" t="s">
        <v>448</v>
      </c>
      <c r="C87" t="str">
        <f t="shared" si="1"/>
        <v>CBO</v>
      </c>
      <c r="D87" t="s">
        <v>541</v>
      </c>
    </row>
    <row r="88" spans="2:4" x14ac:dyDescent="0.25">
      <c r="B88" t="s">
        <v>449</v>
      </c>
      <c r="C88" t="str">
        <f t="shared" si="1"/>
        <v>CBO</v>
      </c>
      <c r="D88" t="s">
        <v>541</v>
      </c>
    </row>
    <row r="89" spans="2:4" x14ac:dyDescent="0.25">
      <c r="B89" t="s">
        <v>152</v>
      </c>
      <c r="C89" t="str">
        <f t="shared" si="1"/>
        <v>CBO</v>
      </c>
      <c r="D89" t="s">
        <v>541</v>
      </c>
    </row>
    <row r="90" spans="2:4" x14ac:dyDescent="0.25">
      <c r="B90" t="s">
        <v>153</v>
      </c>
      <c r="C90" t="str">
        <f t="shared" si="1"/>
        <v>CBO</v>
      </c>
      <c r="D90" t="s">
        <v>541</v>
      </c>
    </row>
    <row r="91" spans="2:4" x14ac:dyDescent="0.25">
      <c r="B91" t="s">
        <v>494</v>
      </c>
      <c r="C91" t="str">
        <f t="shared" si="1"/>
        <v>CBO</v>
      </c>
      <c r="D91" t="s">
        <v>541</v>
      </c>
    </row>
    <row r="92" spans="2:4" x14ac:dyDescent="0.25">
      <c r="B92" t="s">
        <v>495</v>
      </c>
      <c r="C92" t="str">
        <f t="shared" si="1"/>
        <v>CBO</v>
      </c>
      <c r="D92" t="s">
        <v>541</v>
      </c>
    </row>
    <row r="93" spans="2:4" x14ac:dyDescent="0.25">
      <c r="B93" t="s">
        <v>456</v>
      </c>
      <c r="C93" t="str">
        <f t="shared" si="1"/>
        <v>CBO</v>
      </c>
      <c r="D93" t="s">
        <v>541</v>
      </c>
    </row>
    <row r="94" spans="2:4" x14ac:dyDescent="0.25">
      <c r="B94" t="s">
        <v>154</v>
      </c>
      <c r="C94" t="str">
        <f t="shared" si="1"/>
        <v>CBO</v>
      </c>
      <c r="D94" t="s">
        <v>541</v>
      </c>
    </row>
    <row r="95" spans="2:4" x14ac:dyDescent="0.25">
      <c r="B95" t="s">
        <v>155</v>
      </c>
      <c r="C95" t="str">
        <f t="shared" si="1"/>
        <v>CBO</v>
      </c>
      <c r="D95" t="s">
        <v>541</v>
      </c>
    </row>
    <row r="96" spans="2:4" x14ac:dyDescent="0.25">
      <c r="B96" t="s">
        <v>156</v>
      </c>
      <c r="C96" t="str">
        <f t="shared" si="1"/>
        <v>CBO</v>
      </c>
      <c r="D96" t="s">
        <v>541</v>
      </c>
    </row>
    <row r="97" spans="2:4" x14ac:dyDescent="0.25">
      <c r="B97" t="s">
        <v>228</v>
      </c>
      <c r="C97" t="str">
        <f t="shared" si="1"/>
        <v>CBO</v>
      </c>
      <c r="D97" t="s">
        <v>541</v>
      </c>
    </row>
    <row r="98" spans="2:4" x14ac:dyDescent="0.25">
      <c r="B98" t="s">
        <v>229</v>
      </c>
      <c r="C98" t="str">
        <f t="shared" si="1"/>
        <v>CBO</v>
      </c>
      <c r="D98" t="s">
        <v>541</v>
      </c>
    </row>
    <row r="99" spans="2:4" x14ac:dyDescent="0.25">
      <c r="B99" t="s">
        <v>230</v>
      </c>
      <c r="C99" t="str">
        <f t="shared" si="1"/>
        <v>CBO</v>
      </c>
      <c r="D99" t="s">
        <v>541</v>
      </c>
    </row>
    <row r="100" spans="2:4" x14ac:dyDescent="0.25">
      <c r="B100" t="s">
        <v>231</v>
      </c>
      <c r="C100" t="str">
        <f t="shared" si="1"/>
        <v>CBO</v>
      </c>
      <c r="D100" t="s">
        <v>541</v>
      </c>
    </row>
    <row r="101" spans="2:4" x14ac:dyDescent="0.25">
      <c r="B101" t="s">
        <v>232</v>
      </c>
      <c r="C101" t="str">
        <f t="shared" si="1"/>
        <v>CBO</v>
      </c>
      <c r="D101" t="s">
        <v>541</v>
      </c>
    </row>
    <row r="102" spans="2:4" x14ac:dyDescent="0.25">
      <c r="B102" t="s">
        <v>233</v>
      </c>
      <c r="C102" t="str">
        <f t="shared" si="1"/>
        <v>CBO</v>
      </c>
      <c r="D102" t="s">
        <v>541</v>
      </c>
    </row>
    <row r="103" spans="2:4" x14ac:dyDescent="0.25">
      <c r="B103" t="s">
        <v>234</v>
      </c>
      <c r="C103" t="str">
        <f t="shared" si="1"/>
        <v>CBO</v>
      </c>
      <c r="D103" t="s">
        <v>541</v>
      </c>
    </row>
    <row r="104" spans="2:4" x14ac:dyDescent="0.25">
      <c r="B104" t="s">
        <v>235</v>
      </c>
      <c r="C104" t="str">
        <f t="shared" si="1"/>
        <v>CBO</v>
      </c>
      <c r="D104" t="s">
        <v>541</v>
      </c>
    </row>
    <row r="105" spans="2:4" x14ac:dyDescent="0.25">
      <c r="B105" t="s">
        <v>236</v>
      </c>
      <c r="C105" t="str">
        <f t="shared" si="1"/>
        <v>CBO</v>
      </c>
      <c r="D105" t="s">
        <v>541</v>
      </c>
    </row>
    <row r="106" spans="2:4" x14ac:dyDescent="0.25">
      <c r="B106" t="s">
        <v>237</v>
      </c>
      <c r="C106" t="str">
        <f t="shared" si="1"/>
        <v>CBO</v>
      </c>
      <c r="D106" t="s">
        <v>541</v>
      </c>
    </row>
    <row r="107" spans="2:4" x14ac:dyDescent="0.25">
      <c r="B107" t="s">
        <v>238</v>
      </c>
      <c r="C107" t="str">
        <f t="shared" si="1"/>
        <v>CBO</v>
      </c>
      <c r="D107" t="s">
        <v>541</v>
      </c>
    </row>
    <row r="108" spans="2:4" x14ac:dyDescent="0.25">
      <c r="B108" t="s">
        <v>239</v>
      </c>
      <c r="C108" t="str">
        <f t="shared" si="1"/>
        <v>CBO</v>
      </c>
      <c r="D108" t="s">
        <v>541</v>
      </c>
    </row>
    <row r="109" spans="2:4" x14ac:dyDescent="0.25">
      <c r="B109" t="s">
        <v>240</v>
      </c>
      <c r="C109" t="str">
        <f t="shared" si="1"/>
        <v>CBO</v>
      </c>
      <c r="D109" t="s">
        <v>541</v>
      </c>
    </row>
    <row r="110" spans="2:4" x14ac:dyDescent="0.25">
      <c r="B110" t="s">
        <v>157</v>
      </c>
      <c r="C110" t="str">
        <f t="shared" si="1"/>
        <v>CBO</v>
      </c>
      <c r="D110" t="s">
        <v>541</v>
      </c>
    </row>
    <row r="111" spans="2:4" x14ac:dyDescent="0.25">
      <c r="B111" t="s">
        <v>299</v>
      </c>
      <c r="C111" t="str">
        <f t="shared" si="1"/>
        <v>CBO</v>
      </c>
      <c r="D111" t="s">
        <v>541</v>
      </c>
    </row>
    <row r="112" spans="2:4" x14ac:dyDescent="0.25">
      <c r="B112" t="s">
        <v>300</v>
      </c>
      <c r="C112" t="str">
        <f t="shared" si="1"/>
        <v>CBO</v>
      </c>
      <c r="D112" t="s">
        <v>541</v>
      </c>
    </row>
    <row r="113" spans="2:4" x14ac:dyDescent="0.25">
      <c r="B113" t="s">
        <v>436</v>
      </c>
      <c r="C113" t="str">
        <f t="shared" si="1"/>
        <v>CBO</v>
      </c>
      <c r="D113" t="s">
        <v>541</v>
      </c>
    </row>
    <row r="114" spans="2:4" x14ac:dyDescent="0.25">
      <c r="B114" t="s">
        <v>437</v>
      </c>
      <c r="C114" t="str">
        <f t="shared" si="1"/>
        <v>CBO</v>
      </c>
      <c r="D114" t="s">
        <v>541</v>
      </c>
    </row>
    <row r="115" spans="2:4" x14ac:dyDescent="0.25">
      <c r="B115" t="s">
        <v>289</v>
      </c>
      <c r="C115" t="str">
        <f t="shared" si="1"/>
        <v>CBO</v>
      </c>
      <c r="D115" t="s">
        <v>541</v>
      </c>
    </row>
    <row r="116" spans="2:4" x14ac:dyDescent="0.25">
      <c r="B116" t="s">
        <v>438</v>
      </c>
      <c r="C116" t="str">
        <f t="shared" si="1"/>
        <v>CBO</v>
      </c>
      <c r="D116" t="s">
        <v>541</v>
      </c>
    </row>
    <row r="117" spans="2:4" x14ac:dyDescent="0.25">
      <c r="B117" t="s">
        <v>457</v>
      </c>
      <c r="C117" t="str">
        <f t="shared" si="1"/>
        <v>CBO</v>
      </c>
      <c r="D117" t="s">
        <v>541</v>
      </c>
    </row>
    <row r="118" spans="2:4" x14ac:dyDescent="0.25">
      <c r="B118" t="s">
        <v>339</v>
      </c>
      <c r="C118" t="str">
        <f t="shared" si="1"/>
        <v>CBO</v>
      </c>
      <c r="D118" t="s">
        <v>541</v>
      </c>
    </row>
    <row r="119" spans="2:4" x14ac:dyDescent="0.25">
      <c r="B119" t="s">
        <v>340</v>
      </c>
      <c r="C119" t="str">
        <f t="shared" si="1"/>
        <v>CBO</v>
      </c>
      <c r="D119" t="s">
        <v>541</v>
      </c>
    </row>
    <row r="120" spans="2:4" x14ac:dyDescent="0.25">
      <c r="B120" t="s">
        <v>341</v>
      </c>
      <c r="C120" t="str">
        <f t="shared" si="1"/>
        <v>CBO</v>
      </c>
      <c r="D120" t="s">
        <v>541</v>
      </c>
    </row>
    <row r="121" spans="2:4" x14ac:dyDescent="0.25">
      <c r="B121" t="s">
        <v>342</v>
      </c>
      <c r="C121" t="str">
        <f t="shared" si="1"/>
        <v>CBO</v>
      </c>
      <c r="D121" t="s">
        <v>541</v>
      </c>
    </row>
    <row r="122" spans="2:4" x14ac:dyDescent="0.25">
      <c r="B122" t="s">
        <v>343</v>
      </c>
      <c r="C122" t="str">
        <f t="shared" si="1"/>
        <v>CBO</v>
      </c>
      <c r="D122" t="s">
        <v>541</v>
      </c>
    </row>
    <row r="123" spans="2:4" x14ac:dyDescent="0.25">
      <c r="B123" t="s">
        <v>496</v>
      </c>
      <c r="C123" t="str">
        <f t="shared" si="1"/>
        <v>CBO</v>
      </c>
      <c r="D123" t="s">
        <v>541</v>
      </c>
    </row>
    <row r="124" spans="2:4" x14ac:dyDescent="0.25">
      <c r="B124" t="s">
        <v>497</v>
      </c>
      <c r="C124" t="str">
        <f t="shared" si="1"/>
        <v>CBO</v>
      </c>
      <c r="D124" t="s">
        <v>541</v>
      </c>
    </row>
    <row r="125" spans="2:4" x14ac:dyDescent="0.25">
      <c r="B125" t="s">
        <v>458</v>
      </c>
      <c r="C125" t="str">
        <f t="shared" si="1"/>
        <v>CBO</v>
      </c>
      <c r="D125" t="s">
        <v>541</v>
      </c>
    </row>
    <row r="126" spans="2:4" x14ac:dyDescent="0.25">
      <c r="B126" t="s">
        <v>301</v>
      </c>
      <c r="C126" t="str">
        <f t="shared" si="1"/>
        <v>CBO</v>
      </c>
      <c r="D126" t="s">
        <v>541</v>
      </c>
    </row>
    <row r="127" spans="2:4" x14ac:dyDescent="0.25">
      <c r="B127" t="s">
        <v>302</v>
      </c>
      <c r="C127" t="str">
        <f t="shared" si="1"/>
        <v>CBO</v>
      </c>
      <c r="D127" t="s">
        <v>541</v>
      </c>
    </row>
    <row r="128" spans="2:4" x14ac:dyDescent="0.25">
      <c r="B128" t="s">
        <v>303</v>
      </c>
      <c r="C128" t="str">
        <f t="shared" si="1"/>
        <v>CBO</v>
      </c>
      <c r="D128" t="s">
        <v>541</v>
      </c>
    </row>
    <row r="129" spans="2:4" x14ac:dyDescent="0.25">
      <c r="B129" t="s">
        <v>304</v>
      </c>
      <c r="C129" t="str">
        <f t="shared" si="1"/>
        <v>CBO</v>
      </c>
      <c r="D129" t="s">
        <v>541</v>
      </c>
    </row>
    <row r="130" spans="2:4" x14ac:dyDescent="0.25">
      <c r="B130" t="s">
        <v>305</v>
      </c>
      <c r="C130" t="str">
        <f t="shared" si="1"/>
        <v>CBO</v>
      </c>
      <c r="D130" t="s">
        <v>541</v>
      </c>
    </row>
    <row r="131" spans="2:4" x14ac:dyDescent="0.25">
      <c r="B131" t="s">
        <v>306</v>
      </c>
      <c r="C131" t="str">
        <f t="shared" ref="C131:C194" si="2">LEFT(B131,3)</f>
        <v>CBO</v>
      </c>
      <c r="D131" t="s">
        <v>541</v>
      </c>
    </row>
    <row r="132" spans="2:4" x14ac:dyDescent="0.25">
      <c r="B132" t="s">
        <v>450</v>
      </c>
      <c r="C132" t="str">
        <f t="shared" si="2"/>
        <v>CP-</v>
      </c>
      <c r="D132" t="s">
        <v>541</v>
      </c>
    </row>
    <row r="133" spans="2:4" x14ac:dyDescent="0.25">
      <c r="B133" t="s">
        <v>514</v>
      </c>
      <c r="C133" t="str">
        <f t="shared" si="2"/>
        <v>DL-</v>
      </c>
      <c r="D133" t="s">
        <v>543</v>
      </c>
    </row>
    <row r="134" spans="2:4" x14ac:dyDescent="0.25">
      <c r="B134" t="s">
        <v>515</v>
      </c>
      <c r="C134" t="str">
        <f t="shared" si="2"/>
        <v>DL-</v>
      </c>
      <c r="D134" t="s">
        <v>543</v>
      </c>
    </row>
    <row r="135" spans="2:4" x14ac:dyDescent="0.25">
      <c r="B135" t="s">
        <v>516</v>
      </c>
      <c r="C135" t="str">
        <f t="shared" si="2"/>
        <v>DL-</v>
      </c>
      <c r="D135" t="s">
        <v>543</v>
      </c>
    </row>
    <row r="136" spans="2:4" x14ac:dyDescent="0.25">
      <c r="B136" t="s">
        <v>517</v>
      </c>
      <c r="C136" t="str">
        <f t="shared" si="2"/>
        <v>DL-</v>
      </c>
      <c r="D136" t="s">
        <v>543</v>
      </c>
    </row>
    <row r="137" spans="2:4" x14ac:dyDescent="0.25">
      <c r="B137" t="s">
        <v>68</v>
      </c>
      <c r="C137" t="str">
        <f t="shared" si="2"/>
        <v>DN4</v>
      </c>
      <c r="D137" t="s">
        <v>543</v>
      </c>
    </row>
    <row r="138" spans="2:4" x14ac:dyDescent="0.25">
      <c r="B138" t="s">
        <v>518</v>
      </c>
      <c r="C138" t="str">
        <f t="shared" si="2"/>
        <v>DN4</v>
      </c>
      <c r="D138" t="s">
        <v>543</v>
      </c>
    </row>
    <row r="139" spans="2:4" x14ac:dyDescent="0.25">
      <c r="B139" t="s">
        <v>519</v>
      </c>
      <c r="C139" t="str">
        <f t="shared" si="2"/>
        <v>DN4</v>
      </c>
      <c r="D139" t="s">
        <v>543</v>
      </c>
    </row>
    <row r="140" spans="2:4" x14ac:dyDescent="0.25">
      <c r="B140" t="s">
        <v>372</v>
      </c>
      <c r="C140" t="str">
        <f t="shared" si="2"/>
        <v>EC-</v>
      </c>
      <c r="D140" t="s">
        <v>544</v>
      </c>
    </row>
    <row r="141" spans="2:4" x14ac:dyDescent="0.25">
      <c r="B141" t="s">
        <v>373</v>
      </c>
      <c r="C141" t="str">
        <f t="shared" si="2"/>
        <v>EC-</v>
      </c>
      <c r="D141" t="s">
        <v>544</v>
      </c>
    </row>
    <row r="142" spans="2:4" x14ac:dyDescent="0.25">
      <c r="B142" t="s">
        <v>28</v>
      </c>
      <c r="C142" t="str">
        <f t="shared" si="2"/>
        <v>EC-</v>
      </c>
      <c r="D142" t="s">
        <v>544</v>
      </c>
    </row>
    <row r="143" spans="2:4" x14ac:dyDescent="0.25">
      <c r="B143" t="s">
        <v>473</v>
      </c>
      <c r="C143" t="str">
        <f t="shared" si="2"/>
        <v>EC-</v>
      </c>
      <c r="D143" t="s">
        <v>544</v>
      </c>
    </row>
    <row r="144" spans="2:4" x14ac:dyDescent="0.25">
      <c r="B144" t="s">
        <v>475</v>
      </c>
      <c r="C144" t="str">
        <f t="shared" si="2"/>
        <v>EC-</v>
      </c>
      <c r="D144" t="s">
        <v>544</v>
      </c>
    </row>
    <row r="145" spans="2:4" x14ac:dyDescent="0.25">
      <c r="B145" t="s">
        <v>476</v>
      </c>
      <c r="C145" t="str">
        <f t="shared" si="2"/>
        <v>EC-</v>
      </c>
      <c r="D145" t="s">
        <v>544</v>
      </c>
    </row>
    <row r="146" spans="2:4" x14ac:dyDescent="0.25">
      <c r="B146" t="s">
        <v>367</v>
      </c>
      <c r="C146" t="str">
        <f t="shared" si="2"/>
        <v>EC-</v>
      </c>
      <c r="D146" t="s">
        <v>544</v>
      </c>
    </row>
    <row r="147" spans="2:4" x14ac:dyDescent="0.25">
      <c r="B147" t="s">
        <v>345</v>
      </c>
      <c r="C147" t="str">
        <f t="shared" si="2"/>
        <v>EI-</v>
      </c>
      <c r="D147" t="s">
        <v>545</v>
      </c>
    </row>
    <row r="148" spans="2:4" x14ac:dyDescent="0.25">
      <c r="B148" t="s">
        <v>346</v>
      </c>
      <c r="C148" t="str">
        <f t="shared" si="2"/>
        <v>EI-</v>
      </c>
      <c r="D148" t="s">
        <v>545</v>
      </c>
    </row>
    <row r="149" spans="2:4" x14ac:dyDescent="0.25">
      <c r="B149" t="s">
        <v>132</v>
      </c>
      <c r="C149" t="str">
        <f t="shared" si="2"/>
        <v>EJ-</v>
      </c>
      <c r="D149" t="s">
        <v>545</v>
      </c>
    </row>
    <row r="150" spans="2:4" x14ac:dyDescent="0.25">
      <c r="B150" t="s">
        <v>256</v>
      </c>
      <c r="C150" t="str">
        <f t="shared" si="2"/>
        <v>EKJ</v>
      </c>
      <c r="D150" t="s">
        <v>545</v>
      </c>
    </row>
    <row r="151" spans="2:4" x14ac:dyDescent="0.25">
      <c r="B151" t="s">
        <v>505</v>
      </c>
      <c r="C151" t="str">
        <f t="shared" si="2"/>
        <v>EKJ</v>
      </c>
      <c r="D151" t="s">
        <v>545</v>
      </c>
    </row>
    <row r="152" spans="2:4" x14ac:dyDescent="0.25">
      <c r="B152" t="s">
        <v>506</v>
      </c>
      <c r="C152" t="str">
        <f t="shared" si="2"/>
        <v>EKJ</v>
      </c>
      <c r="D152" t="s">
        <v>545</v>
      </c>
    </row>
    <row r="153" spans="2:4" x14ac:dyDescent="0.25">
      <c r="B153" t="s">
        <v>507</v>
      </c>
      <c r="C153" t="str">
        <f t="shared" si="2"/>
        <v>EKJ</v>
      </c>
      <c r="D153" t="s">
        <v>545</v>
      </c>
    </row>
    <row r="154" spans="2:4" x14ac:dyDescent="0.25">
      <c r="B154" t="s">
        <v>75</v>
      </c>
      <c r="C154" t="str">
        <f t="shared" si="2"/>
        <v>EM-</v>
      </c>
      <c r="D154" t="s">
        <v>545</v>
      </c>
    </row>
    <row r="155" spans="2:4" x14ac:dyDescent="0.25">
      <c r="B155" t="s">
        <v>76</v>
      </c>
      <c r="C155" t="str">
        <f t="shared" si="2"/>
        <v>EM-</v>
      </c>
      <c r="D155" t="s">
        <v>545</v>
      </c>
    </row>
    <row r="156" spans="2:4" x14ac:dyDescent="0.25">
      <c r="B156" t="s">
        <v>32</v>
      </c>
      <c r="C156" t="str">
        <f t="shared" si="2"/>
        <v>EM-</v>
      </c>
      <c r="D156" t="s">
        <v>545</v>
      </c>
    </row>
    <row r="157" spans="2:4" x14ac:dyDescent="0.25">
      <c r="B157" t="s">
        <v>215</v>
      </c>
      <c r="C157" t="str">
        <f t="shared" si="2"/>
        <v>EM-</v>
      </c>
      <c r="D157" t="s">
        <v>545</v>
      </c>
    </row>
    <row r="158" spans="2:4" x14ac:dyDescent="0.25">
      <c r="B158" t="s">
        <v>216</v>
      </c>
      <c r="C158" t="str">
        <f t="shared" si="2"/>
        <v>EM-</v>
      </c>
      <c r="D158" t="s">
        <v>545</v>
      </c>
    </row>
    <row r="159" spans="2:4" x14ac:dyDescent="0.25">
      <c r="B159" t="s">
        <v>428</v>
      </c>
      <c r="C159" t="str">
        <f t="shared" si="2"/>
        <v>EM-</v>
      </c>
      <c r="D159" t="s">
        <v>545</v>
      </c>
    </row>
    <row r="160" spans="2:4" x14ac:dyDescent="0.25">
      <c r="B160" t="s">
        <v>77</v>
      </c>
      <c r="C160" t="str">
        <f t="shared" si="2"/>
        <v>EM-</v>
      </c>
      <c r="D160" t="s">
        <v>545</v>
      </c>
    </row>
    <row r="161" spans="2:4" x14ac:dyDescent="0.25">
      <c r="B161" t="s">
        <v>78</v>
      </c>
      <c r="C161" t="str">
        <f t="shared" si="2"/>
        <v>EM-</v>
      </c>
      <c r="D161" t="s">
        <v>545</v>
      </c>
    </row>
    <row r="162" spans="2:4" x14ac:dyDescent="0.25">
      <c r="B162" t="s">
        <v>500</v>
      </c>
      <c r="C162" t="str">
        <f t="shared" si="2"/>
        <v>EM-</v>
      </c>
      <c r="D162" t="s">
        <v>545</v>
      </c>
    </row>
    <row r="163" spans="2:4" x14ac:dyDescent="0.25">
      <c r="B163" t="s">
        <v>33</v>
      </c>
      <c r="C163" t="str">
        <f t="shared" si="2"/>
        <v>EO-</v>
      </c>
      <c r="D163" t="s">
        <v>545</v>
      </c>
    </row>
    <row r="164" spans="2:4" x14ac:dyDescent="0.25">
      <c r="B164" t="s">
        <v>200</v>
      </c>
      <c r="C164" t="str">
        <f t="shared" si="2"/>
        <v>EO-</v>
      </c>
      <c r="D164" t="s">
        <v>545</v>
      </c>
    </row>
    <row r="165" spans="2:4" x14ac:dyDescent="0.25">
      <c r="B165" t="s">
        <v>46</v>
      </c>
      <c r="C165" t="str">
        <f t="shared" si="2"/>
        <v>EO-</v>
      </c>
      <c r="D165" t="s">
        <v>545</v>
      </c>
    </row>
    <row r="166" spans="2:4" x14ac:dyDescent="0.25">
      <c r="B166" t="s">
        <v>201</v>
      </c>
      <c r="C166" t="str">
        <f t="shared" si="2"/>
        <v>EO-</v>
      </c>
      <c r="D166" t="s">
        <v>545</v>
      </c>
    </row>
    <row r="167" spans="2:4" x14ac:dyDescent="0.25">
      <c r="B167" t="s">
        <v>241</v>
      </c>
      <c r="C167" t="str">
        <f t="shared" si="2"/>
        <v>EO-</v>
      </c>
      <c r="D167" t="s">
        <v>545</v>
      </c>
    </row>
    <row r="168" spans="2:4" x14ac:dyDescent="0.25">
      <c r="B168" t="s">
        <v>202</v>
      </c>
      <c r="C168" t="str">
        <f t="shared" si="2"/>
        <v>EO-</v>
      </c>
      <c r="D168" t="s">
        <v>545</v>
      </c>
    </row>
    <row r="169" spans="2:4" x14ac:dyDescent="0.25">
      <c r="B169" t="s">
        <v>380</v>
      </c>
      <c r="C169" t="str">
        <f t="shared" si="2"/>
        <v>ES-</v>
      </c>
      <c r="D169" t="s">
        <v>546</v>
      </c>
    </row>
    <row r="170" spans="2:4" x14ac:dyDescent="0.25">
      <c r="B170" t="s">
        <v>381</v>
      </c>
      <c r="C170" t="str">
        <f t="shared" si="2"/>
        <v>ES-</v>
      </c>
      <c r="D170" t="s">
        <v>546</v>
      </c>
    </row>
    <row r="171" spans="2:4" x14ac:dyDescent="0.25">
      <c r="B171" t="s">
        <v>487</v>
      </c>
      <c r="C171" t="str">
        <f t="shared" si="2"/>
        <v>ES-</v>
      </c>
      <c r="D171" t="s">
        <v>546</v>
      </c>
    </row>
    <row r="172" spans="2:4" x14ac:dyDescent="0.25">
      <c r="B172" t="s">
        <v>347</v>
      </c>
      <c r="C172" t="str">
        <f t="shared" si="2"/>
        <v>ES-</v>
      </c>
      <c r="D172" t="s">
        <v>546</v>
      </c>
    </row>
    <row r="173" spans="2:4" x14ac:dyDescent="0.25">
      <c r="B173" t="s">
        <v>290</v>
      </c>
      <c r="C173" t="str">
        <f t="shared" si="2"/>
        <v>ES-</v>
      </c>
      <c r="D173" t="s">
        <v>546</v>
      </c>
    </row>
    <row r="174" spans="2:4" x14ac:dyDescent="0.25">
      <c r="B174" t="s">
        <v>291</v>
      </c>
      <c r="C174" t="str">
        <f t="shared" si="2"/>
        <v>ES-</v>
      </c>
      <c r="D174" t="s">
        <v>546</v>
      </c>
    </row>
    <row r="175" spans="2:4" x14ac:dyDescent="0.25">
      <c r="B175" t="s">
        <v>348</v>
      </c>
      <c r="C175" t="str">
        <f t="shared" si="2"/>
        <v>ES-</v>
      </c>
      <c r="D175" t="s">
        <v>546</v>
      </c>
    </row>
    <row r="176" spans="2:4" x14ac:dyDescent="0.25">
      <c r="B176" t="s">
        <v>292</v>
      </c>
      <c r="C176" t="str">
        <f t="shared" si="2"/>
        <v>ES-</v>
      </c>
      <c r="D176" t="s">
        <v>546</v>
      </c>
    </row>
    <row r="177" spans="2:4" x14ac:dyDescent="0.25">
      <c r="B177" t="s">
        <v>293</v>
      </c>
      <c r="C177" t="str">
        <f t="shared" si="2"/>
        <v>ES-</v>
      </c>
      <c r="D177" t="s">
        <v>546</v>
      </c>
    </row>
    <row r="178" spans="2:4" x14ac:dyDescent="0.25">
      <c r="B178" t="s">
        <v>349</v>
      </c>
      <c r="C178" t="str">
        <f t="shared" si="2"/>
        <v>ES-</v>
      </c>
      <c r="D178" t="s">
        <v>546</v>
      </c>
    </row>
    <row r="179" spans="2:4" x14ac:dyDescent="0.25">
      <c r="B179" t="s">
        <v>294</v>
      </c>
      <c r="C179" t="str">
        <f t="shared" si="2"/>
        <v>ES-</v>
      </c>
      <c r="D179" t="s">
        <v>546</v>
      </c>
    </row>
    <row r="180" spans="2:4" x14ac:dyDescent="0.25">
      <c r="B180" t="s">
        <v>295</v>
      </c>
      <c r="C180" t="str">
        <f t="shared" si="2"/>
        <v>ES-</v>
      </c>
      <c r="D180" t="s">
        <v>546</v>
      </c>
    </row>
    <row r="181" spans="2:4" x14ac:dyDescent="0.25">
      <c r="B181" t="s">
        <v>296</v>
      </c>
      <c r="C181" t="str">
        <f t="shared" si="2"/>
        <v>ES-</v>
      </c>
      <c r="D181" t="s">
        <v>546</v>
      </c>
    </row>
    <row r="182" spans="2:4" x14ac:dyDescent="0.25">
      <c r="B182" t="s">
        <v>368</v>
      </c>
      <c r="C182" t="str">
        <f t="shared" si="2"/>
        <v>ES-</v>
      </c>
      <c r="D182" t="s">
        <v>546</v>
      </c>
    </row>
    <row r="183" spans="2:4" x14ac:dyDescent="0.25">
      <c r="B183" t="s">
        <v>297</v>
      </c>
      <c r="C183" t="str">
        <f t="shared" si="2"/>
        <v>ES-</v>
      </c>
      <c r="D183" t="s">
        <v>546</v>
      </c>
    </row>
    <row r="184" spans="2:4" x14ac:dyDescent="0.25">
      <c r="B184" t="s">
        <v>298</v>
      </c>
      <c r="C184" t="str">
        <f t="shared" si="2"/>
        <v>ES-</v>
      </c>
      <c r="D184" t="s">
        <v>546</v>
      </c>
    </row>
    <row r="185" spans="2:4" x14ac:dyDescent="0.25">
      <c r="B185" t="s">
        <v>350</v>
      </c>
      <c r="C185" t="str">
        <f t="shared" si="2"/>
        <v>ES-</v>
      </c>
      <c r="D185" t="s">
        <v>546</v>
      </c>
    </row>
    <row r="186" spans="2:4" x14ac:dyDescent="0.25">
      <c r="B186" t="s">
        <v>385</v>
      </c>
      <c r="C186" t="str">
        <f t="shared" si="2"/>
        <v>ES-</v>
      </c>
      <c r="D186" t="s">
        <v>546</v>
      </c>
    </row>
    <row r="187" spans="2:4" x14ac:dyDescent="0.25">
      <c r="B187" t="s">
        <v>257</v>
      </c>
      <c r="C187" t="str">
        <f t="shared" si="2"/>
        <v>ES-</v>
      </c>
      <c r="D187" t="s">
        <v>546</v>
      </c>
    </row>
    <row r="188" spans="2:4" x14ac:dyDescent="0.25">
      <c r="B188" t="s">
        <v>258</v>
      </c>
      <c r="C188" t="str">
        <f t="shared" si="2"/>
        <v>ES-</v>
      </c>
      <c r="D188" t="s">
        <v>546</v>
      </c>
    </row>
    <row r="189" spans="2:4" x14ac:dyDescent="0.25">
      <c r="B189" t="s">
        <v>259</v>
      </c>
      <c r="C189" t="str">
        <f t="shared" si="2"/>
        <v>ES-</v>
      </c>
      <c r="D189" t="s">
        <v>546</v>
      </c>
    </row>
    <row r="190" spans="2:4" x14ac:dyDescent="0.25">
      <c r="B190" t="s">
        <v>119</v>
      </c>
      <c r="C190" t="str">
        <f t="shared" si="2"/>
        <v>ES-</v>
      </c>
      <c r="D190" t="s">
        <v>546</v>
      </c>
    </row>
    <row r="191" spans="2:4" x14ac:dyDescent="0.25">
      <c r="B191" t="s">
        <v>353</v>
      </c>
      <c r="C191" t="str">
        <f t="shared" si="2"/>
        <v>ES-</v>
      </c>
      <c r="D191" t="s">
        <v>546</v>
      </c>
    </row>
    <row r="192" spans="2:4" x14ac:dyDescent="0.25">
      <c r="B192" t="s">
        <v>386</v>
      </c>
      <c r="C192" t="str">
        <f t="shared" si="2"/>
        <v>ES-</v>
      </c>
      <c r="D192" t="s">
        <v>546</v>
      </c>
    </row>
    <row r="193" spans="2:4" x14ac:dyDescent="0.25">
      <c r="B193" t="s">
        <v>459</v>
      </c>
      <c r="C193" t="str">
        <f t="shared" si="2"/>
        <v>ES-</v>
      </c>
      <c r="D193" t="s">
        <v>546</v>
      </c>
    </row>
    <row r="194" spans="2:4" x14ac:dyDescent="0.25">
      <c r="B194" t="s">
        <v>354</v>
      </c>
      <c r="C194" t="str">
        <f t="shared" si="2"/>
        <v>ES-</v>
      </c>
      <c r="D194" t="s">
        <v>546</v>
      </c>
    </row>
    <row r="195" spans="2:4" x14ac:dyDescent="0.25">
      <c r="B195" t="s">
        <v>387</v>
      </c>
      <c r="C195" t="str">
        <f t="shared" ref="C195:C258" si="3">LEFT(B195,3)</f>
        <v>ES-</v>
      </c>
      <c r="D195" t="s">
        <v>546</v>
      </c>
    </row>
    <row r="196" spans="2:4" x14ac:dyDescent="0.25">
      <c r="B196" t="s">
        <v>388</v>
      </c>
      <c r="C196" t="str">
        <f t="shared" si="3"/>
        <v>ES-</v>
      </c>
      <c r="D196" t="s">
        <v>546</v>
      </c>
    </row>
    <row r="197" spans="2:4" x14ac:dyDescent="0.25">
      <c r="B197" t="s">
        <v>120</v>
      </c>
      <c r="C197" t="str">
        <f t="shared" si="3"/>
        <v>ES-</v>
      </c>
      <c r="D197" t="s">
        <v>546</v>
      </c>
    </row>
    <row r="198" spans="2:4" x14ac:dyDescent="0.25">
      <c r="B198" t="s">
        <v>389</v>
      </c>
      <c r="C198" t="str">
        <f t="shared" si="3"/>
        <v>ES-</v>
      </c>
      <c r="D198" t="s">
        <v>546</v>
      </c>
    </row>
    <row r="199" spans="2:4" x14ac:dyDescent="0.25">
      <c r="B199" t="s">
        <v>460</v>
      </c>
      <c r="C199" t="str">
        <f t="shared" si="3"/>
        <v>ES-</v>
      </c>
      <c r="D199" t="s">
        <v>546</v>
      </c>
    </row>
    <row r="200" spans="2:4" x14ac:dyDescent="0.25">
      <c r="B200" t="s">
        <v>121</v>
      </c>
      <c r="C200" t="str">
        <f t="shared" si="3"/>
        <v>ES-</v>
      </c>
      <c r="D200" t="s">
        <v>546</v>
      </c>
    </row>
    <row r="201" spans="2:4" x14ac:dyDescent="0.25">
      <c r="B201" t="s">
        <v>390</v>
      </c>
      <c r="C201" t="str">
        <f t="shared" si="3"/>
        <v>ES-</v>
      </c>
      <c r="D201" t="s">
        <v>546</v>
      </c>
    </row>
    <row r="202" spans="2:4" x14ac:dyDescent="0.25">
      <c r="B202" t="s">
        <v>461</v>
      </c>
      <c r="C202" t="str">
        <f t="shared" si="3"/>
        <v>ES-</v>
      </c>
      <c r="D202" t="s">
        <v>546</v>
      </c>
    </row>
    <row r="203" spans="2:4" x14ac:dyDescent="0.25">
      <c r="B203" t="s">
        <v>94</v>
      </c>
      <c r="C203" t="str">
        <f t="shared" si="3"/>
        <v>ES-</v>
      </c>
      <c r="D203" t="s">
        <v>546</v>
      </c>
    </row>
    <row r="204" spans="2:4" x14ac:dyDescent="0.25">
      <c r="B204" t="s">
        <v>470</v>
      </c>
      <c r="C204" t="str">
        <f t="shared" si="3"/>
        <v>ES-</v>
      </c>
      <c r="D204" t="s">
        <v>546</v>
      </c>
    </row>
    <row r="205" spans="2:4" x14ac:dyDescent="0.25">
      <c r="B205" t="s">
        <v>471</v>
      </c>
      <c r="C205" t="str">
        <f t="shared" si="3"/>
        <v>ES-</v>
      </c>
      <c r="D205" t="s">
        <v>546</v>
      </c>
    </row>
    <row r="206" spans="2:4" x14ac:dyDescent="0.25">
      <c r="B206" t="s">
        <v>472</v>
      </c>
      <c r="C206" t="str">
        <f t="shared" si="3"/>
        <v>ES-</v>
      </c>
      <c r="D206" t="s">
        <v>546</v>
      </c>
    </row>
    <row r="207" spans="2:4" x14ac:dyDescent="0.25">
      <c r="B207" t="s">
        <v>260</v>
      </c>
      <c r="C207" t="str">
        <f t="shared" si="3"/>
        <v>ES-</v>
      </c>
      <c r="D207" t="s">
        <v>546</v>
      </c>
    </row>
    <row r="208" spans="2:4" x14ac:dyDescent="0.25">
      <c r="B208" t="s">
        <v>261</v>
      </c>
      <c r="C208" t="str">
        <f t="shared" si="3"/>
        <v>ES-</v>
      </c>
      <c r="D208" t="s">
        <v>546</v>
      </c>
    </row>
    <row r="209" spans="2:4" x14ac:dyDescent="0.25">
      <c r="B209" t="s">
        <v>203</v>
      </c>
      <c r="C209" t="str">
        <f t="shared" si="3"/>
        <v>ES-</v>
      </c>
      <c r="D209" t="s">
        <v>546</v>
      </c>
    </row>
    <row r="210" spans="2:4" x14ac:dyDescent="0.25">
      <c r="B210" t="s">
        <v>204</v>
      </c>
      <c r="C210" t="str">
        <f t="shared" si="3"/>
        <v>ES-</v>
      </c>
      <c r="D210" t="s">
        <v>546</v>
      </c>
    </row>
    <row r="211" spans="2:4" x14ac:dyDescent="0.25">
      <c r="B211" t="s">
        <v>205</v>
      </c>
      <c r="C211" t="str">
        <f t="shared" si="3"/>
        <v>ES-</v>
      </c>
      <c r="D211" t="s">
        <v>546</v>
      </c>
    </row>
    <row r="212" spans="2:4" x14ac:dyDescent="0.25">
      <c r="B212" t="s">
        <v>206</v>
      </c>
      <c r="C212" t="str">
        <f t="shared" si="3"/>
        <v>ES-</v>
      </c>
      <c r="D212" t="s">
        <v>546</v>
      </c>
    </row>
    <row r="213" spans="2:4" x14ac:dyDescent="0.25">
      <c r="B213" t="s">
        <v>520</v>
      </c>
      <c r="C213" t="str">
        <f t="shared" si="3"/>
        <v>ES-</v>
      </c>
      <c r="D213" t="s">
        <v>546</v>
      </c>
    </row>
    <row r="214" spans="2:4" x14ac:dyDescent="0.25">
      <c r="B214" t="s">
        <v>521</v>
      </c>
      <c r="C214" t="str">
        <f t="shared" si="3"/>
        <v>ES-</v>
      </c>
      <c r="D214" t="s">
        <v>546</v>
      </c>
    </row>
    <row r="215" spans="2:4" x14ac:dyDescent="0.25">
      <c r="B215" t="s">
        <v>522</v>
      </c>
      <c r="C215" t="str">
        <f t="shared" si="3"/>
        <v>ES-</v>
      </c>
      <c r="D215" t="s">
        <v>546</v>
      </c>
    </row>
    <row r="216" spans="2:4" x14ac:dyDescent="0.25">
      <c r="B216" t="s">
        <v>268</v>
      </c>
      <c r="C216" t="str">
        <f t="shared" si="3"/>
        <v>ES-</v>
      </c>
      <c r="D216" t="s">
        <v>546</v>
      </c>
    </row>
    <row r="217" spans="2:4" x14ac:dyDescent="0.25">
      <c r="B217" t="s">
        <v>269</v>
      </c>
      <c r="C217" t="str">
        <f t="shared" si="3"/>
        <v>ES-</v>
      </c>
      <c r="D217" t="s">
        <v>546</v>
      </c>
    </row>
    <row r="218" spans="2:4" x14ac:dyDescent="0.25">
      <c r="B218" t="s">
        <v>38</v>
      </c>
      <c r="C218" t="str">
        <f t="shared" si="3"/>
        <v>ES-</v>
      </c>
      <c r="D218" t="s">
        <v>546</v>
      </c>
    </row>
    <row r="219" spans="2:4" x14ac:dyDescent="0.25">
      <c r="B219" t="s">
        <v>39</v>
      </c>
      <c r="C219" t="str">
        <f t="shared" si="3"/>
        <v>ES-</v>
      </c>
      <c r="D219" t="s">
        <v>546</v>
      </c>
    </row>
    <row r="220" spans="2:4" x14ac:dyDescent="0.25">
      <c r="B220" t="s">
        <v>195</v>
      </c>
      <c r="C220" t="str">
        <f t="shared" si="3"/>
        <v>ES-</v>
      </c>
      <c r="D220" t="s">
        <v>546</v>
      </c>
    </row>
    <row r="221" spans="2:4" x14ac:dyDescent="0.25">
      <c r="B221" t="s">
        <v>196</v>
      </c>
      <c r="C221" t="str">
        <f t="shared" si="3"/>
        <v>ES-</v>
      </c>
      <c r="D221" t="s">
        <v>546</v>
      </c>
    </row>
    <row r="222" spans="2:4" x14ac:dyDescent="0.25">
      <c r="B222" t="s">
        <v>197</v>
      </c>
      <c r="C222" t="str">
        <f t="shared" si="3"/>
        <v>ES-</v>
      </c>
      <c r="D222" t="s">
        <v>546</v>
      </c>
    </row>
    <row r="223" spans="2:4" x14ac:dyDescent="0.25">
      <c r="B223" t="s">
        <v>270</v>
      </c>
      <c r="C223" t="str">
        <f t="shared" si="3"/>
        <v>ES-</v>
      </c>
      <c r="D223" t="s">
        <v>546</v>
      </c>
    </row>
    <row r="224" spans="2:4" x14ac:dyDescent="0.25">
      <c r="B224" t="s">
        <v>271</v>
      </c>
      <c r="C224" t="str">
        <f t="shared" si="3"/>
        <v>ES-</v>
      </c>
      <c r="D224" t="s">
        <v>546</v>
      </c>
    </row>
    <row r="225" spans="2:4" x14ac:dyDescent="0.25">
      <c r="B225" t="s">
        <v>53</v>
      </c>
      <c r="C225" t="str">
        <f t="shared" si="3"/>
        <v>ES-</v>
      </c>
      <c r="D225" t="s">
        <v>546</v>
      </c>
    </row>
    <row r="226" spans="2:4" x14ac:dyDescent="0.25">
      <c r="B226" t="s">
        <v>54</v>
      </c>
      <c r="C226" t="str">
        <f t="shared" si="3"/>
        <v>ES-</v>
      </c>
      <c r="D226" t="s">
        <v>546</v>
      </c>
    </row>
    <row r="227" spans="2:4" x14ac:dyDescent="0.25">
      <c r="B227" t="s">
        <v>55</v>
      </c>
      <c r="C227" t="str">
        <f t="shared" si="3"/>
        <v>ES-</v>
      </c>
      <c r="D227" t="s">
        <v>546</v>
      </c>
    </row>
    <row r="228" spans="2:4" x14ac:dyDescent="0.25">
      <c r="B228" t="s">
        <v>56</v>
      </c>
      <c r="C228" t="str">
        <f t="shared" si="3"/>
        <v>ES-</v>
      </c>
      <c r="D228" t="s">
        <v>546</v>
      </c>
    </row>
    <row r="229" spans="2:4" x14ac:dyDescent="0.25">
      <c r="B229" t="s">
        <v>85</v>
      </c>
      <c r="C229" t="str">
        <f t="shared" si="3"/>
        <v>ES-</v>
      </c>
      <c r="D229" t="s">
        <v>546</v>
      </c>
    </row>
    <row r="230" spans="2:4" x14ac:dyDescent="0.25">
      <c r="B230" t="s">
        <v>86</v>
      </c>
      <c r="C230" t="str">
        <f t="shared" si="3"/>
        <v>ES-</v>
      </c>
      <c r="D230" t="s">
        <v>546</v>
      </c>
    </row>
    <row r="231" spans="2:4" x14ac:dyDescent="0.25">
      <c r="B231" t="s">
        <v>95</v>
      </c>
      <c r="C231" t="str">
        <f t="shared" si="3"/>
        <v>ES-</v>
      </c>
      <c r="D231" t="s">
        <v>546</v>
      </c>
    </row>
    <row r="232" spans="2:4" x14ac:dyDescent="0.25">
      <c r="B232" t="s">
        <v>96</v>
      </c>
      <c r="C232" t="str">
        <f t="shared" si="3"/>
        <v>ES-</v>
      </c>
      <c r="D232" t="s">
        <v>546</v>
      </c>
    </row>
    <row r="233" spans="2:4" x14ac:dyDescent="0.25">
      <c r="B233" t="s">
        <v>97</v>
      </c>
      <c r="C233" t="str">
        <f t="shared" si="3"/>
        <v>ES-</v>
      </c>
      <c r="D233" t="s">
        <v>546</v>
      </c>
    </row>
    <row r="234" spans="2:4" x14ac:dyDescent="0.25">
      <c r="B234" t="s">
        <v>467</v>
      </c>
      <c r="C234" t="str">
        <f t="shared" si="3"/>
        <v>ES-</v>
      </c>
      <c r="D234" t="s">
        <v>546</v>
      </c>
    </row>
    <row r="235" spans="2:4" x14ac:dyDescent="0.25">
      <c r="B235" t="s">
        <v>468</v>
      </c>
      <c r="C235" t="str">
        <f t="shared" si="3"/>
        <v>ES-</v>
      </c>
      <c r="D235" t="s">
        <v>546</v>
      </c>
    </row>
    <row r="236" spans="2:4" x14ac:dyDescent="0.25">
      <c r="B236" t="s">
        <v>469</v>
      </c>
      <c r="C236" t="str">
        <f t="shared" si="3"/>
        <v>ES-</v>
      </c>
      <c r="D236" t="s">
        <v>546</v>
      </c>
    </row>
    <row r="237" spans="2:4" x14ac:dyDescent="0.25">
      <c r="B237" t="s">
        <v>29</v>
      </c>
      <c r="C237" t="str">
        <f t="shared" si="3"/>
        <v>ES-</v>
      </c>
      <c r="D237" t="s">
        <v>546</v>
      </c>
    </row>
    <row r="238" spans="2:4" x14ac:dyDescent="0.25">
      <c r="B238" t="s">
        <v>489</v>
      </c>
      <c r="C238" t="str">
        <f t="shared" si="3"/>
        <v>ES-</v>
      </c>
      <c r="D238" t="s">
        <v>546</v>
      </c>
    </row>
    <row r="239" spans="2:4" x14ac:dyDescent="0.25">
      <c r="B239" t="s">
        <v>490</v>
      </c>
      <c r="C239" t="str">
        <f t="shared" si="3"/>
        <v>ES-</v>
      </c>
      <c r="D239" t="s">
        <v>546</v>
      </c>
    </row>
    <row r="240" spans="2:4" x14ac:dyDescent="0.25">
      <c r="B240" t="s">
        <v>98</v>
      </c>
      <c r="C240" t="str">
        <f t="shared" si="3"/>
        <v>ES-</v>
      </c>
      <c r="D240" t="s">
        <v>546</v>
      </c>
    </row>
    <row r="241" spans="2:4" x14ac:dyDescent="0.25">
      <c r="B241" t="s">
        <v>99</v>
      </c>
      <c r="C241" t="str">
        <f t="shared" si="3"/>
        <v>ES-</v>
      </c>
      <c r="D241" t="s">
        <v>546</v>
      </c>
    </row>
    <row r="242" spans="2:4" x14ac:dyDescent="0.25">
      <c r="B242" t="s">
        <v>100</v>
      </c>
      <c r="C242" t="str">
        <f t="shared" si="3"/>
        <v>ES-</v>
      </c>
      <c r="D242" t="s">
        <v>546</v>
      </c>
    </row>
    <row r="243" spans="2:4" x14ac:dyDescent="0.25">
      <c r="B243" t="s">
        <v>101</v>
      </c>
      <c r="C243" t="str">
        <f t="shared" si="3"/>
        <v>ES-</v>
      </c>
      <c r="D243" t="s">
        <v>546</v>
      </c>
    </row>
    <row r="244" spans="2:4" x14ac:dyDescent="0.25">
      <c r="B244" t="s">
        <v>57</v>
      </c>
      <c r="C244" t="str">
        <f t="shared" si="3"/>
        <v>ES-</v>
      </c>
      <c r="D244" t="s">
        <v>546</v>
      </c>
    </row>
    <row r="245" spans="2:4" x14ac:dyDescent="0.25">
      <c r="B245" t="s">
        <v>58</v>
      </c>
      <c r="C245" t="str">
        <f t="shared" si="3"/>
        <v>ES-</v>
      </c>
      <c r="D245" t="s">
        <v>546</v>
      </c>
    </row>
    <row r="246" spans="2:4" x14ac:dyDescent="0.25">
      <c r="B246" t="s">
        <v>59</v>
      </c>
      <c r="C246" t="str">
        <f t="shared" si="3"/>
        <v>ES-</v>
      </c>
      <c r="D246" t="s">
        <v>546</v>
      </c>
    </row>
    <row r="247" spans="2:4" x14ac:dyDescent="0.25">
      <c r="B247" t="s">
        <v>60</v>
      </c>
      <c r="C247" t="str">
        <f t="shared" si="3"/>
        <v>ES-</v>
      </c>
      <c r="D247" t="s">
        <v>546</v>
      </c>
    </row>
    <row r="248" spans="2:4" x14ac:dyDescent="0.25">
      <c r="B248" t="s">
        <v>491</v>
      </c>
      <c r="C248" t="str">
        <f t="shared" si="3"/>
        <v>ES-</v>
      </c>
      <c r="D248" t="s">
        <v>546</v>
      </c>
    </row>
    <row r="249" spans="2:4" x14ac:dyDescent="0.25">
      <c r="B249" t="s">
        <v>492</v>
      </c>
      <c r="C249" t="str">
        <f t="shared" si="3"/>
        <v>ES-</v>
      </c>
      <c r="D249" t="s">
        <v>546</v>
      </c>
    </row>
    <row r="250" spans="2:4" x14ac:dyDescent="0.25">
      <c r="B250" t="s">
        <v>537</v>
      </c>
      <c r="C250" t="str">
        <f t="shared" si="3"/>
        <v>ES-</v>
      </c>
      <c r="D250" t="s">
        <v>546</v>
      </c>
    </row>
    <row r="251" spans="2:4" x14ac:dyDescent="0.25">
      <c r="B251" t="s">
        <v>160</v>
      </c>
      <c r="C251" t="str">
        <f t="shared" si="3"/>
        <v>ES-</v>
      </c>
      <c r="D251" t="s">
        <v>546</v>
      </c>
    </row>
    <row r="252" spans="2:4" x14ac:dyDescent="0.25">
      <c r="B252" t="s">
        <v>161</v>
      </c>
      <c r="C252" t="str">
        <f t="shared" si="3"/>
        <v>ES-</v>
      </c>
      <c r="D252" t="s">
        <v>546</v>
      </c>
    </row>
    <row r="253" spans="2:4" x14ac:dyDescent="0.25">
      <c r="B253" t="s">
        <v>272</v>
      </c>
      <c r="C253" t="str">
        <f t="shared" si="3"/>
        <v>FJ-</v>
      </c>
      <c r="D253" t="s">
        <v>547</v>
      </c>
    </row>
    <row r="254" spans="2:4" x14ac:dyDescent="0.25">
      <c r="B254" t="s">
        <v>374</v>
      </c>
      <c r="C254" t="str">
        <f t="shared" si="3"/>
        <v>FJ-</v>
      </c>
      <c r="D254" t="s">
        <v>547</v>
      </c>
    </row>
    <row r="255" spans="2:4" x14ac:dyDescent="0.25">
      <c r="B255" t="s">
        <v>69</v>
      </c>
      <c r="C255" t="str">
        <f t="shared" si="3"/>
        <v>FJ-</v>
      </c>
      <c r="D255" t="s">
        <v>547</v>
      </c>
    </row>
    <row r="256" spans="2:4" x14ac:dyDescent="0.25">
      <c r="B256" t="s">
        <v>418</v>
      </c>
      <c r="C256" t="str">
        <f t="shared" si="3"/>
        <v>FJ-</v>
      </c>
      <c r="D256" t="s">
        <v>547</v>
      </c>
    </row>
    <row r="257" spans="2:4" x14ac:dyDescent="0.25">
      <c r="B257" t="s">
        <v>70</v>
      </c>
      <c r="C257" t="str">
        <f t="shared" si="3"/>
        <v>FJ-</v>
      </c>
      <c r="D257" t="s">
        <v>547</v>
      </c>
    </row>
    <row r="258" spans="2:4" x14ac:dyDescent="0.25">
      <c r="B258" t="s">
        <v>308</v>
      </c>
      <c r="C258" t="str">
        <f t="shared" si="3"/>
        <v>FP-</v>
      </c>
      <c r="D258" t="s">
        <v>548</v>
      </c>
    </row>
    <row r="259" spans="2:4" x14ac:dyDescent="0.25">
      <c r="B259" t="s">
        <v>309</v>
      </c>
      <c r="C259" t="str">
        <f t="shared" ref="C259:C322" si="4">LEFT(B259,3)</f>
        <v>FP-</v>
      </c>
      <c r="D259" t="s">
        <v>548</v>
      </c>
    </row>
    <row r="260" spans="2:4" x14ac:dyDescent="0.25">
      <c r="B260" t="s">
        <v>310</v>
      </c>
      <c r="C260" t="str">
        <f t="shared" si="4"/>
        <v>FP-</v>
      </c>
      <c r="D260" t="s">
        <v>548</v>
      </c>
    </row>
    <row r="261" spans="2:4" x14ac:dyDescent="0.25">
      <c r="B261" t="s">
        <v>311</v>
      </c>
      <c r="C261" t="str">
        <f t="shared" si="4"/>
        <v>FP-</v>
      </c>
      <c r="D261" t="s">
        <v>548</v>
      </c>
    </row>
    <row r="262" spans="2:4" x14ac:dyDescent="0.25">
      <c r="B262" t="s">
        <v>312</v>
      </c>
      <c r="C262" t="str">
        <f t="shared" si="4"/>
        <v>FP-</v>
      </c>
      <c r="D262" t="s">
        <v>548</v>
      </c>
    </row>
    <row r="263" spans="2:4" x14ac:dyDescent="0.25">
      <c r="B263" t="s">
        <v>74</v>
      </c>
      <c r="C263" t="str">
        <f t="shared" si="4"/>
        <v>FP-</v>
      </c>
      <c r="D263" t="s">
        <v>548</v>
      </c>
    </row>
    <row r="264" spans="2:4" x14ac:dyDescent="0.25">
      <c r="B264" t="s">
        <v>87</v>
      </c>
      <c r="C264" t="str">
        <f t="shared" si="4"/>
        <v>FP-</v>
      </c>
      <c r="D264" t="s">
        <v>548</v>
      </c>
    </row>
    <row r="265" spans="2:4" x14ac:dyDescent="0.25">
      <c r="B265" t="s">
        <v>88</v>
      </c>
      <c r="C265" t="str">
        <f t="shared" si="4"/>
        <v>FP-</v>
      </c>
      <c r="D265" t="s">
        <v>548</v>
      </c>
    </row>
    <row r="266" spans="2:4" x14ac:dyDescent="0.25">
      <c r="B266" t="s">
        <v>89</v>
      </c>
      <c r="C266" t="str">
        <f t="shared" si="4"/>
        <v>FP-</v>
      </c>
      <c r="D266" t="s">
        <v>548</v>
      </c>
    </row>
    <row r="267" spans="2:4" x14ac:dyDescent="0.25">
      <c r="B267" t="s">
        <v>481</v>
      </c>
      <c r="C267" t="str">
        <f t="shared" si="4"/>
        <v>FP-</v>
      </c>
      <c r="D267" t="s">
        <v>548</v>
      </c>
    </row>
    <row r="268" spans="2:4" x14ac:dyDescent="0.25">
      <c r="B268" t="s">
        <v>242</v>
      </c>
      <c r="C268" t="str">
        <f t="shared" si="4"/>
        <v>FP-</v>
      </c>
      <c r="D268" t="s">
        <v>548</v>
      </c>
    </row>
    <row r="269" spans="2:4" x14ac:dyDescent="0.25">
      <c r="B269" t="s">
        <v>482</v>
      </c>
      <c r="C269" t="str">
        <f t="shared" si="4"/>
        <v>FP-</v>
      </c>
      <c r="D269" t="s">
        <v>548</v>
      </c>
    </row>
    <row r="270" spans="2:4" x14ac:dyDescent="0.25">
      <c r="B270" t="s">
        <v>483</v>
      </c>
      <c r="C270" t="str">
        <f t="shared" si="4"/>
        <v>FP-</v>
      </c>
      <c r="D270" t="s">
        <v>548</v>
      </c>
    </row>
    <row r="271" spans="2:4" x14ac:dyDescent="0.25">
      <c r="B271" t="s">
        <v>355</v>
      </c>
      <c r="C271" t="str">
        <f t="shared" si="4"/>
        <v>FP-</v>
      </c>
      <c r="D271" t="s">
        <v>548</v>
      </c>
    </row>
    <row r="272" spans="2:4" x14ac:dyDescent="0.25">
      <c r="B272" t="s">
        <v>356</v>
      </c>
      <c r="C272" t="str">
        <f t="shared" si="4"/>
        <v>FP-</v>
      </c>
      <c r="D272" t="s">
        <v>548</v>
      </c>
    </row>
    <row r="273" spans="2:4" x14ac:dyDescent="0.25">
      <c r="B273" t="s">
        <v>45</v>
      </c>
      <c r="C273" t="str">
        <f t="shared" si="4"/>
        <v>FRV</v>
      </c>
      <c r="D273" t="s">
        <v>547</v>
      </c>
    </row>
    <row r="274" spans="2:4" x14ac:dyDescent="0.25">
      <c r="B274" t="s">
        <v>501</v>
      </c>
      <c r="C274" t="str">
        <f t="shared" si="4"/>
        <v>FRV</v>
      </c>
      <c r="D274" t="s">
        <v>547</v>
      </c>
    </row>
    <row r="275" spans="2:4" x14ac:dyDescent="0.25">
      <c r="B275" t="s">
        <v>523</v>
      </c>
      <c r="C275" t="str">
        <f t="shared" si="4"/>
        <v>FRV</v>
      </c>
      <c r="D275" t="s">
        <v>547</v>
      </c>
    </row>
    <row r="276" spans="2:4" x14ac:dyDescent="0.25">
      <c r="B276" t="s">
        <v>502</v>
      </c>
      <c r="C276" t="str">
        <f t="shared" si="4"/>
        <v>FRV</v>
      </c>
      <c r="D276" t="s">
        <v>547</v>
      </c>
    </row>
    <row r="277" spans="2:4" x14ac:dyDescent="0.25">
      <c r="B277" t="s">
        <v>34</v>
      </c>
      <c r="C277" t="str">
        <f t="shared" si="4"/>
        <v>FRV</v>
      </c>
      <c r="D277" t="s">
        <v>547</v>
      </c>
    </row>
    <row r="278" spans="2:4" x14ac:dyDescent="0.25">
      <c r="B278" t="s">
        <v>503</v>
      </c>
      <c r="C278" t="str">
        <f t="shared" si="4"/>
        <v>FRV</v>
      </c>
      <c r="D278" t="s">
        <v>547</v>
      </c>
    </row>
    <row r="279" spans="2:4" x14ac:dyDescent="0.25">
      <c r="B279" t="s">
        <v>37</v>
      </c>
      <c r="C279" t="str">
        <f t="shared" si="4"/>
        <v>FRW</v>
      </c>
      <c r="D279" t="s">
        <v>547</v>
      </c>
    </row>
    <row r="280" spans="2:4" x14ac:dyDescent="0.25">
      <c r="B280" t="s">
        <v>462</v>
      </c>
      <c r="C280" t="str">
        <f t="shared" si="4"/>
        <v>FS2</v>
      </c>
      <c r="D280" t="s">
        <v>538</v>
      </c>
    </row>
    <row r="281" spans="2:4" x14ac:dyDescent="0.25">
      <c r="B281" t="s">
        <v>391</v>
      </c>
      <c r="C281" t="str">
        <f t="shared" si="4"/>
        <v>FU-</v>
      </c>
      <c r="D281" t="s">
        <v>548</v>
      </c>
    </row>
    <row r="282" spans="2:4" x14ac:dyDescent="0.25">
      <c r="B282" t="s">
        <v>40</v>
      </c>
      <c r="C282" t="str">
        <f t="shared" si="4"/>
        <v>FU-</v>
      </c>
      <c r="D282" t="s">
        <v>548</v>
      </c>
    </row>
    <row r="283" spans="2:4" x14ac:dyDescent="0.25">
      <c r="B283" t="s">
        <v>41</v>
      </c>
      <c r="C283" t="str">
        <f t="shared" si="4"/>
        <v>FU-</v>
      </c>
      <c r="D283" t="s">
        <v>548</v>
      </c>
    </row>
    <row r="284" spans="2:4" x14ac:dyDescent="0.25">
      <c r="B284" t="s">
        <v>493</v>
      </c>
      <c r="C284" t="str">
        <f t="shared" si="4"/>
        <v>FZ-</v>
      </c>
      <c r="D284" t="s">
        <v>548</v>
      </c>
    </row>
    <row r="285" spans="2:4" x14ac:dyDescent="0.25">
      <c r="B285" t="s">
        <v>439</v>
      </c>
      <c r="C285" t="str">
        <f t="shared" si="4"/>
        <v>FZ-</v>
      </c>
      <c r="D285" t="s">
        <v>548</v>
      </c>
    </row>
    <row r="286" spans="2:4" x14ac:dyDescent="0.25">
      <c r="B286" t="s">
        <v>328</v>
      </c>
      <c r="C286" t="str">
        <f t="shared" si="4"/>
        <v>FZ-</v>
      </c>
      <c r="D286" t="s">
        <v>548</v>
      </c>
    </row>
    <row r="287" spans="2:4" x14ac:dyDescent="0.25">
      <c r="B287" t="s">
        <v>393</v>
      </c>
      <c r="C287" t="str">
        <f t="shared" si="4"/>
        <v>GB-</v>
      </c>
      <c r="D287" t="s">
        <v>540</v>
      </c>
    </row>
    <row r="288" spans="2:4" x14ac:dyDescent="0.25">
      <c r="B288" t="s">
        <v>394</v>
      </c>
      <c r="C288" t="str">
        <f t="shared" si="4"/>
        <v>GB-</v>
      </c>
      <c r="D288" t="s">
        <v>540</v>
      </c>
    </row>
    <row r="289" spans="2:4" x14ac:dyDescent="0.25">
      <c r="B289" t="s">
        <v>395</v>
      </c>
      <c r="C289" t="str">
        <f t="shared" si="4"/>
        <v>GB-</v>
      </c>
      <c r="D289" t="s">
        <v>540</v>
      </c>
    </row>
    <row r="290" spans="2:4" x14ac:dyDescent="0.25">
      <c r="B290" t="s">
        <v>396</v>
      </c>
      <c r="C290" t="str">
        <f t="shared" si="4"/>
        <v>GB-</v>
      </c>
      <c r="D290" t="s">
        <v>540</v>
      </c>
    </row>
    <row r="291" spans="2:4" x14ac:dyDescent="0.25">
      <c r="B291" t="s">
        <v>397</v>
      </c>
      <c r="C291" t="str">
        <f t="shared" si="4"/>
        <v>GB-</v>
      </c>
      <c r="D291" t="s">
        <v>540</v>
      </c>
    </row>
    <row r="292" spans="2:4" x14ac:dyDescent="0.25">
      <c r="B292" t="s">
        <v>207</v>
      </c>
      <c r="C292" t="str">
        <f t="shared" si="4"/>
        <v>GS-</v>
      </c>
      <c r="D292" t="s">
        <v>540</v>
      </c>
    </row>
    <row r="293" spans="2:4" x14ac:dyDescent="0.25">
      <c r="B293" t="s">
        <v>419</v>
      </c>
      <c r="C293" t="str">
        <f t="shared" si="4"/>
        <v>GS-</v>
      </c>
      <c r="D293" t="s">
        <v>540</v>
      </c>
    </row>
    <row r="294" spans="2:4" x14ac:dyDescent="0.25">
      <c r="B294" t="s">
        <v>420</v>
      </c>
      <c r="C294" t="str">
        <f t="shared" si="4"/>
        <v>GS-</v>
      </c>
      <c r="D294" t="s">
        <v>540</v>
      </c>
    </row>
    <row r="295" spans="2:4" x14ac:dyDescent="0.25">
      <c r="B295" t="s">
        <v>398</v>
      </c>
      <c r="C295" t="str">
        <f t="shared" si="4"/>
        <v>GX-</v>
      </c>
      <c r="D295" t="s">
        <v>540</v>
      </c>
    </row>
    <row r="296" spans="2:4" x14ac:dyDescent="0.25">
      <c r="B296" t="s">
        <v>399</v>
      </c>
      <c r="C296" t="str">
        <f t="shared" si="4"/>
        <v>GX-</v>
      </c>
      <c r="D296" t="s">
        <v>540</v>
      </c>
    </row>
    <row r="297" spans="2:4" x14ac:dyDescent="0.25">
      <c r="B297" t="s">
        <v>400</v>
      </c>
      <c r="C297" t="str">
        <f t="shared" si="4"/>
        <v>GX-</v>
      </c>
      <c r="D297" t="s">
        <v>540</v>
      </c>
    </row>
    <row r="298" spans="2:4" x14ac:dyDescent="0.25">
      <c r="B298" t="s">
        <v>401</v>
      </c>
      <c r="C298" t="str">
        <f t="shared" si="4"/>
        <v>GX-</v>
      </c>
      <c r="D298" t="s">
        <v>540</v>
      </c>
    </row>
    <row r="299" spans="2:4" x14ac:dyDescent="0.25">
      <c r="B299" t="s">
        <v>402</v>
      </c>
      <c r="C299" t="str">
        <f t="shared" si="4"/>
        <v>GX-</v>
      </c>
      <c r="D299" t="s">
        <v>540</v>
      </c>
    </row>
    <row r="300" spans="2:4" x14ac:dyDescent="0.25">
      <c r="B300" t="s">
        <v>44</v>
      </c>
      <c r="C300" t="str">
        <f t="shared" si="4"/>
        <v>HM-</v>
      </c>
      <c r="D300" t="s">
        <v>545</v>
      </c>
    </row>
    <row r="301" spans="2:4" x14ac:dyDescent="0.25">
      <c r="B301" t="s">
        <v>146</v>
      </c>
      <c r="C301" t="str">
        <f t="shared" si="4"/>
        <v>HP-</v>
      </c>
      <c r="D301" t="s">
        <v>541</v>
      </c>
    </row>
    <row r="302" spans="2:4" x14ac:dyDescent="0.25">
      <c r="B302" t="s">
        <v>441</v>
      </c>
      <c r="C302" t="str">
        <f t="shared" si="4"/>
        <v>HP-</v>
      </c>
      <c r="D302" t="s">
        <v>541</v>
      </c>
    </row>
    <row r="303" spans="2:4" x14ac:dyDescent="0.25">
      <c r="B303" t="s">
        <v>164</v>
      </c>
      <c r="C303" t="str">
        <f t="shared" si="4"/>
        <v>IB-</v>
      </c>
      <c r="D303" t="s">
        <v>549</v>
      </c>
    </row>
    <row r="304" spans="2:4" x14ac:dyDescent="0.25">
      <c r="B304" t="s">
        <v>165</v>
      </c>
      <c r="C304" t="str">
        <f t="shared" si="4"/>
        <v>IB-</v>
      </c>
      <c r="D304" t="s">
        <v>549</v>
      </c>
    </row>
    <row r="305" spans="2:4" x14ac:dyDescent="0.25">
      <c r="B305" t="s">
        <v>61</v>
      </c>
      <c r="C305" t="str">
        <f t="shared" si="4"/>
        <v>IB-</v>
      </c>
      <c r="D305" t="s">
        <v>549</v>
      </c>
    </row>
    <row r="306" spans="2:4" x14ac:dyDescent="0.25">
      <c r="B306" t="s">
        <v>62</v>
      </c>
      <c r="C306" t="str">
        <f t="shared" si="4"/>
        <v>IB-</v>
      </c>
      <c r="D306" t="s">
        <v>549</v>
      </c>
    </row>
    <row r="307" spans="2:4" x14ac:dyDescent="0.25">
      <c r="B307" t="s">
        <v>166</v>
      </c>
      <c r="C307" t="str">
        <f t="shared" si="4"/>
        <v>IB-</v>
      </c>
      <c r="D307" t="s">
        <v>549</v>
      </c>
    </row>
    <row r="308" spans="2:4" x14ac:dyDescent="0.25">
      <c r="B308" t="s">
        <v>167</v>
      </c>
      <c r="C308" t="str">
        <f t="shared" si="4"/>
        <v>IB-</v>
      </c>
      <c r="D308" t="s">
        <v>549</v>
      </c>
    </row>
    <row r="309" spans="2:4" x14ac:dyDescent="0.25">
      <c r="B309" t="s">
        <v>63</v>
      </c>
      <c r="C309" t="str">
        <f t="shared" si="4"/>
        <v>IB-</v>
      </c>
      <c r="D309" t="s">
        <v>549</v>
      </c>
    </row>
    <row r="310" spans="2:4" x14ac:dyDescent="0.25">
      <c r="B310" t="s">
        <v>168</v>
      </c>
      <c r="C310" t="str">
        <f t="shared" si="4"/>
        <v>IB-</v>
      </c>
      <c r="D310" t="s">
        <v>549</v>
      </c>
    </row>
    <row r="311" spans="2:4" x14ac:dyDescent="0.25">
      <c r="B311" t="s">
        <v>71</v>
      </c>
      <c r="C311" t="str">
        <f t="shared" si="4"/>
        <v>IG-</v>
      </c>
      <c r="D311" t="s">
        <v>548</v>
      </c>
    </row>
    <row r="312" spans="2:4" x14ac:dyDescent="0.25">
      <c r="B312" t="s">
        <v>72</v>
      </c>
      <c r="C312" t="str">
        <f t="shared" si="4"/>
        <v>IG-</v>
      </c>
      <c r="D312" t="s">
        <v>548</v>
      </c>
    </row>
    <row r="313" spans="2:4" x14ac:dyDescent="0.25">
      <c r="B313" t="s">
        <v>73</v>
      </c>
      <c r="C313" t="str">
        <f t="shared" si="4"/>
        <v>IG-</v>
      </c>
      <c r="D313" t="s">
        <v>548</v>
      </c>
    </row>
    <row r="314" spans="2:4" x14ac:dyDescent="0.25">
      <c r="B314" t="s">
        <v>415</v>
      </c>
      <c r="C314" t="str">
        <f t="shared" si="4"/>
        <v>IG-</v>
      </c>
      <c r="D314" t="s">
        <v>548</v>
      </c>
    </row>
    <row r="315" spans="2:4" x14ac:dyDescent="0.25">
      <c r="B315" t="s">
        <v>416</v>
      </c>
      <c r="C315" t="str">
        <f t="shared" si="4"/>
        <v>IG-</v>
      </c>
      <c r="D315" t="s">
        <v>548</v>
      </c>
    </row>
    <row r="316" spans="2:4" x14ac:dyDescent="0.25">
      <c r="B316" t="s">
        <v>417</v>
      </c>
      <c r="C316" t="str">
        <f t="shared" si="4"/>
        <v>IG-</v>
      </c>
      <c r="D316" t="s">
        <v>548</v>
      </c>
    </row>
    <row r="317" spans="2:4" x14ac:dyDescent="0.25">
      <c r="B317" t="s">
        <v>249</v>
      </c>
      <c r="C317" t="str">
        <f t="shared" si="4"/>
        <v>KC-</v>
      </c>
      <c r="D317" t="s">
        <v>548</v>
      </c>
    </row>
    <row r="318" spans="2:4" x14ac:dyDescent="0.25">
      <c r="B318" t="s">
        <v>508</v>
      </c>
      <c r="C318" t="str">
        <f t="shared" si="4"/>
        <v>KC-</v>
      </c>
      <c r="D318" t="s">
        <v>548</v>
      </c>
    </row>
    <row r="319" spans="2:4" x14ac:dyDescent="0.25">
      <c r="B319" t="s">
        <v>509</v>
      </c>
      <c r="C319" t="str">
        <f t="shared" si="4"/>
        <v>KC-</v>
      </c>
      <c r="D319" t="s">
        <v>548</v>
      </c>
    </row>
    <row r="320" spans="2:4" x14ac:dyDescent="0.25">
      <c r="B320" t="s">
        <v>382</v>
      </c>
      <c r="C320" t="str">
        <f t="shared" si="4"/>
        <v>KC-</v>
      </c>
      <c r="D320" t="s">
        <v>548</v>
      </c>
    </row>
    <row r="321" spans="2:4" x14ac:dyDescent="0.25">
      <c r="B321" t="s">
        <v>488</v>
      </c>
      <c r="C321" t="str">
        <f t="shared" si="4"/>
        <v>KD-</v>
      </c>
      <c r="D321" t="s">
        <v>546</v>
      </c>
    </row>
    <row r="322" spans="2:4" x14ac:dyDescent="0.25">
      <c r="B322" t="s">
        <v>243</v>
      </c>
      <c r="C322" t="str">
        <f t="shared" si="4"/>
        <v>KI-</v>
      </c>
      <c r="D322" t="s">
        <v>548</v>
      </c>
    </row>
    <row r="323" spans="2:4" x14ac:dyDescent="0.25">
      <c r="B323" t="s">
        <v>244</v>
      </c>
      <c r="C323" t="str">
        <f t="shared" ref="C323:C386" si="5">LEFT(B323,3)</f>
        <v>KI-</v>
      </c>
      <c r="D323" t="s">
        <v>548</v>
      </c>
    </row>
    <row r="324" spans="2:4" x14ac:dyDescent="0.25">
      <c r="B324" t="s">
        <v>344</v>
      </c>
      <c r="C324" t="str">
        <f t="shared" si="5"/>
        <v>KN-</v>
      </c>
      <c r="D324" t="s">
        <v>550</v>
      </c>
    </row>
    <row r="325" spans="2:4" x14ac:dyDescent="0.25">
      <c r="B325" t="s">
        <v>524</v>
      </c>
      <c r="C325" t="str">
        <f t="shared" si="5"/>
        <v>KS-</v>
      </c>
      <c r="D325" t="s">
        <v>551</v>
      </c>
    </row>
    <row r="326" spans="2:4" x14ac:dyDescent="0.25">
      <c r="B326" t="s">
        <v>463</v>
      </c>
      <c r="C326" t="str">
        <f t="shared" si="5"/>
        <v>KS-</v>
      </c>
      <c r="D326" t="s">
        <v>551</v>
      </c>
    </row>
    <row r="327" spans="2:4" x14ac:dyDescent="0.25">
      <c r="B327" t="s">
        <v>464</v>
      </c>
      <c r="C327" t="str">
        <f t="shared" si="5"/>
        <v>KS-</v>
      </c>
      <c r="D327" t="s">
        <v>551</v>
      </c>
    </row>
    <row r="328" spans="2:4" x14ac:dyDescent="0.25">
      <c r="B328" t="s">
        <v>465</v>
      </c>
      <c r="C328" t="str">
        <f t="shared" si="5"/>
        <v>KS-</v>
      </c>
      <c r="D328" t="s">
        <v>551</v>
      </c>
    </row>
    <row r="329" spans="2:4" x14ac:dyDescent="0.25">
      <c r="B329" t="s">
        <v>442</v>
      </c>
      <c r="C329" t="str">
        <f t="shared" si="5"/>
        <v>KS-</v>
      </c>
      <c r="D329" t="s">
        <v>551</v>
      </c>
    </row>
    <row r="330" spans="2:4" x14ac:dyDescent="0.25">
      <c r="B330" t="s">
        <v>443</v>
      </c>
      <c r="C330" t="str">
        <f t="shared" si="5"/>
        <v>KS-</v>
      </c>
      <c r="D330" t="s">
        <v>551</v>
      </c>
    </row>
    <row r="331" spans="2:4" x14ac:dyDescent="0.25">
      <c r="B331" t="s">
        <v>429</v>
      </c>
      <c r="C331" t="str">
        <f t="shared" si="5"/>
        <v>KS-</v>
      </c>
      <c r="D331" t="s">
        <v>551</v>
      </c>
    </row>
    <row r="332" spans="2:4" x14ac:dyDescent="0.25">
      <c r="B332" t="s">
        <v>430</v>
      </c>
      <c r="C332" t="str">
        <f t="shared" si="5"/>
        <v>KS-</v>
      </c>
      <c r="D332" t="s">
        <v>551</v>
      </c>
    </row>
    <row r="333" spans="2:4" x14ac:dyDescent="0.25">
      <c r="B333" t="s">
        <v>431</v>
      </c>
      <c r="C333" t="str">
        <f t="shared" si="5"/>
        <v>KS-</v>
      </c>
      <c r="D333" t="s">
        <v>551</v>
      </c>
    </row>
    <row r="334" spans="2:4" x14ac:dyDescent="0.25">
      <c r="B334" t="s">
        <v>432</v>
      </c>
      <c r="C334" t="str">
        <f t="shared" si="5"/>
        <v>KS-</v>
      </c>
      <c r="D334" t="s">
        <v>551</v>
      </c>
    </row>
    <row r="335" spans="2:4" x14ac:dyDescent="0.25">
      <c r="B335" t="s">
        <v>47</v>
      </c>
      <c r="C335" t="str">
        <f t="shared" si="5"/>
        <v>KS-</v>
      </c>
      <c r="D335" t="s">
        <v>551</v>
      </c>
    </row>
    <row r="336" spans="2:4" x14ac:dyDescent="0.25">
      <c r="B336" t="s">
        <v>48</v>
      </c>
      <c r="C336" t="str">
        <f t="shared" si="5"/>
        <v>KS-</v>
      </c>
      <c r="D336" t="s">
        <v>551</v>
      </c>
    </row>
    <row r="337" spans="2:4" x14ac:dyDescent="0.25">
      <c r="B337" t="s">
        <v>49</v>
      </c>
      <c r="C337" t="str">
        <f t="shared" si="5"/>
        <v>KS-</v>
      </c>
      <c r="D337" t="s">
        <v>551</v>
      </c>
    </row>
    <row r="338" spans="2:4" x14ac:dyDescent="0.25">
      <c r="B338" t="s">
        <v>50</v>
      </c>
      <c r="C338" t="str">
        <f t="shared" si="5"/>
        <v>KS-</v>
      </c>
      <c r="D338" t="s">
        <v>551</v>
      </c>
    </row>
    <row r="339" spans="2:4" x14ac:dyDescent="0.25">
      <c r="B339" t="s">
        <v>51</v>
      </c>
      <c r="C339" t="str">
        <f t="shared" si="5"/>
        <v>KS-</v>
      </c>
      <c r="D339" t="s">
        <v>551</v>
      </c>
    </row>
    <row r="340" spans="2:4" x14ac:dyDescent="0.25">
      <c r="B340" t="s">
        <v>52</v>
      </c>
      <c r="C340" t="str">
        <f t="shared" si="5"/>
        <v>KS-</v>
      </c>
      <c r="D340" t="s">
        <v>551</v>
      </c>
    </row>
    <row r="341" spans="2:4" x14ac:dyDescent="0.25">
      <c r="B341" t="s">
        <v>525</v>
      </c>
      <c r="C341" t="str">
        <f t="shared" si="5"/>
        <v>KSH</v>
      </c>
      <c r="D341" t="s">
        <v>551</v>
      </c>
    </row>
    <row r="342" spans="2:4" x14ac:dyDescent="0.25">
      <c r="B342" t="s">
        <v>262</v>
      </c>
      <c r="C342" t="str">
        <f t="shared" si="5"/>
        <v>KZ-</v>
      </c>
      <c r="D342" t="s">
        <v>545</v>
      </c>
    </row>
    <row r="343" spans="2:4" x14ac:dyDescent="0.25">
      <c r="B343" t="s">
        <v>42</v>
      </c>
      <c r="C343" t="str">
        <f t="shared" si="5"/>
        <v>KZS</v>
      </c>
      <c r="D343" t="s">
        <v>545</v>
      </c>
    </row>
    <row r="344" spans="2:4" x14ac:dyDescent="0.25">
      <c r="B344" t="s">
        <v>263</v>
      </c>
      <c r="C344" t="str">
        <f t="shared" si="5"/>
        <v>KZS</v>
      </c>
      <c r="D344" t="s">
        <v>545</v>
      </c>
    </row>
    <row r="345" spans="2:4" x14ac:dyDescent="0.25">
      <c r="B345" t="s">
        <v>313</v>
      </c>
      <c r="C345" t="str">
        <f t="shared" si="5"/>
        <v>LC-</v>
      </c>
      <c r="D345" t="s">
        <v>538</v>
      </c>
    </row>
    <row r="346" spans="2:4" x14ac:dyDescent="0.25">
      <c r="B346" t="s">
        <v>162</v>
      </c>
      <c r="C346" t="str">
        <f t="shared" si="5"/>
        <v>LC-</v>
      </c>
      <c r="D346" t="s">
        <v>538</v>
      </c>
    </row>
    <row r="347" spans="2:4" x14ac:dyDescent="0.25">
      <c r="B347" t="s">
        <v>245</v>
      </c>
      <c r="C347" t="str">
        <f t="shared" si="5"/>
        <v>LC-</v>
      </c>
      <c r="D347" t="s">
        <v>538</v>
      </c>
    </row>
    <row r="348" spans="2:4" x14ac:dyDescent="0.25">
      <c r="B348" t="s">
        <v>163</v>
      </c>
      <c r="C348" t="str">
        <f t="shared" si="5"/>
        <v>LC-</v>
      </c>
      <c r="D348" t="s">
        <v>538</v>
      </c>
    </row>
    <row r="349" spans="2:4" x14ac:dyDescent="0.25">
      <c r="B349" t="s">
        <v>513</v>
      </c>
      <c r="C349" t="str">
        <f t="shared" si="5"/>
        <v>MA-</v>
      </c>
      <c r="D349" t="s">
        <v>552</v>
      </c>
    </row>
    <row r="350" spans="2:4" x14ac:dyDescent="0.25">
      <c r="B350" t="s">
        <v>526</v>
      </c>
      <c r="C350" t="str">
        <f t="shared" si="5"/>
        <v>MA-</v>
      </c>
      <c r="D350" t="s">
        <v>552</v>
      </c>
    </row>
    <row r="351" spans="2:4" x14ac:dyDescent="0.25">
      <c r="B351" t="s">
        <v>27</v>
      </c>
      <c r="C351" t="str">
        <f t="shared" si="5"/>
        <v>ND-</v>
      </c>
      <c r="D351" t="s">
        <v>553</v>
      </c>
    </row>
    <row r="352" spans="2:4" x14ac:dyDescent="0.25">
      <c r="B352" t="s">
        <v>527</v>
      </c>
      <c r="C352" t="str">
        <f t="shared" si="5"/>
        <v>ND-</v>
      </c>
      <c r="D352" t="s">
        <v>553</v>
      </c>
    </row>
    <row r="353" spans="2:4" x14ac:dyDescent="0.25">
      <c r="B353" t="s">
        <v>30</v>
      </c>
      <c r="C353" t="str">
        <f t="shared" si="5"/>
        <v>ND-</v>
      </c>
      <c r="D353" t="s">
        <v>553</v>
      </c>
    </row>
    <row r="354" spans="2:4" x14ac:dyDescent="0.25">
      <c r="B354" t="s">
        <v>528</v>
      </c>
      <c r="C354" t="str">
        <f t="shared" si="5"/>
        <v>ND-</v>
      </c>
      <c r="D354" t="s">
        <v>553</v>
      </c>
    </row>
    <row r="355" spans="2:4" x14ac:dyDescent="0.25">
      <c r="B355" t="s">
        <v>36</v>
      </c>
      <c r="C355" t="str">
        <f t="shared" si="5"/>
        <v>ND-</v>
      </c>
      <c r="D355" t="s">
        <v>553</v>
      </c>
    </row>
    <row r="356" spans="2:4" x14ac:dyDescent="0.25">
      <c r="B356" t="s">
        <v>529</v>
      </c>
      <c r="C356" t="str">
        <f t="shared" si="5"/>
        <v>ND-</v>
      </c>
      <c r="D356" t="s">
        <v>553</v>
      </c>
    </row>
    <row r="357" spans="2:4" x14ac:dyDescent="0.25">
      <c r="B357" t="s">
        <v>26</v>
      </c>
      <c r="C357" t="str">
        <f t="shared" si="5"/>
        <v>NE-</v>
      </c>
      <c r="D357" t="s">
        <v>553</v>
      </c>
    </row>
    <row r="358" spans="2:4" x14ac:dyDescent="0.25">
      <c r="B358" t="s">
        <v>530</v>
      </c>
      <c r="C358" t="str">
        <f t="shared" si="5"/>
        <v>PB2</v>
      </c>
      <c r="D358" t="s">
        <v>540</v>
      </c>
    </row>
    <row r="359" spans="2:4" x14ac:dyDescent="0.25">
      <c r="B359" t="s">
        <v>531</v>
      </c>
      <c r="C359" t="str">
        <f t="shared" si="5"/>
        <v>PB2</v>
      </c>
      <c r="D359" t="s">
        <v>540</v>
      </c>
    </row>
    <row r="360" spans="2:4" x14ac:dyDescent="0.25">
      <c r="B360" t="s">
        <v>532</v>
      </c>
      <c r="C360" t="str">
        <f t="shared" si="5"/>
        <v>PB3</v>
      </c>
      <c r="D360" t="s">
        <v>540</v>
      </c>
    </row>
    <row r="361" spans="2:4" x14ac:dyDescent="0.25">
      <c r="B361" t="s">
        <v>43</v>
      </c>
      <c r="C361" t="str">
        <f t="shared" si="5"/>
        <v>PB3</v>
      </c>
      <c r="D361" t="s">
        <v>540</v>
      </c>
    </row>
    <row r="362" spans="2:4" x14ac:dyDescent="0.25">
      <c r="B362" t="s">
        <v>133</v>
      </c>
      <c r="C362" t="str">
        <f t="shared" si="5"/>
        <v>PJ-</v>
      </c>
      <c r="D362" t="s">
        <v>554</v>
      </c>
    </row>
    <row r="363" spans="2:4" x14ac:dyDescent="0.25">
      <c r="B363" t="s">
        <v>375</v>
      </c>
      <c r="C363" t="str">
        <f t="shared" si="5"/>
        <v>PJ-</v>
      </c>
      <c r="D363" t="s">
        <v>554</v>
      </c>
    </row>
    <row r="364" spans="2:4" x14ac:dyDescent="0.25">
      <c r="B364" t="s">
        <v>376</v>
      </c>
      <c r="C364" t="str">
        <f t="shared" si="5"/>
        <v>PJ-</v>
      </c>
      <c r="D364" t="s">
        <v>554</v>
      </c>
    </row>
    <row r="365" spans="2:4" x14ac:dyDescent="0.25">
      <c r="B365" t="s">
        <v>377</v>
      </c>
      <c r="C365" t="str">
        <f t="shared" si="5"/>
        <v>PJ-</v>
      </c>
      <c r="D365" t="s">
        <v>554</v>
      </c>
    </row>
    <row r="366" spans="2:4" x14ac:dyDescent="0.25">
      <c r="B366" t="s">
        <v>378</v>
      </c>
      <c r="C366" t="str">
        <f t="shared" si="5"/>
        <v>PJ-</v>
      </c>
      <c r="D366" t="s">
        <v>554</v>
      </c>
    </row>
    <row r="367" spans="2:4" x14ac:dyDescent="0.25">
      <c r="B367" t="s">
        <v>320</v>
      </c>
      <c r="C367" t="str">
        <f t="shared" si="5"/>
        <v>PJ-</v>
      </c>
      <c r="D367" t="s">
        <v>554</v>
      </c>
    </row>
    <row r="368" spans="2:4" x14ac:dyDescent="0.25">
      <c r="B368" t="s">
        <v>351</v>
      </c>
      <c r="C368" t="str">
        <f t="shared" si="5"/>
        <v>PS-</v>
      </c>
      <c r="D368" t="s">
        <v>541</v>
      </c>
    </row>
    <row r="369" spans="2:4" x14ac:dyDescent="0.25">
      <c r="B369" t="s">
        <v>466</v>
      </c>
      <c r="C369" t="str">
        <f t="shared" si="5"/>
        <v>PS-</v>
      </c>
      <c r="D369" t="s">
        <v>541</v>
      </c>
    </row>
    <row r="370" spans="2:4" x14ac:dyDescent="0.25">
      <c r="B370" t="s">
        <v>64</v>
      </c>
      <c r="C370" t="str">
        <f t="shared" si="5"/>
        <v>R-2</v>
      </c>
      <c r="D370" t="s">
        <v>555</v>
      </c>
    </row>
    <row r="371" spans="2:4" x14ac:dyDescent="0.25">
      <c r="B371" t="s">
        <v>134</v>
      </c>
      <c r="C371" t="str">
        <f t="shared" si="5"/>
        <v>R-2</v>
      </c>
      <c r="D371" t="s">
        <v>555</v>
      </c>
    </row>
    <row r="372" spans="2:4" x14ac:dyDescent="0.25">
      <c r="B372" t="s">
        <v>307</v>
      </c>
      <c r="C372" t="str">
        <f t="shared" si="5"/>
        <v>R-2</v>
      </c>
      <c r="D372" t="s">
        <v>555</v>
      </c>
    </row>
    <row r="373" spans="2:4" x14ac:dyDescent="0.25">
      <c r="B373" t="s">
        <v>31</v>
      </c>
      <c r="C373" t="str">
        <f t="shared" si="5"/>
        <v>R-2</v>
      </c>
      <c r="D373" t="s">
        <v>555</v>
      </c>
    </row>
    <row r="374" spans="2:4" x14ac:dyDescent="0.25">
      <c r="B374" t="s">
        <v>128</v>
      </c>
      <c r="C374" t="str">
        <f t="shared" si="5"/>
        <v>R-2</v>
      </c>
      <c r="D374" t="s">
        <v>555</v>
      </c>
    </row>
    <row r="375" spans="2:4" x14ac:dyDescent="0.25">
      <c r="B375" t="s">
        <v>357</v>
      </c>
      <c r="C375" t="str">
        <f t="shared" si="5"/>
        <v>R-6</v>
      </c>
      <c r="D375" t="s">
        <v>555</v>
      </c>
    </row>
    <row r="376" spans="2:4" x14ac:dyDescent="0.25">
      <c r="B376" t="s">
        <v>65</v>
      </c>
      <c r="C376" t="str">
        <f t="shared" si="5"/>
        <v>R-7</v>
      </c>
      <c r="D376" t="s">
        <v>555</v>
      </c>
    </row>
    <row r="377" spans="2:4" x14ac:dyDescent="0.25">
      <c r="B377" t="s">
        <v>66</v>
      </c>
      <c r="C377" t="str">
        <f t="shared" si="5"/>
        <v>R-7</v>
      </c>
      <c r="D377" t="s">
        <v>555</v>
      </c>
    </row>
    <row r="378" spans="2:4" x14ac:dyDescent="0.25">
      <c r="B378" t="s">
        <v>67</v>
      </c>
      <c r="C378" t="str">
        <f t="shared" si="5"/>
        <v>R-7</v>
      </c>
      <c r="D378" t="s">
        <v>555</v>
      </c>
    </row>
    <row r="379" spans="2:4" x14ac:dyDescent="0.25">
      <c r="B379" t="s">
        <v>264</v>
      </c>
      <c r="C379" t="str">
        <f t="shared" si="5"/>
        <v>R-7</v>
      </c>
      <c r="D379" t="s">
        <v>555</v>
      </c>
    </row>
    <row r="380" spans="2:4" x14ac:dyDescent="0.25">
      <c r="B380" t="s">
        <v>265</v>
      </c>
      <c r="C380" t="str">
        <f t="shared" si="5"/>
        <v>R-7</v>
      </c>
      <c r="D380" t="s">
        <v>555</v>
      </c>
    </row>
    <row r="381" spans="2:4" x14ac:dyDescent="0.25">
      <c r="B381" t="s">
        <v>358</v>
      </c>
      <c r="C381" t="str">
        <f t="shared" si="5"/>
        <v>R-7</v>
      </c>
      <c r="D381" t="s">
        <v>555</v>
      </c>
    </row>
    <row r="382" spans="2:4" x14ac:dyDescent="0.25">
      <c r="B382" t="s">
        <v>359</v>
      </c>
      <c r="C382" t="str">
        <f t="shared" si="5"/>
        <v>R-7</v>
      </c>
      <c r="D382" t="s">
        <v>555</v>
      </c>
    </row>
    <row r="383" spans="2:4" x14ac:dyDescent="0.25">
      <c r="B383" t="s">
        <v>251</v>
      </c>
      <c r="C383" t="str">
        <f t="shared" si="5"/>
        <v>R-8</v>
      </c>
      <c r="D383" t="s">
        <v>555</v>
      </c>
    </row>
    <row r="384" spans="2:4" x14ac:dyDescent="0.25">
      <c r="B384" t="s">
        <v>533</v>
      </c>
      <c r="C384" t="str">
        <f t="shared" si="5"/>
        <v>SB-</v>
      </c>
      <c r="D384" t="s">
        <v>545</v>
      </c>
    </row>
    <row r="385" spans="2:4" x14ac:dyDescent="0.25">
      <c r="B385" t="s">
        <v>105</v>
      </c>
      <c r="C385" t="str">
        <f t="shared" si="5"/>
        <v>SCH</v>
      </c>
      <c r="D385" t="s">
        <v>547</v>
      </c>
    </row>
    <row r="386" spans="2:4" x14ac:dyDescent="0.25">
      <c r="B386" t="s">
        <v>314</v>
      </c>
      <c r="C386" t="str">
        <f t="shared" si="5"/>
        <v>SCH</v>
      </c>
      <c r="D386" t="s">
        <v>547</v>
      </c>
    </row>
    <row r="387" spans="2:4" x14ac:dyDescent="0.25">
      <c r="B387" t="s">
        <v>106</v>
      </c>
      <c r="C387" t="str">
        <f t="shared" ref="C387:C450" si="6">LEFT(B387,3)</f>
        <v>SCH</v>
      </c>
      <c r="D387" t="s">
        <v>547</v>
      </c>
    </row>
    <row r="388" spans="2:4" x14ac:dyDescent="0.25">
      <c r="B388" t="s">
        <v>35</v>
      </c>
      <c r="C388" t="str">
        <f t="shared" si="6"/>
        <v>SCH</v>
      </c>
      <c r="D388" t="s">
        <v>547</v>
      </c>
    </row>
    <row r="389" spans="2:4" x14ac:dyDescent="0.25">
      <c r="B389" t="s">
        <v>107</v>
      </c>
      <c r="C389" t="str">
        <f t="shared" si="6"/>
        <v>SCH</v>
      </c>
      <c r="D389" t="s">
        <v>547</v>
      </c>
    </row>
    <row r="390" spans="2:4" x14ac:dyDescent="0.25">
      <c r="B390" t="s">
        <v>79</v>
      </c>
      <c r="C390" t="str">
        <f t="shared" si="6"/>
        <v>SCH</v>
      </c>
      <c r="D390" t="s">
        <v>547</v>
      </c>
    </row>
    <row r="391" spans="2:4" x14ac:dyDescent="0.25">
      <c r="B391" t="s">
        <v>147</v>
      </c>
      <c r="C391" t="str">
        <f t="shared" si="6"/>
        <v>SH-</v>
      </c>
      <c r="D391" t="s">
        <v>556</v>
      </c>
    </row>
    <row r="392" spans="2:4" x14ac:dyDescent="0.25">
      <c r="B392" t="s">
        <v>148</v>
      </c>
      <c r="C392" t="str">
        <f t="shared" si="6"/>
        <v>SH-</v>
      </c>
      <c r="D392" t="s">
        <v>556</v>
      </c>
    </row>
    <row r="393" spans="2:4" x14ac:dyDescent="0.25">
      <c r="B393" t="s">
        <v>149</v>
      </c>
      <c r="C393" t="str">
        <f t="shared" si="6"/>
        <v>SH-</v>
      </c>
      <c r="D393" t="s">
        <v>556</v>
      </c>
    </row>
    <row r="394" spans="2:4" x14ac:dyDescent="0.25">
      <c r="B394" t="s">
        <v>150</v>
      </c>
      <c r="C394" t="str">
        <f t="shared" si="6"/>
        <v>SH-</v>
      </c>
      <c r="D394" t="s">
        <v>556</v>
      </c>
    </row>
    <row r="395" spans="2:4" x14ac:dyDescent="0.25">
      <c r="B395" t="s">
        <v>145</v>
      </c>
      <c r="C395" t="str">
        <f t="shared" si="6"/>
        <v>SH-</v>
      </c>
      <c r="D395" t="s">
        <v>556</v>
      </c>
    </row>
    <row r="396" spans="2:4" x14ac:dyDescent="0.25">
      <c r="B396" t="s">
        <v>360</v>
      </c>
      <c r="C396" t="str">
        <f t="shared" si="6"/>
        <v>SH-</v>
      </c>
      <c r="D396" t="s">
        <v>556</v>
      </c>
    </row>
    <row r="397" spans="2:4" x14ac:dyDescent="0.25">
      <c r="B397" t="s">
        <v>444</v>
      </c>
      <c r="C397" t="str">
        <f t="shared" si="6"/>
        <v>SJ-</v>
      </c>
      <c r="D397" t="s">
        <v>547</v>
      </c>
    </row>
    <row r="398" spans="2:4" x14ac:dyDescent="0.25">
      <c r="B398" t="s">
        <v>445</v>
      </c>
      <c r="C398" t="str">
        <f t="shared" si="6"/>
        <v>SJ-</v>
      </c>
      <c r="D398" t="s">
        <v>547</v>
      </c>
    </row>
    <row r="399" spans="2:4" x14ac:dyDescent="0.25">
      <c r="B399" t="s">
        <v>108</v>
      </c>
      <c r="C399" t="str">
        <f t="shared" si="6"/>
        <v>SJ-</v>
      </c>
      <c r="D399" t="s">
        <v>547</v>
      </c>
    </row>
    <row r="400" spans="2:4" x14ac:dyDescent="0.25">
      <c r="B400" t="s">
        <v>109</v>
      </c>
      <c r="C400" t="str">
        <f t="shared" si="6"/>
        <v>SJ-</v>
      </c>
      <c r="D400" t="s">
        <v>547</v>
      </c>
    </row>
    <row r="401" spans="2:4" x14ac:dyDescent="0.25">
      <c r="B401" t="s">
        <v>212</v>
      </c>
      <c r="C401" t="str">
        <f t="shared" si="6"/>
        <v>SJ-</v>
      </c>
      <c r="D401" t="s">
        <v>547</v>
      </c>
    </row>
    <row r="402" spans="2:4" x14ac:dyDescent="0.25">
      <c r="B402" t="s">
        <v>110</v>
      </c>
      <c r="C402" t="str">
        <f t="shared" si="6"/>
        <v>SJ-</v>
      </c>
      <c r="D402" t="s">
        <v>547</v>
      </c>
    </row>
    <row r="403" spans="2:4" x14ac:dyDescent="0.25">
      <c r="B403" t="s">
        <v>369</v>
      </c>
      <c r="C403" t="str">
        <f t="shared" si="6"/>
        <v>SJ-</v>
      </c>
      <c r="D403" t="s">
        <v>547</v>
      </c>
    </row>
    <row r="404" spans="2:4" x14ac:dyDescent="0.25">
      <c r="B404" t="s">
        <v>111</v>
      </c>
      <c r="C404" t="str">
        <f t="shared" si="6"/>
        <v>SJ-</v>
      </c>
      <c r="D404" t="s">
        <v>547</v>
      </c>
    </row>
    <row r="405" spans="2:4" x14ac:dyDescent="0.25">
      <c r="B405" t="s">
        <v>112</v>
      </c>
      <c r="C405" t="str">
        <f t="shared" si="6"/>
        <v>SJ-</v>
      </c>
      <c r="D405" t="s">
        <v>547</v>
      </c>
    </row>
    <row r="406" spans="2:4" x14ac:dyDescent="0.25">
      <c r="B406" t="s">
        <v>113</v>
      </c>
      <c r="C406" t="str">
        <f t="shared" si="6"/>
        <v>SJ-</v>
      </c>
      <c r="D406" t="s">
        <v>547</v>
      </c>
    </row>
    <row r="407" spans="2:4" x14ac:dyDescent="0.25">
      <c r="B407" t="s">
        <v>114</v>
      </c>
      <c r="C407" t="str">
        <f t="shared" si="6"/>
        <v>SJ-</v>
      </c>
      <c r="D407" t="s">
        <v>547</v>
      </c>
    </row>
    <row r="408" spans="2:4" x14ac:dyDescent="0.25">
      <c r="B408" t="s">
        <v>115</v>
      </c>
      <c r="C408" t="str">
        <f t="shared" si="6"/>
        <v>SJ-</v>
      </c>
      <c r="D408" t="s">
        <v>547</v>
      </c>
    </row>
    <row r="409" spans="2:4" x14ac:dyDescent="0.25">
      <c r="B409" t="s">
        <v>329</v>
      </c>
      <c r="C409" t="str">
        <f t="shared" si="6"/>
        <v>SJ-</v>
      </c>
      <c r="D409" t="s">
        <v>547</v>
      </c>
    </row>
    <row r="410" spans="2:4" x14ac:dyDescent="0.25">
      <c r="B410" t="s">
        <v>330</v>
      </c>
      <c r="C410" t="str">
        <f t="shared" si="6"/>
        <v>SJ-</v>
      </c>
      <c r="D410" t="s">
        <v>547</v>
      </c>
    </row>
    <row r="411" spans="2:4" x14ac:dyDescent="0.25">
      <c r="B411" t="s">
        <v>135</v>
      </c>
      <c r="C411" t="str">
        <f t="shared" si="6"/>
        <v>SJ-</v>
      </c>
      <c r="D411" t="s">
        <v>547</v>
      </c>
    </row>
    <row r="412" spans="2:4" x14ac:dyDescent="0.25">
      <c r="B412" t="s">
        <v>136</v>
      </c>
      <c r="C412" t="str">
        <f t="shared" si="6"/>
        <v>SJ-</v>
      </c>
      <c r="D412" t="s">
        <v>547</v>
      </c>
    </row>
    <row r="413" spans="2:4" x14ac:dyDescent="0.25">
      <c r="B413" t="s">
        <v>383</v>
      </c>
      <c r="C413" t="str">
        <f t="shared" si="6"/>
        <v>SJ-</v>
      </c>
      <c r="D413" t="s">
        <v>547</v>
      </c>
    </row>
    <row r="414" spans="2:4" x14ac:dyDescent="0.25">
      <c r="B414" t="s">
        <v>213</v>
      </c>
      <c r="C414" t="str">
        <f t="shared" si="6"/>
        <v>SJ-</v>
      </c>
      <c r="D414" t="s">
        <v>547</v>
      </c>
    </row>
    <row r="415" spans="2:4" x14ac:dyDescent="0.25">
      <c r="B415" t="s">
        <v>214</v>
      </c>
      <c r="C415" t="str">
        <f t="shared" si="6"/>
        <v>SJ-</v>
      </c>
      <c r="D415" t="s">
        <v>547</v>
      </c>
    </row>
    <row r="416" spans="2:4" x14ac:dyDescent="0.25">
      <c r="B416" t="s">
        <v>116</v>
      </c>
      <c r="C416" t="str">
        <f t="shared" si="6"/>
        <v>SJ-</v>
      </c>
      <c r="D416" t="s">
        <v>547</v>
      </c>
    </row>
    <row r="417" spans="2:4" x14ac:dyDescent="0.25">
      <c r="B417" t="s">
        <v>117</v>
      </c>
      <c r="C417" t="str">
        <f t="shared" si="6"/>
        <v>SJ-</v>
      </c>
      <c r="D417" t="s">
        <v>547</v>
      </c>
    </row>
    <row r="418" spans="2:4" x14ac:dyDescent="0.25">
      <c r="B418" t="s">
        <v>331</v>
      </c>
      <c r="C418" t="str">
        <f t="shared" si="6"/>
        <v>SJ-</v>
      </c>
      <c r="D418" t="s">
        <v>547</v>
      </c>
    </row>
    <row r="419" spans="2:4" x14ac:dyDescent="0.25">
      <c r="B419" t="s">
        <v>332</v>
      </c>
      <c r="C419" t="str">
        <f t="shared" si="6"/>
        <v>SJ-</v>
      </c>
      <c r="D419" t="s">
        <v>547</v>
      </c>
    </row>
    <row r="420" spans="2:4" x14ac:dyDescent="0.25">
      <c r="B420" t="s">
        <v>370</v>
      </c>
      <c r="C420" t="str">
        <f t="shared" si="6"/>
        <v>SJ-</v>
      </c>
      <c r="D420" t="s">
        <v>547</v>
      </c>
    </row>
    <row r="421" spans="2:4" x14ac:dyDescent="0.25">
      <c r="B421" t="s">
        <v>137</v>
      </c>
      <c r="C421" t="str">
        <f t="shared" si="6"/>
        <v>SJ-</v>
      </c>
      <c r="D421" t="s">
        <v>547</v>
      </c>
    </row>
    <row r="422" spans="2:4" x14ac:dyDescent="0.25">
      <c r="B422" t="s">
        <v>138</v>
      </c>
      <c r="C422" t="str">
        <f t="shared" si="6"/>
        <v>SJ-</v>
      </c>
      <c r="D422" t="s">
        <v>547</v>
      </c>
    </row>
    <row r="423" spans="2:4" x14ac:dyDescent="0.25">
      <c r="B423" t="s">
        <v>384</v>
      </c>
      <c r="C423" t="str">
        <f t="shared" si="6"/>
        <v>SJ-</v>
      </c>
      <c r="D423" t="s">
        <v>547</v>
      </c>
    </row>
    <row r="424" spans="2:4" x14ac:dyDescent="0.25">
      <c r="B424" t="s">
        <v>83</v>
      </c>
      <c r="C424" t="str">
        <f t="shared" si="6"/>
        <v>SJ-</v>
      </c>
      <c r="D424" t="s">
        <v>547</v>
      </c>
    </row>
    <row r="425" spans="2:4" x14ac:dyDescent="0.25">
      <c r="B425" t="s">
        <v>90</v>
      </c>
      <c r="C425" t="str">
        <f t="shared" si="6"/>
        <v>SJ-</v>
      </c>
      <c r="D425" t="s">
        <v>547</v>
      </c>
    </row>
    <row r="426" spans="2:4" x14ac:dyDescent="0.25">
      <c r="B426" t="s">
        <v>84</v>
      </c>
      <c r="C426" t="str">
        <f t="shared" si="6"/>
        <v>SJ-</v>
      </c>
      <c r="D426" t="s">
        <v>547</v>
      </c>
    </row>
    <row r="427" spans="2:4" x14ac:dyDescent="0.25">
      <c r="B427" t="s">
        <v>91</v>
      </c>
      <c r="C427" t="str">
        <f t="shared" si="6"/>
        <v>SJ-</v>
      </c>
      <c r="D427" t="s">
        <v>547</v>
      </c>
    </row>
    <row r="428" spans="2:4" x14ac:dyDescent="0.25">
      <c r="B428" t="s">
        <v>504</v>
      </c>
      <c r="C428" t="str">
        <f t="shared" si="6"/>
        <v>SJ-</v>
      </c>
      <c r="D428" t="s">
        <v>547</v>
      </c>
    </row>
    <row r="429" spans="2:4" x14ac:dyDescent="0.25">
      <c r="B429" t="s">
        <v>534</v>
      </c>
      <c r="C429" t="str">
        <f t="shared" si="6"/>
        <v>SJ-</v>
      </c>
      <c r="D429" t="s">
        <v>547</v>
      </c>
    </row>
    <row r="430" spans="2:4" x14ac:dyDescent="0.25">
      <c r="B430" t="s">
        <v>535</v>
      </c>
      <c r="C430" t="str">
        <f t="shared" si="6"/>
        <v>SJ-</v>
      </c>
      <c r="D430" t="s">
        <v>547</v>
      </c>
    </row>
    <row r="431" spans="2:4" x14ac:dyDescent="0.25">
      <c r="B431" t="s">
        <v>403</v>
      </c>
      <c r="C431" t="str">
        <f t="shared" si="6"/>
        <v>SJ-</v>
      </c>
      <c r="D431" t="s">
        <v>547</v>
      </c>
    </row>
    <row r="432" spans="2:4" x14ac:dyDescent="0.25">
      <c r="B432" t="s">
        <v>404</v>
      </c>
      <c r="C432" t="str">
        <f t="shared" si="6"/>
        <v>SJ-</v>
      </c>
      <c r="D432" t="s">
        <v>547</v>
      </c>
    </row>
    <row r="433" spans="2:4" x14ac:dyDescent="0.25">
      <c r="B433" t="s">
        <v>405</v>
      </c>
      <c r="C433" t="str">
        <f t="shared" si="6"/>
        <v>SJ-</v>
      </c>
      <c r="D433" t="s">
        <v>547</v>
      </c>
    </row>
    <row r="434" spans="2:4" x14ac:dyDescent="0.25">
      <c r="B434" t="s">
        <v>185</v>
      </c>
      <c r="C434" t="str">
        <f t="shared" si="6"/>
        <v>SJ-</v>
      </c>
      <c r="D434" t="s">
        <v>547</v>
      </c>
    </row>
    <row r="435" spans="2:4" x14ac:dyDescent="0.25">
      <c r="B435" t="s">
        <v>186</v>
      </c>
      <c r="C435" t="str">
        <f t="shared" si="6"/>
        <v>SJ-</v>
      </c>
      <c r="D435" t="s">
        <v>547</v>
      </c>
    </row>
    <row r="436" spans="2:4" x14ac:dyDescent="0.25">
      <c r="B436" t="s">
        <v>187</v>
      </c>
      <c r="C436" t="str">
        <f t="shared" si="6"/>
        <v>SJ-</v>
      </c>
      <c r="D436" t="s">
        <v>547</v>
      </c>
    </row>
    <row r="437" spans="2:4" x14ac:dyDescent="0.25">
      <c r="B437" t="s">
        <v>188</v>
      </c>
      <c r="C437" t="str">
        <f t="shared" si="6"/>
        <v>SJ-</v>
      </c>
      <c r="D437" t="s">
        <v>547</v>
      </c>
    </row>
    <row r="438" spans="2:4" x14ac:dyDescent="0.25">
      <c r="B438" t="s">
        <v>217</v>
      </c>
      <c r="C438" t="str">
        <f t="shared" si="6"/>
        <v>SJ-</v>
      </c>
      <c r="D438" t="s">
        <v>547</v>
      </c>
    </row>
    <row r="439" spans="2:4" x14ac:dyDescent="0.25">
      <c r="B439" t="s">
        <v>189</v>
      </c>
      <c r="C439" t="str">
        <f t="shared" si="6"/>
        <v>SJ-</v>
      </c>
      <c r="D439" t="s">
        <v>547</v>
      </c>
    </row>
    <row r="440" spans="2:4" x14ac:dyDescent="0.25">
      <c r="B440" t="s">
        <v>190</v>
      </c>
      <c r="C440" t="str">
        <f t="shared" si="6"/>
        <v>SJ-</v>
      </c>
      <c r="D440" t="s">
        <v>547</v>
      </c>
    </row>
    <row r="441" spans="2:4" x14ac:dyDescent="0.25">
      <c r="B441" t="s">
        <v>485</v>
      </c>
      <c r="C441" t="str">
        <f t="shared" si="6"/>
        <v>SJ-</v>
      </c>
      <c r="D441" t="s">
        <v>547</v>
      </c>
    </row>
    <row r="442" spans="2:4" x14ac:dyDescent="0.25">
      <c r="B442" t="s">
        <v>440</v>
      </c>
      <c r="C442" t="str">
        <f t="shared" si="6"/>
        <v>SJ-</v>
      </c>
      <c r="D442" t="s">
        <v>547</v>
      </c>
    </row>
    <row r="443" spans="2:4" x14ac:dyDescent="0.25">
      <c r="B443" t="s">
        <v>486</v>
      </c>
      <c r="C443" t="str">
        <f t="shared" si="6"/>
        <v>SJ-</v>
      </c>
      <c r="D443" t="s">
        <v>547</v>
      </c>
    </row>
    <row r="444" spans="2:4" x14ac:dyDescent="0.25">
      <c r="B444" t="s">
        <v>477</v>
      </c>
      <c r="C444" t="str">
        <f t="shared" si="6"/>
        <v>SJ-</v>
      </c>
      <c r="D444" t="s">
        <v>547</v>
      </c>
    </row>
    <row r="445" spans="2:4" x14ac:dyDescent="0.25">
      <c r="B445" t="s">
        <v>478</v>
      </c>
      <c r="C445" t="str">
        <f t="shared" si="6"/>
        <v>SJ-</v>
      </c>
      <c r="D445" t="s">
        <v>547</v>
      </c>
    </row>
    <row r="446" spans="2:4" x14ac:dyDescent="0.25">
      <c r="B446" t="s">
        <v>479</v>
      </c>
      <c r="C446" t="str">
        <f t="shared" si="6"/>
        <v>SJ-</v>
      </c>
      <c r="D446" t="s">
        <v>547</v>
      </c>
    </row>
    <row r="447" spans="2:4" x14ac:dyDescent="0.25">
      <c r="B447" t="s">
        <v>480</v>
      </c>
      <c r="C447" t="str">
        <f t="shared" si="6"/>
        <v>SJ-</v>
      </c>
      <c r="D447" t="s">
        <v>547</v>
      </c>
    </row>
    <row r="448" spans="2:4" x14ac:dyDescent="0.25">
      <c r="B448" t="s">
        <v>406</v>
      </c>
      <c r="C448" t="str">
        <f t="shared" si="6"/>
        <v>SJ-</v>
      </c>
      <c r="D448" t="s">
        <v>547</v>
      </c>
    </row>
    <row r="449" spans="2:4" x14ac:dyDescent="0.25">
      <c r="B449" t="s">
        <v>407</v>
      </c>
      <c r="C449" t="str">
        <f t="shared" si="6"/>
        <v>SJ-</v>
      </c>
      <c r="D449" t="s">
        <v>547</v>
      </c>
    </row>
    <row r="450" spans="2:4" x14ac:dyDescent="0.25">
      <c r="B450" t="s">
        <v>92</v>
      </c>
      <c r="C450" t="str">
        <f t="shared" si="6"/>
        <v>SJ-</v>
      </c>
      <c r="D450" t="s">
        <v>547</v>
      </c>
    </row>
    <row r="451" spans="2:4" x14ac:dyDescent="0.25">
      <c r="B451" t="s">
        <v>93</v>
      </c>
      <c r="C451" t="str">
        <f t="shared" ref="C451:C514" si="7">LEFT(B451,3)</f>
        <v>SJ-</v>
      </c>
      <c r="D451" t="s">
        <v>547</v>
      </c>
    </row>
    <row r="452" spans="2:4" x14ac:dyDescent="0.25">
      <c r="B452" t="s">
        <v>352</v>
      </c>
      <c r="C452" t="str">
        <f t="shared" si="7"/>
        <v>SJ-</v>
      </c>
      <c r="D452" t="s">
        <v>547</v>
      </c>
    </row>
    <row r="453" spans="2:4" x14ac:dyDescent="0.25">
      <c r="B453" t="s">
        <v>408</v>
      </c>
      <c r="C453" t="str">
        <f t="shared" si="7"/>
        <v>SJ-</v>
      </c>
      <c r="D453" t="s">
        <v>547</v>
      </c>
    </row>
    <row r="454" spans="2:4" x14ac:dyDescent="0.25">
      <c r="B454" t="s">
        <v>409</v>
      </c>
      <c r="C454" t="str">
        <f t="shared" si="7"/>
        <v>SJ-</v>
      </c>
      <c r="D454" t="s">
        <v>547</v>
      </c>
    </row>
    <row r="455" spans="2:4" x14ac:dyDescent="0.25">
      <c r="B455" t="s">
        <v>410</v>
      </c>
      <c r="C455" t="str">
        <f t="shared" si="7"/>
        <v>SJ-</v>
      </c>
      <c r="D455" t="s">
        <v>547</v>
      </c>
    </row>
    <row r="456" spans="2:4" x14ac:dyDescent="0.25">
      <c r="B456" t="s">
        <v>411</v>
      </c>
      <c r="C456" t="str">
        <f t="shared" si="7"/>
        <v>SJ-</v>
      </c>
      <c r="D456" t="s">
        <v>547</v>
      </c>
    </row>
    <row r="457" spans="2:4" x14ac:dyDescent="0.25">
      <c r="B457" t="s">
        <v>218</v>
      </c>
      <c r="C457" t="str">
        <f t="shared" si="7"/>
        <v>SJ-</v>
      </c>
      <c r="D457" t="s">
        <v>547</v>
      </c>
    </row>
    <row r="458" spans="2:4" x14ac:dyDescent="0.25">
      <c r="B458" t="s">
        <v>219</v>
      </c>
      <c r="C458" t="str">
        <f t="shared" si="7"/>
        <v>SJ-</v>
      </c>
      <c r="D458" t="s">
        <v>547</v>
      </c>
    </row>
    <row r="459" spans="2:4" x14ac:dyDescent="0.25">
      <c r="B459" t="s">
        <v>220</v>
      </c>
      <c r="C459" t="str">
        <f t="shared" si="7"/>
        <v>SJ-</v>
      </c>
      <c r="D459" t="s">
        <v>547</v>
      </c>
    </row>
    <row r="460" spans="2:4" x14ac:dyDescent="0.25">
      <c r="B460" t="s">
        <v>273</v>
      </c>
      <c r="C460" t="str">
        <f t="shared" si="7"/>
        <v>SJ-</v>
      </c>
      <c r="D460" t="s">
        <v>547</v>
      </c>
    </row>
    <row r="461" spans="2:4" x14ac:dyDescent="0.25">
      <c r="B461" t="s">
        <v>274</v>
      </c>
      <c r="C461" t="str">
        <f t="shared" si="7"/>
        <v>SJ-</v>
      </c>
      <c r="D461" t="s">
        <v>547</v>
      </c>
    </row>
    <row r="462" spans="2:4" x14ac:dyDescent="0.25">
      <c r="B462" t="s">
        <v>275</v>
      </c>
      <c r="C462" t="str">
        <f t="shared" si="7"/>
        <v>SJ-</v>
      </c>
      <c r="D462" t="s">
        <v>547</v>
      </c>
    </row>
    <row r="463" spans="2:4" x14ac:dyDescent="0.25">
      <c r="B463" t="s">
        <v>170</v>
      </c>
      <c r="C463" t="str">
        <f t="shared" si="7"/>
        <v>SJ-</v>
      </c>
      <c r="D463" t="s">
        <v>547</v>
      </c>
    </row>
    <row r="464" spans="2:4" x14ac:dyDescent="0.25">
      <c r="B464" t="s">
        <v>171</v>
      </c>
      <c r="C464" t="str">
        <f t="shared" si="7"/>
        <v>SJ-</v>
      </c>
      <c r="D464" t="s">
        <v>547</v>
      </c>
    </row>
    <row r="465" spans="2:4" x14ac:dyDescent="0.25">
      <c r="B465" t="s">
        <v>172</v>
      </c>
      <c r="C465" t="str">
        <f t="shared" si="7"/>
        <v>SJ-</v>
      </c>
      <c r="D465" t="s">
        <v>547</v>
      </c>
    </row>
    <row r="466" spans="2:4" x14ac:dyDescent="0.25">
      <c r="B466" t="s">
        <v>173</v>
      </c>
      <c r="C466" t="str">
        <f t="shared" si="7"/>
        <v>SJ-</v>
      </c>
      <c r="D466" t="s">
        <v>547</v>
      </c>
    </row>
    <row r="467" spans="2:4" x14ac:dyDescent="0.25">
      <c r="B467" t="s">
        <v>174</v>
      </c>
      <c r="C467" t="str">
        <f t="shared" si="7"/>
        <v>SJ-</v>
      </c>
      <c r="D467" t="s">
        <v>547</v>
      </c>
    </row>
    <row r="468" spans="2:4" x14ac:dyDescent="0.25">
      <c r="B468" t="s">
        <v>198</v>
      </c>
      <c r="C468" t="str">
        <f t="shared" si="7"/>
        <v>SJ-</v>
      </c>
      <c r="D468" t="s">
        <v>547</v>
      </c>
    </row>
    <row r="469" spans="2:4" x14ac:dyDescent="0.25">
      <c r="B469" t="s">
        <v>276</v>
      </c>
      <c r="C469" t="str">
        <f t="shared" si="7"/>
        <v>SJ-</v>
      </c>
      <c r="D469" t="s">
        <v>547</v>
      </c>
    </row>
    <row r="470" spans="2:4" x14ac:dyDescent="0.25">
      <c r="B470" t="s">
        <v>277</v>
      </c>
      <c r="C470" t="str">
        <f t="shared" si="7"/>
        <v>SJ-</v>
      </c>
      <c r="D470" t="s">
        <v>547</v>
      </c>
    </row>
    <row r="471" spans="2:4" x14ac:dyDescent="0.25">
      <c r="B471" t="s">
        <v>278</v>
      </c>
      <c r="C471" t="str">
        <f t="shared" si="7"/>
        <v>SJ-</v>
      </c>
      <c r="D471" t="s">
        <v>547</v>
      </c>
    </row>
    <row r="472" spans="2:4" x14ac:dyDescent="0.25">
      <c r="B472" t="s">
        <v>175</v>
      </c>
      <c r="C472" t="str">
        <f t="shared" si="7"/>
        <v>SJ-</v>
      </c>
      <c r="D472" t="s">
        <v>547</v>
      </c>
    </row>
    <row r="473" spans="2:4" x14ac:dyDescent="0.25">
      <c r="B473" t="s">
        <v>176</v>
      </c>
      <c r="C473" t="str">
        <f t="shared" si="7"/>
        <v>SJ-</v>
      </c>
      <c r="D473" t="s">
        <v>547</v>
      </c>
    </row>
    <row r="474" spans="2:4" x14ac:dyDescent="0.25">
      <c r="B474" t="s">
        <v>177</v>
      </c>
      <c r="C474" t="str">
        <f t="shared" si="7"/>
        <v>SJ-</v>
      </c>
      <c r="D474" t="s">
        <v>547</v>
      </c>
    </row>
    <row r="475" spans="2:4" x14ac:dyDescent="0.25">
      <c r="B475" t="s">
        <v>178</v>
      </c>
      <c r="C475" t="str">
        <f t="shared" si="7"/>
        <v>SJ-</v>
      </c>
      <c r="D475" t="s">
        <v>547</v>
      </c>
    </row>
    <row r="476" spans="2:4" x14ac:dyDescent="0.25">
      <c r="B476" t="s">
        <v>179</v>
      </c>
      <c r="C476" t="str">
        <f t="shared" si="7"/>
        <v>SJ-</v>
      </c>
      <c r="D476" t="s">
        <v>547</v>
      </c>
    </row>
    <row r="477" spans="2:4" x14ac:dyDescent="0.25">
      <c r="B477" t="s">
        <v>371</v>
      </c>
      <c r="C477" t="str">
        <f t="shared" si="7"/>
        <v>SJ-</v>
      </c>
      <c r="D477" t="s">
        <v>547</v>
      </c>
    </row>
    <row r="478" spans="2:4" x14ac:dyDescent="0.25">
      <c r="B478" t="s">
        <v>279</v>
      </c>
      <c r="C478" t="str">
        <f t="shared" si="7"/>
        <v>SJ-</v>
      </c>
      <c r="D478" t="s">
        <v>547</v>
      </c>
    </row>
    <row r="479" spans="2:4" x14ac:dyDescent="0.25">
      <c r="B479" t="s">
        <v>280</v>
      </c>
      <c r="C479" t="str">
        <f t="shared" si="7"/>
        <v>SJ-</v>
      </c>
      <c r="D479" t="s">
        <v>547</v>
      </c>
    </row>
    <row r="480" spans="2:4" x14ac:dyDescent="0.25">
      <c r="B480" t="s">
        <v>281</v>
      </c>
      <c r="C480" t="str">
        <f t="shared" si="7"/>
        <v>SJ-</v>
      </c>
      <c r="D480" t="s">
        <v>547</v>
      </c>
    </row>
    <row r="481" spans="2:4" x14ac:dyDescent="0.25">
      <c r="B481" t="s">
        <v>180</v>
      </c>
      <c r="C481" t="str">
        <f t="shared" si="7"/>
        <v>SJ-</v>
      </c>
      <c r="D481" t="s">
        <v>547</v>
      </c>
    </row>
    <row r="482" spans="2:4" x14ac:dyDescent="0.25">
      <c r="B482" t="s">
        <v>181</v>
      </c>
      <c r="C482" t="str">
        <f t="shared" si="7"/>
        <v>SJ-</v>
      </c>
      <c r="D482" t="s">
        <v>547</v>
      </c>
    </row>
    <row r="483" spans="2:4" x14ac:dyDescent="0.25">
      <c r="B483" t="s">
        <v>182</v>
      </c>
      <c r="C483" t="str">
        <f t="shared" si="7"/>
        <v>SJ-</v>
      </c>
      <c r="D483" t="s">
        <v>547</v>
      </c>
    </row>
    <row r="484" spans="2:4" x14ac:dyDescent="0.25">
      <c r="B484" t="s">
        <v>183</v>
      </c>
      <c r="C484" t="str">
        <f t="shared" si="7"/>
        <v>SJ-</v>
      </c>
      <c r="D484" t="s">
        <v>547</v>
      </c>
    </row>
    <row r="485" spans="2:4" x14ac:dyDescent="0.25">
      <c r="B485" t="s">
        <v>184</v>
      </c>
      <c r="C485" t="str">
        <f t="shared" si="7"/>
        <v>SJ-</v>
      </c>
      <c r="D485" t="s">
        <v>547</v>
      </c>
    </row>
    <row r="486" spans="2:4" x14ac:dyDescent="0.25">
      <c r="B486" t="s">
        <v>199</v>
      </c>
      <c r="C486" t="str">
        <f t="shared" si="7"/>
        <v>SJ-</v>
      </c>
      <c r="D486" t="s">
        <v>547</v>
      </c>
    </row>
    <row r="487" spans="2:4" x14ac:dyDescent="0.25">
      <c r="B487" t="s">
        <v>536</v>
      </c>
      <c r="C487" t="str">
        <f t="shared" si="7"/>
        <v>SJ-</v>
      </c>
      <c r="D487" t="s">
        <v>547</v>
      </c>
    </row>
    <row r="488" spans="2:4" x14ac:dyDescent="0.25">
      <c r="B488" t="s">
        <v>446</v>
      </c>
      <c r="C488" t="str">
        <f t="shared" si="7"/>
        <v>SJ-</v>
      </c>
      <c r="D488" t="s">
        <v>547</v>
      </c>
    </row>
    <row r="489" spans="2:4" x14ac:dyDescent="0.25">
      <c r="B489" t="s">
        <v>447</v>
      </c>
      <c r="C489" t="str">
        <f t="shared" si="7"/>
        <v>SJ-</v>
      </c>
      <c r="D489" t="s">
        <v>547</v>
      </c>
    </row>
    <row r="490" spans="2:4" x14ac:dyDescent="0.25">
      <c r="B490" t="s">
        <v>421</v>
      </c>
      <c r="C490" t="str">
        <f t="shared" si="7"/>
        <v>SJ-</v>
      </c>
      <c r="D490" t="s">
        <v>547</v>
      </c>
    </row>
    <row r="491" spans="2:4" x14ac:dyDescent="0.25">
      <c r="B491" t="s">
        <v>422</v>
      </c>
      <c r="C491" t="str">
        <f t="shared" si="7"/>
        <v>SJ-</v>
      </c>
      <c r="D491" t="s">
        <v>547</v>
      </c>
    </row>
    <row r="492" spans="2:4" x14ac:dyDescent="0.25">
      <c r="B492" t="s">
        <v>282</v>
      </c>
      <c r="C492" t="str">
        <f t="shared" si="7"/>
        <v>SJ-</v>
      </c>
      <c r="D492" t="s">
        <v>547</v>
      </c>
    </row>
    <row r="493" spans="2:4" x14ac:dyDescent="0.25">
      <c r="B493" t="s">
        <v>283</v>
      </c>
      <c r="C493" t="str">
        <f t="shared" si="7"/>
        <v>SJ-</v>
      </c>
      <c r="D493" t="s">
        <v>547</v>
      </c>
    </row>
    <row r="494" spans="2:4" x14ac:dyDescent="0.25">
      <c r="B494" t="s">
        <v>158</v>
      </c>
      <c r="C494" t="str">
        <f t="shared" si="7"/>
        <v>SJ-</v>
      </c>
      <c r="D494" t="s">
        <v>547</v>
      </c>
    </row>
    <row r="495" spans="2:4" x14ac:dyDescent="0.25">
      <c r="B495" t="s">
        <v>159</v>
      </c>
      <c r="C495" t="str">
        <f t="shared" si="7"/>
        <v>SJ-</v>
      </c>
      <c r="D495" t="s">
        <v>547</v>
      </c>
    </row>
    <row r="496" spans="2:4" x14ac:dyDescent="0.25">
      <c r="B496" t="s">
        <v>423</v>
      </c>
      <c r="C496" t="str">
        <f t="shared" si="7"/>
        <v>SJ-</v>
      </c>
      <c r="D496" t="s">
        <v>547</v>
      </c>
    </row>
    <row r="497" spans="2:4" x14ac:dyDescent="0.25">
      <c r="B497" t="s">
        <v>424</v>
      </c>
      <c r="C497" t="str">
        <f t="shared" si="7"/>
        <v>SJ-</v>
      </c>
      <c r="D497" t="s">
        <v>547</v>
      </c>
    </row>
    <row r="498" spans="2:4" x14ac:dyDescent="0.25">
      <c r="B498" t="s">
        <v>284</v>
      </c>
      <c r="C498" t="str">
        <f t="shared" si="7"/>
        <v>SJ-</v>
      </c>
      <c r="D498" t="s">
        <v>547</v>
      </c>
    </row>
    <row r="499" spans="2:4" x14ac:dyDescent="0.25">
      <c r="B499" t="s">
        <v>285</v>
      </c>
      <c r="C499" t="str">
        <f t="shared" si="7"/>
        <v>SJ-</v>
      </c>
      <c r="D499" t="s">
        <v>547</v>
      </c>
    </row>
    <row r="500" spans="2:4" x14ac:dyDescent="0.25">
      <c r="B500" t="s">
        <v>425</v>
      </c>
      <c r="C500" t="str">
        <f t="shared" si="7"/>
        <v>SJ-</v>
      </c>
      <c r="D500" t="s">
        <v>547</v>
      </c>
    </row>
    <row r="501" spans="2:4" x14ac:dyDescent="0.25">
      <c r="B501" t="s">
        <v>426</v>
      </c>
      <c r="C501" t="str">
        <f t="shared" si="7"/>
        <v>SJ-</v>
      </c>
      <c r="D501" t="s">
        <v>547</v>
      </c>
    </row>
    <row r="502" spans="2:4" x14ac:dyDescent="0.25">
      <c r="B502" t="s">
        <v>286</v>
      </c>
      <c r="C502" t="str">
        <f t="shared" si="7"/>
        <v>SJ-</v>
      </c>
      <c r="D502" t="s">
        <v>547</v>
      </c>
    </row>
    <row r="503" spans="2:4" x14ac:dyDescent="0.25">
      <c r="B503" t="s">
        <v>287</v>
      </c>
      <c r="C503" t="str">
        <f t="shared" si="7"/>
        <v>SJ-</v>
      </c>
      <c r="D503" t="s">
        <v>547</v>
      </c>
    </row>
    <row r="504" spans="2:4" x14ac:dyDescent="0.25">
      <c r="B504" t="s">
        <v>288</v>
      </c>
      <c r="C504" t="str">
        <f t="shared" si="7"/>
        <v>SJ-</v>
      </c>
      <c r="D504" t="s">
        <v>547</v>
      </c>
    </row>
    <row r="505" spans="2:4" x14ac:dyDescent="0.25">
      <c r="B505" t="s">
        <v>361</v>
      </c>
      <c r="C505" t="str">
        <f t="shared" si="7"/>
        <v>SPS</v>
      </c>
      <c r="D505" t="s">
        <v>557</v>
      </c>
    </row>
    <row r="506" spans="2:4" x14ac:dyDescent="0.25">
      <c r="B506" t="s">
        <v>266</v>
      </c>
      <c r="C506" t="str">
        <f t="shared" si="7"/>
        <v>SPS</v>
      </c>
      <c r="D506" t="s">
        <v>557</v>
      </c>
    </row>
    <row r="507" spans="2:4" x14ac:dyDescent="0.25">
      <c r="B507" t="s">
        <v>362</v>
      </c>
      <c r="C507" t="str">
        <f t="shared" si="7"/>
        <v>SPS</v>
      </c>
      <c r="D507" t="s">
        <v>557</v>
      </c>
    </row>
    <row r="508" spans="2:4" x14ac:dyDescent="0.25">
      <c r="B508" t="s">
        <v>267</v>
      </c>
      <c r="C508" t="str">
        <f t="shared" si="7"/>
        <v>SPS</v>
      </c>
      <c r="D508" t="s">
        <v>557</v>
      </c>
    </row>
    <row r="509" spans="2:4" x14ac:dyDescent="0.25">
      <c r="B509" t="s">
        <v>363</v>
      </c>
      <c r="C509" t="str">
        <f t="shared" si="7"/>
        <v>SPS</v>
      </c>
      <c r="D509" t="s">
        <v>557</v>
      </c>
    </row>
    <row r="510" spans="2:4" x14ac:dyDescent="0.25">
      <c r="B510" t="s">
        <v>364</v>
      </c>
      <c r="C510" t="str">
        <f t="shared" si="7"/>
        <v>SPS</v>
      </c>
      <c r="D510" t="s">
        <v>557</v>
      </c>
    </row>
    <row r="511" spans="2:4" x14ac:dyDescent="0.25">
      <c r="B511" t="s">
        <v>365</v>
      </c>
      <c r="C511" t="str">
        <f t="shared" si="7"/>
        <v>SPS</v>
      </c>
      <c r="D511" t="s">
        <v>557</v>
      </c>
    </row>
    <row r="512" spans="2:4" x14ac:dyDescent="0.25">
      <c r="B512" t="s">
        <v>366</v>
      </c>
      <c r="C512" t="str">
        <f t="shared" si="7"/>
        <v>SPS</v>
      </c>
      <c r="D512" t="s">
        <v>557</v>
      </c>
    </row>
    <row r="513" spans="2:4" x14ac:dyDescent="0.25">
      <c r="B513" t="s">
        <v>248</v>
      </c>
      <c r="C513" t="str">
        <f t="shared" si="7"/>
        <v>STB</v>
      </c>
      <c r="D513" t="s">
        <v>538</v>
      </c>
    </row>
    <row r="514" spans="2:4" x14ac:dyDescent="0.25">
      <c r="B514" t="s">
        <v>511</v>
      </c>
      <c r="C514" t="str">
        <f t="shared" si="7"/>
        <v>SWD</v>
      </c>
      <c r="D514" t="s">
        <v>558</v>
      </c>
    </row>
    <row r="515" spans="2:4" x14ac:dyDescent="0.25">
      <c r="B515" t="s">
        <v>252</v>
      </c>
      <c r="C515" t="str">
        <f t="shared" ref="C515:C526" si="8">LEFT(B515,3)</f>
        <v>SWD</v>
      </c>
      <c r="D515" t="s">
        <v>558</v>
      </c>
    </row>
    <row r="516" spans="2:4" x14ac:dyDescent="0.25">
      <c r="B516" t="s">
        <v>253</v>
      </c>
      <c r="C516" t="str">
        <f t="shared" si="8"/>
        <v>SWD</v>
      </c>
      <c r="D516" t="s">
        <v>558</v>
      </c>
    </row>
    <row r="517" spans="2:4" x14ac:dyDescent="0.25">
      <c r="B517" t="s">
        <v>512</v>
      </c>
      <c r="C517" t="str">
        <f t="shared" si="8"/>
        <v>SWD</v>
      </c>
      <c r="D517" t="s">
        <v>558</v>
      </c>
    </row>
    <row r="518" spans="2:4" x14ac:dyDescent="0.25">
      <c r="B518" t="s">
        <v>315</v>
      </c>
      <c r="C518" t="str">
        <f t="shared" si="8"/>
        <v>SWD</v>
      </c>
      <c r="D518" t="s">
        <v>558</v>
      </c>
    </row>
    <row r="519" spans="2:4" x14ac:dyDescent="0.25">
      <c r="B519" t="s">
        <v>316</v>
      </c>
      <c r="C519" t="str">
        <f t="shared" si="8"/>
        <v>SWD</v>
      </c>
      <c r="D519" t="s">
        <v>558</v>
      </c>
    </row>
    <row r="520" spans="2:4" x14ac:dyDescent="0.25">
      <c r="B520" t="s">
        <v>317</v>
      </c>
      <c r="C520" t="str">
        <f t="shared" si="8"/>
        <v>SWD</v>
      </c>
      <c r="D520" t="s">
        <v>558</v>
      </c>
    </row>
    <row r="521" spans="2:4" x14ac:dyDescent="0.25">
      <c r="B521" t="s">
        <v>318</v>
      </c>
      <c r="C521" t="str">
        <f t="shared" si="8"/>
        <v>SWD</v>
      </c>
      <c r="D521" t="s">
        <v>558</v>
      </c>
    </row>
    <row r="522" spans="2:4" x14ac:dyDescent="0.25">
      <c r="B522" t="s">
        <v>319</v>
      </c>
      <c r="C522" t="str">
        <f t="shared" si="8"/>
        <v>SWD</v>
      </c>
      <c r="D522" t="s">
        <v>558</v>
      </c>
    </row>
    <row r="523" spans="2:4" x14ac:dyDescent="0.25">
      <c r="B523" t="s">
        <v>379</v>
      </c>
      <c r="C523" t="str">
        <f t="shared" si="8"/>
        <v>SWD</v>
      </c>
      <c r="D523" t="s">
        <v>558</v>
      </c>
    </row>
    <row r="524" spans="2:4" x14ac:dyDescent="0.25">
      <c r="B524" t="s">
        <v>80</v>
      </c>
      <c r="C524" t="str">
        <f t="shared" si="8"/>
        <v>SWD</v>
      </c>
      <c r="D524" t="s">
        <v>558</v>
      </c>
    </row>
    <row r="525" spans="2:4" x14ac:dyDescent="0.25">
      <c r="B525" t="s">
        <v>81</v>
      </c>
      <c r="C525" t="str">
        <f t="shared" si="8"/>
        <v>SWD</v>
      </c>
      <c r="D525" t="s">
        <v>558</v>
      </c>
    </row>
    <row r="526" spans="2:4" x14ac:dyDescent="0.25">
      <c r="B526" t="s">
        <v>82</v>
      </c>
      <c r="C526" t="str">
        <f t="shared" si="8"/>
        <v>SWD</v>
      </c>
      <c r="D526" t="s">
        <v>558</v>
      </c>
    </row>
  </sheetData>
  <autoFilter ref="B2:D526">
    <sortState ref="B3:D526">
      <sortCondition ref="C2"/>
    </sortState>
  </autoFilter>
  <sortState ref="G3:H60">
    <sortCondition ref="G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</vt:lpstr>
      <vt:lpstr>Category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Csastrawiguna</dc:creator>
  <cp:lastModifiedBy>Cuparsa Sastrawiguna</cp:lastModifiedBy>
  <dcterms:created xsi:type="dcterms:W3CDTF">2021-10-15T09:31:32Z</dcterms:created>
  <dcterms:modified xsi:type="dcterms:W3CDTF">2023-01-27T06:28:43Z</dcterms:modified>
</cp:coreProperties>
</file>